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firstSheet="5" activeTab="5"/>
  </bookViews>
  <sheets>
    <sheet name="Customers" sheetId="2" r:id="rId1"/>
    <sheet name="Order Items" sheetId="3" r:id="rId2"/>
    <sheet name="Orders" sheetId="5" r:id="rId3"/>
    <sheet name="Products" sheetId="7" r:id="rId4"/>
    <sheet name="RFM" sheetId="8" r:id="rId5"/>
    <sheet name="Pivot_Category" sheetId="9" r:id="rId6"/>
    <sheet name="Pivot_TopCustomers" sheetId="10" r:id="rId7"/>
    <sheet name="Pivot_RFM" sheetId="11" r:id="rId8"/>
    <sheet name="Pivot_MonthlyRevenue" sheetId="12" r:id="rId9"/>
    <sheet name="Summary" sheetId="13" r:id="rId10"/>
  </sheets>
  <definedNames>
    <definedName name="ExternalData_1" localSheetId="0" hidden="1">Customers!$A$1:$J$301</definedName>
    <definedName name="ExternalData_1" localSheetId="1" hidden="1">'Order Items'!$A$1:$F$1559</definedName>
    <definedName name="ExternalData_1" localSheetId="2" hidden="1">Orders!$A$1:$E$900</definedName>
    <definedName name="ExternalData_1" localSheetId="3" hidden="1">Products!$A$1:$G$81</definedName>
    <definedName name="ExternalData_1" localSheetId="4" hidden="1">RFM!$A$1:$I$290</definedName>
  </definedNames>
  <calcPr calcId="162913"/>
  <pivotCaches>
    <pivotCache cacheId="13" r:id="rId11"/>
    <pivotCache cacheId="10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9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9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9" i="3"/>
  <c r="G2" i="3"/>
  <c r="I2" i="3" s="1"/>
  <c r="G3" i="3"/>
  <c r="I3" i="3" s="1"/>
  <c r="G4" i="3"/>
  <c r="I4" i="3" s="1"/>
  <c r="G5" i="3"/>
  <c r="I5" i="3" s="1"/>
  <c r="G6" i="3"/>
  <c r="I6" i="3" s="1"/>
  <c r="G7" i="3"/>
  <c r="I7" i="3" s="1"/>
  <c r="G8" i="3"/>
  <c r="I8" i="3" s="1"/>
  <c r="G9" i="3"/>
  <c r="I9" i="3" s="1"/>
  <c r="G10" i="3"/>
  <c r="I10" i="3" s="1"/>
  <c r="G11" i="3"/>
  <c r="I11" i="3" s="1"/>
  <c r="G12" i="3"/>
  <c r="I12" i="3" s="1"/>
  <c r="G13" i="3"/>
  <c r="I13" i="3" s="1"/>
  <c r="G14" i="3"/>
  <c r="I14" i="3" s="1"/>
  <c r="G15" i="3"/>
  <c r="I15" i="3" s="1"/>
  <c r="G16" i="3"/>
  <c r="I16" i="3" s="1"/>
  <c r="G17" i="3"/>
  <c r="I17" i="3" s="1"/>
  <c r="G18" i="3"/>
  <c r="I18" i="3" s="1"/>
  <c r="G19" i="3"/>
  <c r="I19" i="3" s="1"/>
  <c r="G20" i="3"/>
  <c r="I20" i="3" s="1"/>
  <c r="G21" i="3"/>
  <c r="I21" i="3" s="1"/>
  <c r="G22" i="3"/>
  <c r="I22" i="3" s="1"/>
  <c r="G23" i="3"/>
  <c r="I23" i="3" s="1"/>
  <c r="G24" i="3"/>
  <c r="I24" i="3" s="1"/>
  <c r="G25" i="3"/>
  <c r="I25" i="3" s="1"/>
  <c r="G26" i="3"/>
  <c r="I26" i="3" s="1"/>
  <c r="G27" i="3"/>
  <c r="I27" i="3" s="1"/>
  <c r="G28" i="3"/>
  <c r="I28" i="3" s="1"/>
  <c r="G29" i="3"/>
  <c r="I29" i="3" s="1"/>
  <c r="G30" i="3"/>
  <c r="I30" i="3" s="1"/>
  <c r="G31" i="3"/>
  <c r="I31" i="3" s="1"/>
  <c r="G32" i="3"/>
  <c r="I32" i="3" s="1"/>
  <c r="G33" i="3"/>
  <c r="I33" i="3" s="1"/>
  <c r="G34" i="3"/>
  <c r="I34" i="3" s="1"/>
  <c r="G35" i="3"/>
  <c r="I35" i="3" s="1"/>
  <c r="G36" i="3"/>
  <c r="I36" i="3" s="1"/>
  <c r="G37" i="3"/>
  <c r="I37" i="3" s="1"/>
  <c r="G38" i="3"/>
  <c r="I38" i="3" s="1"/>
  <c r="G39" i="3"/>
  <c r="I39" i="3" s="1"/>
  <c r="G40" i="3"/>
  <c r="I40" i="3" s="1"/>
  <c r="G41" i="3"/>
  <c r="I41" i="3" s="1"/>
  <c r="G42" i="3"/>
  <c r="I42" i="3" s="1"/>
  <c r="G43" i="3"/>
  <c r="I43" i="3" s="1"/>
  <c r="G44" i="3"/>
  <c r="I44" i="3" s="1"/>
  <c r="G45" i="3"/>
  <c r="I45" i="3" s="1"/>
  <c r="G46" i="3"/>
  <c r="I46" i="3" s="1"/>
  <c r="G47" i="3"/>
  <c r="I47" i="3" s="1"/>
  <c r="G48" i="3"/>
  <c r="I48" i="3" s="1"/>
  <c r="G49" i="3"/>
  <c r="I49" i="3" s="1"/>
  <c r="G50" i="3"/>
  <c r="I50" i="3" s="1"/>
  <c r="G51" i="3"/>
  <c r="I51" i="3" s="1"/>
  <c r="G52" i="3"/>
  <c r="I52" i="3" s="1"/>
  <c r="G53" i="3"/>
  <c r="I53" i="3" s="1"/>
  <c r="G54" i="3"/>
  <c r="I54" i="3" s="1"/>
  <c r="G55" i="3"/>
  <c r="I55" i="3" s="1"/>
  <c r="G56" i="3"/>
  <c r="I56" i="3" s="1"/>
  <c r="G57" i="3"/>
  <c r="I57" i="3" s="1"/>
  <c r="G58" i="3"/>
  <c r="I58" i="3" s="1"/>
  <c r="G59" i="3"/>
  <c r="I59" i="3" s="1"/>
  <c r="G60" i="3"/>
  <c r="I60" i="3" s="1"/>
  <c r="G61" i="3"/>
  <c r="I61" i="3" s="1"/>
  <c r="G62" i="3"/>
  <c r="I62" i="3" s="1"/>
  <c r="G63" i="3"/>
  <c r="I63" i="3" s="1"/>
  <c r="G64" i="3"/>
  <c r="I64" i="3" s="1"/>
  <c r="G65" i="3"/>
  <c r="I65" i="3" s="1"/>
  <c r="G66" i="3"/>
  <c r="I66" i="3" s="1"/>
  <c r="G67" i="3"/>
  <c r="I67" i="3" s="1"/>
  <c r="G68" i="3"/>
  <c r="I68" i="3" s="1"/>
  <c r="G69" i="3"/>
  <c r="I69" i="3" s="1"/>
  <c r="G70" i="3"/>
  <c r="I70" i="3" s="1"/>
  <c r="G71" i="3"/>
  <c r="I71" i="3" s="1"/>
  <c r="G72" i="3"/>
  <c r="I72" i="3" s="1"/>
  <c r="G73" i="3"/>
  <c r="I73" i="3" s="1"/>
  <c r="G74" i="3"/>
  <c r="I74" i="3" s="1"/>
  <c r="G75" i="3"/>
  <c r="I75" i="3" s="1"/>
  <c r="G76" i="3"/>
  <c r="I76" i="3" s="1"/>
  <c r="G77" i="3"/>
  <c r="I77" i="3" s="1"/>
  <c r="G78" i="3"/>
  <c r="I78" i="3" s="1"/>
  <c r="G79" i="3"/>
  <c r="I79" i="3" s="1"/>
  <c r="G80" i="3"/>
  <c r="I80" i="3" s="1"/>
  <c r="G81" i="3"/>
  <c r="I81" i="3" s="1"/>
  <c r="G82" i="3"/>
  <c r="I82" i="3" s="1"/>
  <c r="G83" i="3"/>
  <c r="I83" i="3" s="1"/>
  <c r="G84" i="3"/>
  <c r="I84" i="3" s="1"/>
  <c r="G85" i="3"/>
  <c r="I85" i="3" s="1"/>
  <c r="G86" i="3"/>
  <c r="I86" i="3" s="1"/>
  <c r="G87" i="3"/>
  <c r="I87" i="3" s="1"/>
  <c r="G88" i="3"/>
  <c r="I88" i="3" s="1"/>
  <c r="G89" i="3"/>
  <c r="I89" i="3" s="1"/>
  <c r="G90" i="3"/>
  <c r="I90" i="3" s="1"/>
  <c r="G91" i="3"/>
  <c r="I91" i="3" s="1"/>
  <c r="G92" i="3"/>
  <c r="I92" i="3" s="1"/>
  <c r="G93" i="3"/>
  <c r="I93" i="3" s="1"/>
  <c r="G94" i="3"/>
  <c r="I94" i="3" s="1"/>
  <c r="G95" i="3"/>
  <c r="I95" i="3" s="1"/>
  <c r="G96" i="3"/>
  <c r="I96" i="3" s="1"/>
  <c r="G97" i="3"/>
  <c r="I97" i="3" s="1"/>
  <c r="G98" i="3"/>
  <c r="I98" i="3" s="1"/>
  <c r="G99" i="3"/>
  <c r="I99" i="3" s="1"/>
  <c r="G100" i="3"/>
  <c r="I100" i="3" s="1"/>
  <c r="G101" i="3"/>
  <c r="I101" i="3" s="1"/>
  <c r="G102" i="3"/>
  <c r="I102" i="3" s="1"/>
  <c r="G103" i="3"/>
  <c r="I103" i="3" s="1"/>
  <c r="G104" i="3"/>
  <c r="I104" i="3" s="1"/>
  <c r="G105" i="3"/>
  <c r="I105" i="3" s="1"/>
  <c r="G106" i="3"/>
  <c r="I106" i="3" s="1"/>
  <c r="G107" i="3"/>
  <c r="I107" i="3" s="1"/>
  <c r="G108" i="3"/>
  <c r="I108" i="3" s="1"/>
  <c r="G109" i="3"/>
  <c r="I109" i="3" s="1"/>
  <c r="G110" i="3"/>
  <c r="I110" i="3" s="1"/>
  <c r="G111" i="3"/>
  <c r="I111" i="3" s="1"/>
  <c r="G112" i="3"/>
  <c r="I112" i="3" s="1"/>
  <c r="G113" i="3"/>
  <c r="I113" i="3" s="1"/>
  <c r="G114" i="3"/>
  <c r="I114" i="3" s="1"/>
  <c r="G115" i="3"/>
  <c r="I115" i="3" s="1"/>
  <c r="G116" i="3"/>
  <c r="I116" i="3" s="1"/>
  <c r="G117" i="3"/>
  <c r="I117" i="3" s="1"/>
  <c r="G118" i="3"/>
  <c r="I118" i="3" s="1"/>
  <c r="G119" i="3"/>
  <c r="I119" i="3" s="1"/>
  <c r="G120" i="3"/>
  <c r="I120" i="3" s="1"/>
  <c r="G121" i="3"/>
  <c r="I121" i="3" s="1"/>
  <c r="G122" i="3"/>
  <c r="I122" i="3" s="1"/>
  <c r="G123" i="3"/>
  <c r="I123" i="3" s="1"/>
  <c r="G124" i="3"/>
  <c r="I124" i="3" s="1"/>
  <c r="G125" i="3"/>
  <c r="I125" i="3" s="1"/>
  <c r="G126" i="3"/>
  <c r="I126" i="3" s="1"/>
  <c r="G127" i="3"/>
  <c r="I127" i="3" s="1"/>
  <c r="G128" i="3"/>
  <c r="I128" i="3" s="1"/>
  <c r="G129" i="3"/>
  <c r="I129" i="3" s="1"/>
  <c r="G130" i="3"/>
  <c r="I130" i="3" s="1"/>
  <c r="G131" i="3"/>
  <c r="I131" i="3" s="1"/>
  <c r="G132" i="3"/>
  <c r="I132" i="3" s="1"/>
  <c r="G133" i="3"/>
  <c r="I133" i="3" s="1"/>
  <c r="G134" i="3"/>
  <c r="I134" i="3" s="1"/>
  <c r="G135" i="3"/>
  <c r="I135" i="3" s="1"/>
  <c r="G136" i="3"/>
  <c r="I136" i="3" s="1"/>
  <c r="G137" i="3"/>
  <c r="I137" i="3" s="1"/>
  <c r="G138" i="3"/>
  <c r="I138" i="3" s="1"/>
  <c r="G139" i="3"/>
  <c r="I139" i="3" s="1"/>
  <c r="G140" i="3"/>
  <c r="I140" i="3" s="1"/>
  <c r="G141" i="3"/>
  <c r="I141" i="3" s="1"/>
  <c r="G142" i="3"/>
  <c r="I142" i="3" s="1"/>
  <c r="G143" i="3"/>
  <c r="I143" i="3" s="1"/>
  <c r="G144" i="3"/>
  <c r="I144" i="3" s="1"/>
  <c r="G145" i="3"/>
  <c r="I145" i="3" s="1"/>
  <c r="G146" i="3"/>
  <c r="I146" i="3" s="1"/>
  <c r="G147" i="3"/>
  <c r="I147" i="3" s="1"/>
  <c r="G148" i="3"/>
  <c r="I148" i="3" s="1"/>
  <c r="G149" i="3"/>
  <c r="I149" i="3" s="1"/>
  <c r="G150" i="3"/>
  <c r="I150" i="3" s="1"/>
  <c r="G151" i="3"/>
  <c r="I151" i="3" s="1"/>
  <c r="G152" i="3"/>
  <c r="I152" i="3" s="1"/>
  <c r="G153" i="3"/>
  <c r="I153" i="3" s="1"/>
  <c r="G154" i="3"/>
  <c r="I154" i="3" s="1"/>
  <c r="G155" i="3"/>
  <c r="I155" i="3" s="1"/>
  <c r="G156" i="3"/>
  <c r="I156" i="3" s="1"/>
  <c r="G157" i="3"/>
  <c r="I157" i="3" s="1"/>
  <c r="G158" i="3"/>
  <c r="I158" i="3" s="1"/>
  <c r="G159" i="3"/>
  <c r="I159" i="3" s="1"/>
  <c r="G160" i="3"/>
  <c r="I160" i="3" s="1"/>
  <c r="G161" i="3"/>
  <c r="I161" i="3" s="1"/>
  <c r="G162" i="3"/>
  <c r="I162" i="3" s="1"/>
  <c r="G163" i="3"/>
  <c r="I163" i="3" s="1"/>
  <c r="G164" i="3"/>
  <c r="I164" i="3" s="1"/>
  <c r="G165" i="3"/>
  <c r="I165" i="3" s="1"/>
  <c r="G166" i="3"/>
  <c r="I166" i="3" s="1"/>
  <c r="G167" i="3"/>
  <c r="I167" i="3" s="1"/>
  <c r="G168" i="3"/>
  <c r="I168" i="3" s="1"/>
  <c r="G169" i="3"/>
  <c r="I169" i="3" s="1"/>
  <c r="G170" i="3"/>
  <c r="I170" i="3" s="1"/>
  <c r="G171" i="3"/>
  <c r="I171" i="3" s="1"/>
  <c r="G172" i="3"/>
  <c r="I172" i="3" s="1"/>
  <c r="G173" i="3"/>
  <c r="I173" i="3" s="1"/>
  <c r="G174" i="3"/>
  <c r="I174" i="3" s="1"/>
  <c r="G175" i="3"/>
  <c r="I175" i="3" s="1"/>
  <c r="G176" i="3"/>
  <c r="I176" i="3" s="1"/>
  <c r="G177" i="3"/>
  <c r="I177" i="3" s="1"/>
  <c r="G178" i="3"/>
  <c r="I178" i="3" s="1"/>
  <c r="G179" i="3"/>
  <c r="I179" i="3" s="1"/>
  <c r="G180" i="3"/>
  <c r="I180" i="3" s="1"/>
  <c r="G181" i="3"/>
  <c r="I181" i="3" s="1"/>
  <c r="G182" i="3"/>
  <c r="I182" i="3" s="1"/>
  <c r="G183" i="3"/>
  <c r="I183" i="3" s="1"/>
  <c r="G184" i="3"/>
  <c r="I184" i="3" s="1"/>
  <c r="G185" i="3"/>
  <c r="I185" i="3" s="1"/>
  <c r="G186" i="3"/>
  <c r="I186" i="3" s="1"/>
  <c r="G187" i="3"/>
  <c r="I187" i="3" s="1"/>
  <c r="G188" i="3"/>
  <c r="I188" i="3" s="1"/>
  <c r="G189" i="3"/>
  <c r="I189" i="3" s="1"/>
  <c r="G190" i="3"/>
  <c r="I190" i="3" s="1"/>
  <c r="G191" i="3"/>
  <c r="I191" i="3" s="1"/>
  <c r="G192" i="3"/>
  <c r="I192" i="3" s="1"/>
  <c r="G193" i="3"/>
  <c r="I193" i="3" s="1"/>
  <c r="G194" i="3"/>
  <c r="I194" i="3" s="1"/>
  <c r="G195" i="3"/>
  <c r="I195" i="3" s="1"/>
  <c r="G196" i="3"/>
  <c r="I196" i="3" s="1"/>
  <c r="G197" i="3"/>
  <c r="I197" i="3" s="1"/>
  <c r="G198" i="3"/>
  <c r="I198" i="3" s="1"/>
  <c r="G199" i="3"/>
  <c r="I199" i="3" s="1"/>
  <c r="G200" i="3"/>
  <c r="I200" i="3" s="1"/>
  <c r="G201" i="3"/>
  <c r="I201" i="3" s="1"/>
  <c r="G202" i="3"/>
  <c r="I202" i="3" s="1"/>
  <c r="G203" i="3"/>
  <c r="I203" i="3" s="1"/>
  <c r="G204" i="3"/>
  <c r="I204" i="3" s="1"/>
  <c r="G205" i="3"/>
  <c r="I205" i="3" s="1"/>
  <c r="G206" i="3"/>
  <c r="I206" i="3" s="1"/>
  <c r="G207" i="3"/>
  <c r="I207" i="3" s="1"/>
  <c r="G208" i="3"/>
  <c r="I208" i="3" s="1"/>
  <c r="G209" i="3"/>
  <c r="I209" i="3" s="1"/>
  <c r="G210" i="3"/>
  <c r="I210" i="3" s="1"/>
  <c r="G211" i="3"/>
  <c r="I211" i="3" s="1"/>
  <c r="G212" i="3"/>
  <c r="I212" i="3" s="1"/>
  <c r="G213" i="3"/>
  <c r="I213" i="3" s="1"/>
  <c r="G214" i="3"/>
  <c r="I214" i="3" s="1"/>
  <c r="G215" i="3"/>
  <c r="I215" i="3" s="1"/>
  <c r="G216" i="3"/>
  <c r="I216" i="3" s="1"/>
  <c r="G217" i="3"/>
  <c r="I217" i="3" s="1"/>
  <c r="G218" i="3"/>
  <c r="I218" i="3" s="1"/>
  <c r="G219" i="3"/>
  <c r="I219" i="3" s="1"/>
  <c r="G220" i="3"/>
  <c r="I220" i="3" s="1"/>
  <c r="G221" i="3"/>
  <c r="I221" i="3" s="1"/>
  <c r="G222" i="3"/>
  <c r="I222" i="3" s="1"/>
  <c r="G223" i="3"/>
  <c r="I223" i="3" s="1"/>
  <c r="G224" i="3"/>
  <c r="I224" i="3" s="1"/>
  <c r="G225" i="3"/>
  <c r="I225" i="3" s="1"/>
  <c r="G226" i="3"/>
  <c r="I226" i="3" s="1"/>
  <c r="G227" i="3"/>
  <c r="I227" i="3" s="1"/>
  <c r="G228" i="3"/>
  <c r="I228" i="3" s="1"/>
  <c r="G229" i="3"/>
  <c r="I229" i="3" s="1"/>
  <c r="G230" i="3"/>
  <c r="I230" i="3" s="1"/>
  <c r="G231" i="3"/>
  <c r="I231" i="3" s="1"/>
  <c r="G232" i="3"/>
  <c r="I232" i="3" s="1"/>
  <c r="G233" i="3"/>
  <c r="I233" i="3" s="1"/>
  <c r="G234" i="3"/>
  <c r="I234" i="3" s="1"/>
  <c r="G235" i="3"/>
  <c r="I235" i="3" s="1"/>
  <c r="G236" i="3"/>
  <c r="I236" i="3" s="1"/>
  <c r="G237" i="3"/>
  <c r="I237" i="3" s="1"/>
  <c r="G238" i="3"/>
  <c r="I238" i="3" s="1"/>
  <c r="G239" i="3"/>
  <c r="I239" i="3" s="1"/>
  <c r="G240" i="3"/>
  <c r="I240" i="3" s="1"/>
  <c r="G241" i="3"/>
  <c r="I241" i="3" s="1"/>
  <c r="G242" i="3"/>
  <c r="I242" i="3" s="1"/>
  <c r="G243" i="3"/>
  <c r="I243" i="3" s="1"/>
  <c r="G244" i="3"/>
  <c r="I244" i="3" s="1"/>
  <c r="G245" i="3"/>
  <c r="I245" i="3" s="1"/>
  <c r="G246" i="3"/>
  <c r="I246" i="3" s="1"/>
  <c r="G247" i="3"/>
  <c r="I247" i="3" s="1"/>
  <c r="G248" i="3"/>
  <c r="I248" i="3" s="1"/>
  <c r="G249" i="3"/>
  <c r="I249" i="3" s="1"/>
  <c r="G250" i="3"/>
  <c r="I250" i="3" s="1"/>
  <c r="G251" i="3"/>
  <c r="I251" i="3" s="1"/>
  <c r="G252" i="3"/>
  <c r="I252" i="3" s="1"/>
  <c r="G253" i="3"/>
  <c r="I253" i="3" s="1"/>
  <c r="G254" i="3"/>
  <c r="I254" i="3" s="1"/>
  <c r="G255" i="3"/>
  <c r="I255" i="3" s="1"/>
  <c r="G256" i="3"/>
  <c r="I256" i="3" s="1"/>
  <c r="G257" i="3"/>
  <c r="I257" i="3" s="1"/>
  <c r="G258" i="3"/>
  <c r="I258" i="3" s="1"/>
  <c r="G259" i="3"/>
  <c r="I259" i="3" s="1"/>
  <c r="G260" i="3"/>
  <c r="I260" i="3" s="1"/>
  <c r="G261" i="3"/>
  <c r="I261" i="3" s="1"/>
  <c r="G262" i="3"/>
  <c r="I262" i="3" s="1"/>
  <c r="G263" i="3"/>
  <c r="I263" i="3" s="1"/>
  <c r="G264" i="3"/>
  <c r="I264" i="3" s="1"/>
  <c r="G265" i="3"/>
  <c r="I265" i="3" s="1"/>
  <c r="G266" i="3"/>
  <c r="I266" i="3" s="1"/>
  <c r="G267" i="3"/>
  <c r="I267" i="3" s="1"/>
  <c r="G268" i="3"/>
  <c r="I268" i="3" s="1"/>
  <c r="G269" i="3"/>
  <c r="I269" i="3" s="1"/>
  <c r="G270" i="3"/>
  <c r="I270" i="3" s="1"/>
  <c r="G271" i="3"/>
  <c r="I271" i="3" s="1"/>
  <c r="G272" i="3"/>
  <c r="I272" i="3" s="1"/>
  <c r="G273" i="3"/>
  <c r="I273" i="3" s="1"/>
  <c r="G274" i="3"/>
  <c r="I274" i="3" s="1"/>
  <c r="G275" i="3"/>
  <c r="I275" i="3" s="1"/>
  <c r="G276" i="3"/>
  <c r="I276" i="3" s="1"/>
  <c r="G277" i="3"/>
  <c r="I277" i="3" s="1"/>
  <c r="G278" i="3"/>
  <c r="I278" i="3" s="1"/>
  <c r="G279" i="3"/>
  <c r="I279" i="3" s="1"/>
  <c r="G280" i="3"/>
  <c r="I280" i="3" s="1"/>
  <c r="G281" i="3"/>
  <c r="I281" i="3" s="1"/>
  <c r="G282" i="3"/>
  <c r="I282" i="3" s="1"/>
  <c r="G283" i="3"/>
  <c r="I283" i="3" s="1"/>
  <c r="G284" i="3"/>
  <c r="I284" i="3" s="1"/>
  <c r="G285" i="3"/>
  <c r="I285" i="3" s="1"/>
  <c r="G286" i="3"/>
  <c r="I286" i="3" s="1"/>
  <c r="G287" i="3"/>
  <c r="I287" i="3" s="1"/>
  <c r="G288" i="3"/>
  <c r="I288" i="3" s="1"/>
  <c r="G289" i="3"/>
  <c r="I289" i="3" s="1"/>
  <c r="G290" i="3"/>
  <c r="I290" i="3" s="1"/>
  <c r="G291" i="3"/>
  <c r="I291" i="3" s="1"/>
  <c r="G292" i="3"/>
  <c r="I292" i="3" s="1"/>
  <c r="G293" i="3"/>
  <c r="I293" i="3" s="1"/>
  <c r="G294" i="3"/>
  <c r="I294" i="3" s="1"/>
  <c r="G295" i="3"/>
  <c r="I295" i="3" s="1"/>
  <c r="G296" i="3"/>
  <c r="I296" i="3" s="1"/>
  <c r="G297" i="3"/>
  <c r="I297" i="3" s="1"/>
  <c r="G298" i="3"/>
  <c r="I298" i="3" s="1"/>
  <c r="G299" i="3"/>
  <c r="I299" i="3" s="1"/>
  <c r="G300" i="3"/>
  <c r="I300" i="3" s="1"/>
  <c r="G301" i="3"/>
  <c r="I301" i="3" s="1"/>
  <c r="G302" i="3"/>
  <c r="I302" i="3" s="1"/>
  <c r="G303" i="3"/>
  <c r="I303" i="3" s="1"/>
  <c r="G304" i="3"/>
  <c r="I304" i="3" s="1"/>
  <c r="G305" i="3"/>
  <c r="I305" i="3" s="1"/>
  <c r="G306" i="3"/>
  <c r="I306" i="3" s="1"/>
  <c r="G307" i="3"/>
  <c r="I307" i="3" s="1"/>
  <c r="G308" i="3"/>
  <c r="I308" i="3" s="1"/>
  <c r="G309" i="3"/>
  <c r="I309" i="3" s="1"/>
  <c r="G310" i="3"/>
  <c r="I310" i="3" s="1"/>
  <c r="G311" i="3"/>
  <c r="I311" i="3" s="1"/>
  <c r="G312" i="3"/>
  <c r="I312" i="3" s="1"/>
  <c r="G313" i="3"/>
  <c r="I313" i="3" s="1"/>
  <c r="G314" i="3"/>
  <c r="I314" i="3" s="1"/>
  <c r="G315" i="3"/>
  <c r="I315" i="3" s="1"/>
  <c r="G316" i="3"/>
  <c r="I316" i="3" s="1"/>
  <c r="G317" i="3"/>
  <c r="I317" i="3" s="1"/>
  <c r="G318" i="3"/>
  <c r="I318" i="3" s="1"/>
  <c r="G319" i="3"/>
  <c r="I319" i="3" s="1"/>
  <c r="G320" i="3"/>
  <c r="I320" i="3" s="1"/>
  <c r="G321" i="3"/>
  <c r="I321" i="3" s="1"/>
  <c r="G322" i="3"/>
  <c r="I322" i="3" s="1"/>
  <c r="G323" i="3"/>
  <c r="I323" i="3" s="1"/>
  <c r="G324" i="3"/>
  <c r="I324" i="3" s="1"/>
  <c r="G325" i="3"/>
  <c r="I325" i="3" s="1"/>
  <c r="G326" i="3"/>
  <c r="I326" i="3" s="1"/>
  <c r="G327" i="3"/>
  <c r="I327" i="3" s="1"/>
  <c r="G328" i="3"/>
  <c r="I328" i="3" s="1"/>
  <c r="G329" i="3"/>
  <c r="I329" i="3" s="1"/>
  <c r="G330" i="3"/>
  <c r="I330" i="3" s="1"/>
  <c r="G331" i="3"/>
  <c r="I331" i="3" s="1"/>
  <c r="G332" i="3"/>
  <c r="I332" i="3" s="1"/>
  <c r="G333" i="3"/>
  <c r="I333" i="3" s="1"/>
  <c r="G334" i="3"/>
  <c r="I334" i="3" s="1"/>
  <c r="G335" i="3"/>
  <c r="I335" i="3" s="1"/>
  <c r="G336" i="3"/>
  <c r="I336" i="3" s="1"/>
  <c r="G337" i="3"/>
  <c r="I337" i="3" s="1"/>
  <c r="G338" i="3"/>
  <c r="I338" i="3" s="1"/>
  <c r="G339" i="3"/>
  <c r="I339" i="3" s="1"/>
  <c r="G340" i="3"/>
  <c r="I340" i="3" s="1"/>
  <c r="G341" i="3"/>
  <c r="I341" i="3" s="1"/>
  <c r="G342" i="3"/>
  <c r="I342" i="3" s="1"/>
  <c r="G343" i="3"/>
  <c r="I343" i="3" s="1"/>
  <c r="G344" i="3"/>
  <c r="I344" i="3" s="1"/>
  <c r="G345" i="3"/>
  <c r="I345" i="3" s="1"/>
  <c r="G346" i="3"/>
  <c r="I346" i="3" s="1"/>
  <c r="G347" i="3"/>
  <c r="I347" i="3" s="1"/>
  <c r="G348" i="3"/>
  <c r="I348" i="3" s="1"/>
  <c r="G349" i="3"/>
  <c r="I349" i="3" s="1"/>
  <c r="G350" i="3"/>
  <c r="I350" i="3" s="1"/>
  <c r="G351" i="3"/>
  <c r="I351" i="3" s="1"/>
  <c r="G352" i="3"/>
  <c r="I352" i="3" s="1"/>
  <c r="G353" i="3"/>
  <c r="I353" i="3" s="1"/>
  <c r="G354" i="3"/>
  <c r="I354" i="3" s="1"/>
  <c r="G355" i="3"/>
  <c r="I355" i="3" s="1"/>
  <c r="G356" i="3"/>
  <c r="I356" i="3" s="1"/>
  <c r="G357" i="3"/>
  <c r="I357" i="3" s="1"/>
  <c r="G358" i="3"/>
  <c r="I358" i="3" s="1"/>
  <c r="G359" i="3"/>
  <c r="I359" i="3" s="1"/>
  <c r="G360" i="3"/>
  <c r="I360" i="3" s="1"/>
  <c r="G361" i="3"/>
  <c r="I361" i="3" s="1"/>
  <c r="G362" i="3"/>
  <c r="I362" i="3" s="1"/>
  <c r="G363" i="3"/>
  <c r="I363" i="3" s="1"/>
  <c r="G364" i="3"/>
  <c r="I364" i="3" s="1"/>
  <c r="G365" i="3"/>
  <c r="I365" i="3" s="1"/>
  <c r="G366" i="3"/>
  <c r="I366" i="3" s="1"/>
  <c r="G367" i="3"/>
  <c r="I367" i="3" s="1"/>
  <c r="G368" i="3"/>
  <c r="I368" i="3" s="1"/>
  <c r="G369" i="3"/>
  <c r="I369" i="3" s="1"/>
  <c r="G370" i="3"/>
  <c r="I370" i="3" s="1"/>
  <c r="G371" i="3"/>
  <c r="I371" i="3" s="1"/>
  <c r="G372" i="3"/>
  <c r="I372" i="3" s="1"/>
  <c r="G373" i="3"/>
  <c r="I373" i="3" s="1"/>
  <c r="G374" i="3"/>
  <c r="I374" i="3" s="1"/>
  <c r="G375" i="3"/>
  <c r="I375" i="3" s="1"/>
  <c r="G376" i="3"/>
  <c r="I376" i="3" s="1"/>
  <c r="G377" i="3"/>
  <c r="I377" i="3" s="1"/>
  <c r="G378" i="3"/>
  <c r="I378" i="3" s="1"/>
  <c r="G379" i="3"/>
  <c r="I379" i="3" s="1"/>
  <c r="G380" i="3"/>
  <c r="I380" i="3" s="1"/>
  <c r="G381" i="3"/>
  <c r="I381" i="3" s="1"/>
  <c r="G382" i="3"/>
  <c r="I382" i="3" s="1"/>
  <c r="G383" i="3"/>
  <c r="I383" i="3" s="1"/>
  <c r="G384" i="3"/>
  <c r="I384" i="3" s="1"/>
  <c r="G385" i="3"/>
  <c r="I385" i="3" s="1"/>
  <c r="G386" i="3"/>
  <c r="I386" i="3" s="1"/>
  <c r="G387" i="3"/>
  <c r="I387" i="3" s="1"/>
  <c r="G388" i="3"/>
  <c r="I388" i="3" s="1"/>
  <c r="G389" i="3"/>
  <c r="I389" i="3" s="1"/>
  <c r="G390" i="3"/>
  <c r="I390" i="3" s="1"/>
  <c r="G391" i="3"/>
  <c r="I391" i="3" s="1"/>
  <c r="G392" i="3"/>
  <c r="I392" i="3" s="1"/>
  <c r="G393" i="3"/>
  <c r="I393" i="3" s="1"/>
  <c r="G394" i="3"/>
  <c r="I394" i="3" s="1"/>
  <c r="G395" i="3"/>
  <c r="I395" i="3" s="1"/>
  <c r="G396" i="3"/>
  <c r="I396" i="3" s="1"/>
  <c r="G397" i="3"/>
  <c r="I397" i="3" s="1"/>
  <c r="G398" i="3"/>
  <c r="I398" i="3" s="1"/>
  <c r="G399" i="3"/>
  <c r="I399" i="3" s="1"/>
  <c r="G400" i="3"/>
  <c r="I400" i="3" s="1"/>
  <c r="G401" i="3"/>
  <c r="I401" i="3" s="1"/>
  <c r="G402" i="3"/>
  <c r="I402" i="3" s="1"/>
  <c r="G403" i="3"/>
  <c r="I403" i="3" s="1"/>
  <c r="G404" i="3"/>
  <c r="I404" i="3" s="1"/>
  <c r="G405" i="3"/>
  <c r="I405" i="3" s="1"/>
  <c r="G406" i="3"/>
  <c r="I406" i="3" s="1"/>
  <c r="G407" i="3"/>
  <c r="I407" i="3" s="1"/>
  <c r="G408" i="3"/>
  <c r="I408" i="3" s="1"/>
  <c r="G409" i="3"/>
  <c r="I409" i="3" s="1"/>
  <c r="G410" i="3"/>
  <c r="I410" i="3" s="1"/>
  <c r="G411" i="3"/>
  <c r="I411" i="3" s="1"/>
  <c r="G412" i="3"/>
  <c r="I412" i="3" s="1"/>
  <c r="G413" i="3"/>
  <c r="I413" i="3" s="1"/>
  <c r="G414" i="3"/>
  <c r="I414" i="3" s="1"/>
  <c r="G415" i="3"/>
  <c r="I415" i="3" s="1"/>
  <c r="G416" i="3"/>
  <c r="I416" i="3" s="1"/>
  <c r="G417" i="3"/>
  <c r="I417" i="3" s="1"/>
  <c r="G418" i="3"/>
  <c r="I418" i="3" s="1"/>
  <c r="G419" i="3"/>
  <c r="I419" i="3" s="1"/>
  <c r="G420" i="3"/>
  <c r="I420" i="3" s="1"/>
  <c r="G421" i="3"/>
  <c r="I421" i="3" s="1"/>
  <c r="G422" i="3"/>
  <c r="I422" i="3" s="1"/>
  <c r="G423" i="3"/>
  <c r="I423" i="3" s="1"/>
  <c r="G424" i="3"/>
  <c r="I424" i="3" s="1"/>
  <c r="G425" i="3"/>
  <c r="I425" i="3" s="1"/>
  <c r="G426" i="3"/>
  <c r="I426" i="3" s="1"/>
  <c r="G427" i="3"/>
  <c r="I427" i="3" s="1"/>
  <c r="G428" i="3"/>
  <c r="I428" i="3" s="1"/>
  <c r="G429" i="3"/>
  <c r="I429" i="3" s="1"/>
  <c r="G430" i="3"/>
  <c r="I430" i="3" s="1"/>
  <c r="G431" i="3"/>
  <c r="I431" i="3" s="1"/>
  <c r="G432" i="3"/>
  <c r="I432" i="3" s="1"/>
  <c r="G433" i="3"/>
  <c r="I433" i="3" s="1"/>
  <c r="G434" i="3"/>
  <c r="I434" i="3" s="1"/>
  <c r="G435" i="3"/>
  <c r="I435" i="3" s="1"/>
  <c r="G436" i="3"/>
  <c r="I436" i="3" s="1"/>
  <c r="G437" i="3"/>
  <c r="I437" i="3" s="1"/>
  <c r="G438" i="3"/>
  <c r="I438" i="3" s="1"/>
  <c r="G439" i="3"/>
  <c r="I439" i="3" s="1"/>
  <c r="G440" i="3"/>
  <c r="I440" i="3" s="1"/>
  <c r="G441" i="3"/>
  <c r="I441" i="3" s="1"/>
  <c r="G442" i="3"/>
  <c r="I442" i="3" s="1"/>
  <c r="G443" i="3"/>
  <c r="I443" i="3" s="1"/>
  <c r="G444" i="3"/>
  <c r="I444" i="3" s="1"/>
  <c r="G445" i="3"/>
  <c r="I445" i="3" s="1"/>
  <c r="G446" i="3"/>
  <c r="I446" i="3" s="1"/>
  <c r="G447" i="3"/>
  <c r="I447" i="3" s="1"/>
  <c r="G448" i="3"/>
  <c r="I448" i="3" s="1"/>
  <c r="G449" i="3"/>
  <c r="I449" i="3" s="1"/>
  <c r="G450" i="3"/>
  <c r="I450" i="3" s="1"/>
  <c r="G451" i="3"/>
  <c r="I451" i="3" s="1"/>
  <c r="G452" i="3"/>
  <c r="I452" i="3" s="1"/>
  <c r="G453" i="3"/>
  <c r="I453" i="3" s="1"/>
  <c r="G454" i="3"/>
  <c r="I454" i="3" s="1"/>
  <c r="G455" i="3"/>
  <c r="I455" i="3" s="1"/>
  <c r="G456" i="3"/>
  <c r="I456" i="3" s="1"/>
  <c r="G457" i="3"/>
  <c r="I457" i="3" s="1"/>
  <c r="G458" i="3"/>
  <c r="I458" i="3" s="1"/>
  <c r="G459" i="3"/>
  <c r="I459" i="3" s="1"/>
  <c r="G460" i="3"/>
  <c r="I460" i="3" s="1"/>
  <c r="G461" i="3"/>
  <c r="I461" i="3" s="1"/>
  <c r="G462" i="3"/>
  <c r="I462" i="3" s="1"/>
  <c r="G463" i="3"/>
  <c r="I463" i="3" s="1"/>
  <c r="G464" i="3"/>
  <c r="I464" i="3" s="1"/>
  <c r="G465" i="3"/>
  <c r="I465" i="3" s="1"/>
  <c r="G466" i="3"/>
  <c r="I466" i="3" s="1"/>
  <c r="G467" i="3"/>
  <c r="I467" i="3" s="1"/>
  <c r="G468" i="3"/>
  <c r="I468" i="3" s="1"/>
  <c r="G469" i="3"/>
  <c r="I469" i="3" s="1"/>
  <c r="G470" i="3"/>
  <c r="I470" i="3" s="1"/>
  <c r="G471" i="3"/>
  <c r="I471" i="3" s="1"/>
  <c r="G472" i="3"/>
  <c r="I472" i="3" s="1"/>
  <c r="G473" i="3"/>
  <c r="I473" i="3" s="1"/>
  <c r="G474" i="3"/>
  <c r="I474" i="3" s="1"/>
  <c r="G475" i="3"/>
  <c r="I475" i="3" s="1"/>
  <c r="G476" i="3"/>
  <c r="I476" i="3" s="1"/>
  <c r="G477" i="3"/>
  <c r="I477" i="3" s="1"/>
  <c r="G478" i="3"/>
  <c r="I478" i="3" s="1"/>
  <c r="G479" i="3"/>
  <c r="I479" i="3" s="1"/>
  <c r="G480" i="3"/>
  <c r="I480" i="3" s="1"/>
  <c r="G481" i="3"/>
  <c r="I481" i="3" s="1"/>
  <c r="G482" i="3"/>
  <c r="I482" i="3" s="1"/>
  <c r="G483" i="3"/>
  <c r="I483" i="3" s="1"/>
  <c r="G484" i="3"/>
  <c r="I484" i="3" s="1"/>
  <c r="G485" i="3"/>
  <c r="I485" i="3" s="1"/>
  <c r="G486" i="3"/>
  <c r="I486" i="3" s="1"/>
  <c r="G487" i="3"/>
  <c r="I487" i="3" s="1"/>
  <c r="G488" i="3"/>
  <c r="I488" i="3" s="1"/>
  <c r="G489" i="3"/>
  <c r="I489" i="3" s="1"/>
  <c r="G490" i="3"/>
  <c r="I490" i="3" s="1"/>
  <c r="G491" i="3"/>
  <c r="I491" i="3" s="1"/>
  <c r="G492" i="3"/>
  <c r="I492" i="3" s="1"/>
  <c r="G493" i="3"/>
  <c r="I493" i="3" s="1"/>
  <c r="G494" i="3"/>
  <c r="I494" i="3" s="1"/>
  <c r="G495" i="3"/>
  <c r="I495" i="3" s="1"/>
  <c r="G496" i="3"/>
  <c r="I496" i="3" s="1"/>
  <c r="G497" i="3"/>
  <c r="I497" i="3" s="1"/>
  <c r="G498" i="3"/>
  <c r="I498" i="3" s="1"/>
  <c r="G499" i="3"/>
  <c r="I499" i="3" s="1"/>
  <c r="G500" i="3"/>
  <c r="I500" i="3" s="1"/>
  <c r="G501" i="3"/>
  <c r="I501" i="3" s="1"/>
  <c r="G502" i="3"/>
  <c r="I502" i="3" s="1"/>
  <c r="G503" i="3"/>
  <c r="I503" i="3" s="1"/>
  <c r="G504" i="3"/>
  <c r="I504" i="3" s="1"/>
  <c r="G505" i="3"/>
  <c r="I505" i="3" s="1"/>
  <c r="G506" i="3"/>
  <c r="I506" i="3" s="1"/>
  <c r="G507" i="3"/>
  <c r="I507" i="3" s="1"/>
  <c r="G508" i="3"/>
  <c r="I508" i="3" s="1"/>
  <c r="G509" i="3"/>
  <c r="I509" i="3" s="1"/>
  <c r="G510" i="3"/>
  <c r="I510" i="3" s="1"/>
  <c r="G511" i="3"/>
  <c r="I511" i="3" s="1"/>
  <c r="G512" i="3"/>
  <c r="I512" i="3" s="1"/>
  <c r="G513" i="3"/>
  <c r="I513" i="3" s="1"/>
  <c r="G514" i="3"/>
  <c r="I514" i="3" s="1"/>
  <c r="G515" i="3"/>
  <c r="I515" i="3" s="1"/>
  <c r="G516" i="3"/>
  <c r="I516" i="3" s="1"/>
  <c r="G517" i="3"/>
  <c r="I517" i="3" s="1"/>
  <c r="G518" i="3"/>
  <c r="I518" i="3" s="1"/>
  <c r="G519" i="3"/>
  <c r="I519" i="3" s="1"/>
  <c r="G520" i="3"/>
  <c r="I520" i="3" s="1"/>
  <c r="G521" i="3"/>
  <c r="I521" i="3" s="1"/>
  <c r="G522" i="3"/>
  <c r="I522" i="3" s="1"/>
  <c r="G523" i="3"/>
  <c r="I523" i="3" s="1"/>
  <c r="G524" i="3"/>
  <c r="I524" i="3" s="1"/>
  <c r="G525" i="3"/>
  <c r="I525" i="3" s="1"/>
  <c r="G526" i="3"/>
  <c r="I526" i="3" s="1"/>
  <c r="G527" i="3"/>
  <c r="I527" i="3" s="1"/>
  <c r="G528" i="3"/>
  <c r="I528" i="3" s="1"/>
  <c r="G529" i="3"/>
  <c r="I529" i="3" s="1"/>
  <c r="G530" i="3"/>
  <c r="I530" i="3" s="1"/>
  <c r="G531" i="3"/>
  <c r="I531" i="3" s="1"/>
  <c r="G532" i="3"/>
  <c r="I532" i="3" s="1"/>
  <c r="G533" i="3"/>
  <c r="I533" i="3" s="1"/>
  <c r="G534" i="3"/>
  <c r="I534" i="3" s="1"/>
  <c r="G535" i="3"/>
  <c r="I535" i="3" s="1"/>
  <c r="G536" i="3"/>
  <c r="I536" i="3" s="1"/>
  <c r="G537" i="3"/>
  <c r="I537" i="3" s="1"/>
  <c r="G538" i="3"/>
  <c r="I538" i="3" s="1"/>
  <c r="G539" i="3"/>
  <c r="I539" i="3" s="1"/>
  <c r="G540" i="3"/>
  <c r="I540" i="3" s="1"/>
  <c r="G541" i="3"/>
  <c r="I541" i="3" s="1"/>
  <c r="G542" i="3"/>
  <c r="I542" i="3" s="1"/>
  <c r="G543" i="3"/>
  <c r="I543" i="3" s="1"/>
  <c r="G544" i="3"/>
  <c r="I544" i="3" s="1"/>
  <c r="G545" i="3"/>
  <c r="I545" i="3" s="1"/>
  <c r="G546" i="3"/>
  <c r="I546" i="3" s="1"/>
  <c r="G547" i="3"/>
  <c r="I547" i="3" s="1"/>
  <c r="G548" i="3"/>
  <c r="I548" i="3" s="1"/>
  <c r="G549" i="3"/>
  <c r="I549" i="3" s="1"/>
  <c r="G550" i="3"/>
  <c r="I550" i="3" s="1"/>
  <c r="G551" i="3"/>
  <c r="I551" i="3" s="1"/>
  <c r="G552" i="3"/>
  <c r="I552" i="3" s="1"/>
  <c r="G553" i="3"/>
  <c r="I553" i="3" s="1"/>
  <c r="G554" i="3"/>
  <c r="I554" i="3" s="1"/>
  <c r="G555" i="3"/>
  <c r="I555" i="3" s="1"/>
  <c r="G556" i="3"/>
  <c r="I556" i="3" s="1"/>
  <c r="G557" i="3"/>
  <c r="I557" i="3" s="1"/>
  <c r="G558" i="3"/>
  <c r="I558" i="3" s="1"/>
  <c r="G559" i="3"/>
  <c r="I559" i="3" s="1"/>
  <c r="G560" i="3"/>
  <c r="I560" i="3" s="1"/>
  <c r="G561" i="3"/>
  <c r="I561" i="3" s="1"/>
  <c r="G562" i="3"/>
  <c r="I562" i="3" s="1"/>
  <c r="G563" i="3"/>
  <c r="I563" i="3" s="1"/>
  <c r="G564" i="3"/>
  <c r="I564" i="3" s="1"/>
  <c r="G565" i="3"/>
  <c r="I565" i="3" s="1"/>
  <c r="G566" i="3"/>
  <c r="I566" i="3" s="1"/>
  <c r="G567" i="3"/>
  <c r="I567" i="3" s="1"/>
  <c r="G568" i="3"/>
  <c r="I568" i="3" s="1"/>
  <c r="G569" i="3"/>
  <c r="I569" i="3" s="1"/>
  <c r="G570" i="3"/>
  <c r="I570" i="3" s="1"/>
  <c r="G571" i="3"/>
  <c r="I571" i="3" s="1"/>
  <c r="G572" i="3"/>
  <c r="I572" i="3" s="1"/>
  <c r="G573" i="3"/>
  <c r="I573" i="3" s="1"/>
  <c r="G574" i="3"/>
  <c r="I574" i="3" s="1"/>
  <c r="G575" i="3"/>
  <c r="I575" i="3" s="1"/>
  <c r="G576" i="3"/>
  <c r="I576" i="3" s="1"/>
  <c r="G577" i="3"/>
  <c r="I577" i="3" s="1"/>
  <c r="G578" i="3"/>
  <c r="I578" i="3" s="1"/>
  <c r="G579" i="3"/>
  <c r="I579" i="3" s="1"/>
  <c r="G580" i="3"/>
  <c r="I580" i="3" s="1"/>
  <c r="G581" i="3"/>
  <c r="I581" i="3" s="1"/>
  <c r="G582" i="3"/>
  <c r="I582" i="3" s="1"/>
  <c r="G583" i="3"/>
  <c r="I583" i="3" s="1"/>
  <c r="G584" i="3"/>
  <c r="I584" i="3" s="1"/>
  <c r="G585" i="3"/>
  <c r="I585" i="3" s="1"/>
  <c r="G586" i="3"/>
  <c r="I586" i="3" s="1"/>
  <c r="G587" i="3"/>
  <c r="I587" i="3" s="1"/>
  <c r="G588" i="3"/>
  <c r="I588" i="3" s="1"/>
  <c r="G589" i="3"/>
  <c r="I589" i="3" s="1"/>
  <c r="G590" i="3"/>
  <c r="I590" i="3" s="1"/>
  <c r="G591" i="3"/>
  <c r="I591" i="3" s="1"/>
  <c r="G592" i="3"/>
  <c r="I592" i="3" s="1"/>
  <c r="G593" i="3"/>
  <c r="I593" i="3" s="1"/>
  <c r="G594" i="3"/>
  <c r="I594" i="3" s="1"/>
  <c r="G595" i="3"/>
  <c r="I595" i="3" s="1"/>
  <c r="G596" i="3"/>
  <c r="I596" i="3" s="1"/>
  <c r="G597" i="3"/>
  <c r="I597" i="3" s="1"/>
  <c r="G598" i="3"/>
  <c r="I598" i="3" s="1"/>
  <c r="G599" i="3"/>
  <c r="I599" i="3" s="1"/>
  <c r="G600" i="3"/>
  <c r="I600" i="3" s="1"/>
  <c r="G601" i="3"/>
  <c r="I601" i="3" s="1"/>
  <c r="G602" i="3"/>
  <c r="I602" i="3" s="1"/>
  <c r="G603" i="3"/>
  <c r="I603" i="3" s="1"/>
  <c r="G604" i="3"/>
  <c r="I604" i="3" s="1"/>
  <c r="G605" i="3"/>
  <c r="I605" i="3" s="1"/>
  <c r="G606" i="3"/>
  <c r="I606" i="3" s="1"/>
  <c r="G607" i="3"/>
  <c r="I607" i="3" s="1"/>
  <c r="G608" i="3"/>
  <c r="I608" i="3" s="1"/>
  <c r="G609" i="3"/>
  <c r="I609" i="3" s="1"/>
  <c r="G610" i="3"/>
  <c r="I610" i="3" s="1"/>
  <c r="G611" i="3"/>
  <c r="I611" i="3" s="1"/>
  <c r="G612" i="3"/>
  <c r="I612" i="3" s="1"/>
  <c r="G613" i="3"/>
  <c r="I613" i="3" s="1"/>
  <c r="G614" i="3"/>
  <c r="I614" i="3" s="1"/>
  <c r="G615" i="3"/>
  <c r="I615" i="3" s="1"/>
  <c r="G616" i="3"/>
  <c r="I616" i="3" s="1"/>
  <c r="G617" i="3"/>
  <c r="I617" i="3" s="1"/>
  <c r="G618" i="3"/>
  <c r="I618" i="3" s="1"/>
  <c r="G619" i="3"/>
  <c r="I619" i="3" s="1"/>
  <c r="G620" i="3"/>
  <c r="I620" i="3" s="1"/>
  <c r="G621" i="3"/>
  <c r="I621" i="3" s="1"/>
  <c r="G622" i="3"/>
  <c r="I622" i="3" s="1"/>
  <c r="G623" i="3"/>
  <c r="I623" i="3" s="1"/>
  <c r="G624" i="3"/>
  <c r="I624" i="3" s="1"/>
  <c r="G625" i="3"/>
  <c r="I625" i="3" s="1"/>
  <c r="G626" i="3"/>
  <c r="I626" i="3" s="1"/>
  <c r="G627" i="3"/>
  <c r="I627" i="3" s="1"/>
  <c r="G628" i="3"/>
  <c r="I628" i="3" s="1"/>
  <c r="G629" i="3"/>
  <c r="I629" i="3" s="1"/>
  <c r="G630" i="3"/>
  <c r="I630" i="3" s="1"/>
  <c r="G631" i="3"/>
  <c r="I631" i="3" s="1"/>
  <c r="G632" i="3"/>
  <c r="I632" i="3" s="1"/>
  <c r="G633" i="3"/>
  <c r="I633" i="3" s="1"/>
  <c r="G634" i="3"/>
  <c r="I634" i="3" s="1"/>
  <c r="G635" i="3"/>
  <c r="I635" i="3" s="1"/>
  <c r="G636" i="3"/>
  <c r="I636" i="3" s="1"/>
  <c r="G637" i="3"/>
  <c r="I637" i="3" s="1"/>
  <c r="G638" i="3"/>
  <c r="I638" i="3" s="1"/>
  <c r="G639" i="3"/>
  <c r="I639" i="3" s="1"/>
  <c r="G640" i="3"/>
  <c r="I640" i="3" s="1"/>
  <c r="G641" i="3"/>
  <c r="I641" i="3" s="1"/>
  <c r="G642" i="3"/>
  <c r="I642" i="3" s="1"/>
  <c r="G643" i="3"/>
  <c r="I643" i="3" s="1"/>
  <c r="G644" i="3"/>
  <c r="I644" i="3" s="1"/>
  <c r="G645" i="3"/>
  <c r="I645" i="3" s="1"/>
  <c r="G646" i="3"/>
  <c r="I646" i="3" s="1"/>
  <c r="G647" i="3"/>
  <c r="I647" i="3" s="1"/>
  <c r="G648" i="3"/>
  <c r="I648" i="3" s="1"/>
  <c r="G649" i="3"/>
  <c r="I649" i="3" s="1"/>
  <c r="G650" i="3"/>
  <c r="I650" i="3" s="1"/>
  <c r="G651" i="3"/>
  <c r="I651" i="3" s="1"/>
  <c r="G652" i="3"/>
  <c r="I652" i="3" s="1"/>
  <c r="G653" i="3"/>
  <c r="I653" i="3" s="1"/>
  <c r="G654" i="3"/>
  <c r="I654" i="3" s="1"/>
  <c r="G655" i="3"/>
  <c r="I655" i="3" s="1"/>
  <c r="G656" i="3"/>
  <c r="I656" i="3" s="1"/>
  <c r="G657" i="3"/>
  <c r="I657" i="3" s="1"/>
  <c r="G658" i="3"/>
  <c r="I658" i="3" s="1"/>
  <c r="G659" i="3"/>
  <c r="I659" i="3" s="1"/>
  <c r="G660" i="3"/>
  <c r="I660" i="3" s="1"/>
  <c r="G661" i="3"/>
  <c r="I661" i="3" s="1"/>
  <c r="G662" i="3"/>
  <c r="I662" i="3" s="1"/>
  <c r="G663" i="3"/>
  <c r="I663" i="3" s="1"/>
  <c r="G664" i="3"/>
  <c r="I664" i="3" s="1"/>
  <c r="G665" i="3"/>
  <c r="I665" i="3" s="1"/>
  <c r="G666" i="3"/>
  <c r="I666" i="3" s="1"/>
  <c r="G667" i="3"/>
  <c r="I667" i="3" s="1"/>
  <c r="G668" i="3"/>
  <c r="I668" i="3" s="1"/>
  <c r="G669" i="3"/>
  <c r="I669" i="3" s="1"/>
  <c r="G670" i="3"/>
  <c r="I670" i="3" s="1"/>
  <c r="G671" i="3"/>
  <c r="I671" i="3" s="1"/>
  <c r="G672" i="3"/>
  <c r="I672" i="3" s="1"/>
  <c r="G673" i="3"/>
  <c r="I673" i="3" s="1"/>
  <c r="G674" i="3"/>
  <c r="I674" i="3" s="1"/>
  <c r="G675" i="3"/>
  <c r="I675" i="3" s="1"/>
  <c r="G676" i="3"/>
  <c r="I676" i="3" s="1"/>
  <c r="G677" i="3"/>
  <c r="I677" i="3" s="1"/>
  <c r="G678" i="3"/>
  <c r="I678" i="3" s="1"/>
  <c r="G679" i="3"/>
  <c r="I679" i="3" s="1"/>
  <c r="G680" i="3"/>
  <c r="I680" i="3" s="1"/>
  <c r="G681" i="3"/>
  <c r="I681" i="3" s="1"/>
  <c r="G682" i="3"/>
  <c r="I682" i="3" s="1"/>
  <c r="G683" i="3"/>
  <c r="I683" i="3" s="1"/>
  <c r="G684" i="3"/>
  <c r="I684" i="3" s="1"/>
  <c r="G685" i="3"/>
  <c r="I685" i="3" s="1"/>
  <c r="G686" i="3"/>
  <c r="I686" i="3" s="1"/>
  <c r="G687" i="3"/>
  <c r="I687" i="3" s="1"/>
  <c r="G688" i="3"/>
  <c r="I688" i="3" s="1"/>
  <c r="G689" i="3"/>
  <c r="I689" i="3" s="1"/>
  <c r="G690" i="3"/>
  <c r="I690" i="3" s="1"/>
  <c r="G691" i="3"/>
  <c r="I691" i="3" s="1"/>
  <c r="G692" i="3"/>
  <c r="I692" i="3" s="1"/>
  <c r="G693" i="3"/>
  <c r="I693" i="3" s="1"/>
  <c r="G694" i="3"/>
  <c r="I694" i="3" s="1"/>
  <c r="G695" i="3"/>
  <c r="I695" i="3" s="1"/>
  <c r="G696" i="3"/>
  <c r="I696" i="3" s="1"/>
  <c r="G697" i="3"/>
  <c r="I697" i="3" s="1"/>
  <c r="G698" i="3"/>
  <c r="I698" i="3" s="1"/>
  <c r="G699" i="3"/>
  <c r="I699" i="3" s="1"/>
  <c r="G700" i="3"/>
  <c r="I700" i="3" s="1"/>
  <c r="G701" i="3"/>
  <c r="I701" i="3" s="1"/>
  <c r="G702" i="3"/>
  <c r="I702" i="3" s="1"/>
  <c r="G703" i="3"/>
  <c r="I703" i="3" s="1"/>
  <c r="G704" i="3"/>
  <c r="I704" i="3" s="1"/>
  <c r="G705" i="3"/>
  <c r="I705" i="3" s="1"/>
  <c r="G706" i="3"/>
  <c r="I706" i="3" s="1"/>
  <c r="G707" i="3"/>
  <c r="I707" i="3" s="1"/>
  <c r="G708" i="3"/>
  <c r="I708" i="3" s="1"/>
  <c r="G709" i="3"/>
  <c r="I709" i="3" s="1"/>
  <c r="G710" i="3"/>
  <c r="I710" i="3" s="1"/>
  <c r="G711" i="3"/>
  <c r="I711" i="3" s="1"/>
  <c r="G712" i="3"/>
  <c r="I712" i="3" s="1"/>
  <c r="G713" i="3"/>
  <c r="I713" i="3" s="1"/>
  <c r="G714" i="3"/>
  <c r="I714" i="3" s="1"/>
  <c r="G715" i="3"/>
  <c r="I715" i="3" s="1"/>
  <c r="G716" i="3"/>
  <c r="I716" i="3" s="1"/>
  <c r="G717" i="3"/>
  <c r="I717" i="3" s="1"/>
  <c r="G718" i="3"/>
  <c r="I718" i="3" s="1"/>
  <c r="G719" i="3"/>
  <c r="I719" i="3" s="1"/>
  <c r="G720" i="3"/>
  <c r="I720" i="3" s="1"/>
  <c r="G721" i="3"/>
  <c r="I721" i="3" s="1"/>
  <c r="G722" i="3"/>
  <c r="I722" i="3" s="1"/>
  <c r="G723" i="3"/>
  <c r="I723" i="3" s="1"/>
  <c r="G724" i="3"/>
  <c r="I724" i="3" s="1"/>
  <c r="G725" i="3"/>
  <c r="I725" i="3" s="1"/>
  <c r="G726" i="3"/>
  <c r="I726" i="3" s="1"/>
  <c r="G727" i="3"/>
  <c r="I727" i="3" s="1"/>
  <c r="G728" i="3"/>
  <c r="I728" i="3" s="1"/>
  <c r="G729" i="3"/>
  <c r="I729" i="3" s="1"/>
  <c r="G730" i="3"/>
  <c r="I730" i="3" s="1"/>
  <c r="G731" i="3"/>
  <c r="I731" i="3" s="1"/>
  <c r="G732" i="3"/>
  <c r="I732" i="3" s="1"/>
  <c r="G733" i="3"/>
  <c r="I733" i="3" s="1"/>
  <c r="G734" i="3"/>
  <c r="I734" i="3" s="1"/>
  <c r="G735" i="3"/>
  <c r="I735" i="3" s="1"/>
  <c r="G736" i="3"/>
  <c r="I736" i="3" s="1"/>
  <c r="G737" i="3"/>
  <c r="I737" i="3" s="1"/>
  <c r="G738" i="3"/>
  <c r="I738" i="3" s="1"/>
  <c r="G739" i="3"/>
  <c r="I739" i="3" s="1"/>
  <c r="G740" i="3"/>
  <c r="I740" i="3" s="1"/>
  <c r="G741" i="3"/>
  <c r="I741" i="3" s="1"/>
  <c r="G742" i="3"/>
  <c r="I742" i="3" s="1"/>
  <c r="G743" i="3"/>
  <c r="I743" i="3" s="1"/>
  <c r="G744" i="3"/>
  <c r="I744" i="3" s="1"/>
  <c r="G745" i="3"/>
  <c r="I745" i="3" s="1"/>
  <c r="G746" i="3"/>
  <c r="I746" i="3" s="1"/>
  <c r="G747" i="3"/>
  <c r="I747" i="3" s="1"/>
  <c r="G748" i="3"/>
  <c r="I748" i="3" s="1"/>
  <c r="G749" i="3"/>
  <c r="I749" i="3" s="1"/>
  <c r="G750" i="3"/>
  <c r="I750" i="3" s="1"/>
  <c r="G751" i="3"/>
  <c r="I751" i="3" s="1"/>
  <c r="G752" i="3"/>
  <c r="I752" i="3" s="1"/>
  <c r="G753" i="3"/>
  <c r="I753" i="3" s="1"/>
  <c r="G754" i="3"/>
  <c r="I754" i="3" s="1"/>
  <c r="G755" i="3"/>
  <c r="I755" i="3" s="1"/>
  <c r="G756" i="3"/>
  <c r="I756" i="3" s="1"/>
  <c r="G757" i="3"/>
  <c r="I757" i="3" s="1"/>
  <c r="G758" i="3"/>
  <c r="I758" i="3" s="1"/>
  <c r="G759" i="3"/>
  <c r="I759" i="3" s="1"/>
  <c r="G760" i="3"/>
  <c r="I760" i="3" s="1"/>
  <c r="G761" i="3"/>
  <c r="I761" i="3" s="1"/>
  <c r="G762" i="3"/>
  <c r="I762" i="3" s="1"/>
  <c r="G763" i="3"/>
  <c r="I763" i="3" s="1"/>
  <c r="G764" i="3"/>
  <c r="I764" i="3" s="1"/>
  <c r="G765" i="3"/>
  <c r="I765" i="3" s="1"/>
  <c r="G766" i="3"/>
  <c r="I766" i="3" s="1"/>
  <c r="G767" i="3"/>
  <c r="I767" i="3" s="1"/>
  <c r="G768" i="3"/>
  <c r="I768" i="3" s="1"/>
  <c r="G769" i="3"/>
  <c r="I769" i="3" s="1"/>
  <c r="G770" i="3"/>
  <c r="I770" i="3" s="1"/>
  <c r="G771" i="3"/>
  <c r="I771" i="3" s="1"/>
  <c r="G772" i="3"/>
  <c r="I772" i="3" s="1"/>
  <c r="G773" i="3"/>
  <c r="I773" i="3" s="1"/>
  <c r="G774" i="3"/>
  <c r="I774" i="3" s="1"/>
  <c r="G775" i="3"/>
  <c r="I775" i="3" s="1"/>
  <c r="G776" i="3"/>
  <c r="I776" i="3" s="1"/>
  <c r="G777" i="3"/>
  <c r="I777" i="3" s="1"/>
  <c r="G778" i="3"/>
  <c r="I778" i="3" s="1"/>
  <c r="G779" i="3"/>
  <c r="I779" i="3" s="1"/>
  <c r="G780" i="3"/>
  <c r="I780" i="3" s="1"/>
  <c r="G781" i="3"/>
  <c r="I781" i="3" s="1"/>
  <c r="G782" i="3"/>
  <c r="I782" i="3" s="1"/>
  <c r="G783" i="3"/>
  <c r="I783" i="3" s="1"/>
  <c r="G784" i="3"/>
  <c r="I784" i="3" s="1"/>
  <c r="G785" i="3"/>
  <c r="I785" i="3" s="1"/>
  <c r="G786" i="3"/>
  <c r="I786" i="3" s="1"/>
  <c r="G787" i="3"/>
  <c r="I787" i="3" s="1"/>
  <c r="G788" i="3"/>
  <c r="I788" i="3" s="1"/>
  <c r="G789" i="3"/>
  <c r="I789" i="3" s="1"/>
  <c r="G790" i="3"/>
  <c r="I790" i="3" s="1"/>
  <c r="G791" i="3"/>
  <c r="I791" i="3" s="1"/>
  <c r="G792" i="3"/>
  <c r="I792" i="3" s="1"/>
  <c r="G793" i="3"/>
  <c r="I793" i="3" s="1"/>
  <c r="G794" i="3"/>
  <c r="I794" i="3" s="1"/>
  <c r="G795" i="3"/>
  <c r="I795" i="3" s="1"/>
  <c r="G796" i="3"/>
  <c r="I796" i="3" s="1"/>
  <c r="G797" i="3"/>
  <c r="I797" i="3" s="1"/>
  <c r="G798" i="3"/>
  <c r="I798" i="3" s="1"/>
  <c r="G799" i="3"/>
  <c r="I799" i="3" s="1"/>
  <c r="G800" i="3"/>
  <c r="I800" i="3" s="1"/>
  <c r="G801" i="3"/>
  <c r="I801" i="3" s="1"/>
  <c r="G802" i="3"/>
  <c r="I802" i="3" s="1"/>
  <c r="G803" i="3"/>
  <c r="I803" i="3" s="1"/>
  <c r="G804" i="3"/>
  <c r="I804" i="3" s="1"/>
  <c r="G805" i="3"/>
  <c r="I805" i="3" s="1"/>
  <c r="G806" i="3"/>
  <c r="I806" i="3" s="1"/>
  <c r="G807" i="3"/>
  <c r="I807" i="3" s="1"/>
  <c r="G808" i="3"/>
  <c r="I808" i="3" s="1"/>
  <c r="G809" i="3"/>
  <c r="I809" i="3" s="1"/>
  <c r="G810" i="3"/>
  <c r="I810" i="3" s="1"/>
  <c r="G811" i="3"/>
  <c r="I811" i="3" s="1"/>
  <c r="G812" i="3"/>
  <c r="I812" i="3" s="1"/>
  <c r="G813" i="3"/>
  <c r="I813" i="3" s="1"/>
  <c r="G814" i="3"/>
  <c r="I814" i="3" s="1"/>
  <c r="G815" i="3"/>
  <c r="I815" i="3" s="1"/>
  <c r="G816" i="3"/>
  <c r="I816" i="3" s="1"/>
  <c r="G817" i="3"/>
  <c r="I817" i="3" s="1"/>
  <c r="G818" i="3"/>
  <c r="I818" i="3" s="1"/>
  <c r="G819" i="3"/>
  <c r="I819" i="3" s="1"/>
  <c r="G820" i="3"/>
  <c r="I820" i="3" s="1"/>
  <c r="G821" i="3"/>
  <c r="I821" i="3" s="1"/>
  <c r="G822" i="3"/>
  <c r="I822" i="3" s="1"/>
  <c r="G823" i="3"/>
  <c r="I823" i="3" s="1"/>
  <c r="G824" i="3"/>
  <c r="I824" i="3" s="1"/>
  <c r="G825" i="3"/>
  <c r="I825" i="3" s="1"/>
  <c r="G826" i="3"/>
  <c r="I826" i="3" s="1"/>
  <c r="G827" i="3"/>
  <c r="I827" i="3" s="1"/>
  <c r="G828" i="3"/>
  <c r="I828" i="3" s="1"/>
  <c r="G829" i="3"/>
  <c r="I829" i="3" s="1"/>
  <c r="G830" i="3"/>
  <c r="I830" i="3" s="1"/>
  <c r="G831" i="3"/>
  <c r="I831" i="3" s="1"/>
  <c r="G832" i="3"/>
  <c r="I832" i="3" s="1"/>
  <c r="G833" i="3"/>
  <c r="I833" i="3" s="1"/>
  <c r="G834" i="3"/>
  <c r="I834" i="3" s="1"/>
  <c r="G835" i="3"/>
  <c r="I835" i="3" s="1"/>
  <c r="G836" i="3"/>
  <c r="I836" i="3" s="1"/>
  <c r="G837" i="3"/>
  <c r="I837" i="3" s="1"/>
  <c r="G838" i="3"/>
  <c r="I838" i="3" s="1"/>
  <c r="G839" i="3"/>
  <c r="I839" i="3" s="1"/>
  <c r="G840" i="3"/>
  <c r="I840" i="3" s="1"/>
  <c r="G841" i="3"/>
  <c r="I841" i="3" s="1"/>
  <c r="G842" i="3"/>
  <c r="I842" i="3" s="1"/>
  <c r="G843" i="3"/>
  <c r="I843" i="3" s="1"/>
  <c r="G844" i="3"/>
  <c r="I844" i="3" s="1"/>
  <c r="G845" i="3"/>
  <c r="I845" i="3" s="1"/>
  <c r="G846" i="3"/>
  <c r="I846" i="3" s="1"/>
  <c r="G847" i="3"/>
  <c r="I847" i="3" s="1"/>
  <c r="G848" i="3"/>
  <c r="I848" i="3" s="1"/>
  <c r="G849" i="3"/>
  <c r="I849" i="3" s="1"/>
  <c r="G850" i="3"/>
  <c r="I850" i="3" s="1"/>
  <c r="G851" i="3"/>
  <c r="I851" i="3" s="1"/>
  <c r="G852" i="3"/>
  <c r="I852" i="3" s="1"/>
  <c r="G853" i="3"/>
  <c r="I853" i="3" s="1"/>
  <c r="G854" i="3"/>
  <c r="I854" i="3" s="1"/>
  <c r="G855" i="3"/>
  <c r="I855" i="3" s="1"/>
  <c r="G856" i="3"/>
  <c r="I856" i="3" s="1"/>
  <c r="G857" i="3"/>
  <c r="I857" i="3" s="1"/>
  <c r="G858" i="3"/>
  <c r="I858" i="3" s="1"/>
  <c r="G859" i="3"/>
  <c r="I859" i="3" s="1"/>
  <c r="G860" i="3"/>
  <c r="I860" i="3" s="1"/>
  <c r="G861" i="3"/>
  <c r="I861" i="3" s="1"/>
  <c r="G862" i="3"/>
  <c r="I862" i="3" s="1"/>
  <c r="G863" i="3"/>
  <c r="I863" i="3" s="1"/>
  <c r="G864" i="3"/>
  <c r="I864" i="3" s="1"/>
  <c r="G865" i="3"/>
  <c r="I865" i="3" s="1"/>
  <c r="G866" i="3"/>
  <c r="I866" i="3" s="1"/>
  <c r="G867" i="3"/>
  <c r="I867" i="3" s="1"/>
  <c r="G868" i="3"/>
  <c r="I868" i="3" s="1"/>
  <c r="G869" i="3"/>
  <c r="I869" i="3" s="1"/>
  <c r="G870" i="3"/>
  <c r="I870" i="3" s="1"/>
  <c r="G871" i="3"/>
  <c r="I871" i="3" s="1"/>
  <c r="G872" i="3"/>
  <c r="I872" i="3" s="1"/>
  <c r="G873" i="3"/>
  <c r="I873" i="3" s="1"/>
  <c r="G874" i="3"/>
  <c r="I874" i="3" s="1"/>
  <c r="G875" i="3"/>
  <c r="I875" i="3" s="1"/>
  <c r="G876" i="3"/>
  <c r="I876" i="3" s="1"/>
  <c r="G877" i="3"/>
  <c r="I877" i="3" s="1"/>
  <c r="G878" i="3"/>
  <c r="I878" i="3" s="1"/>
  <c r="G879" i="3"/>
  <c r="I879" i="3" s="1"/>
  <c r="G880" i="3"/>
  <c r="I880" i="3" s="1"/>
  <c r="G881" i="3"/>
  <c r="I881" i="3" s="1"/>
  <c r="G882" i="3"/>
  <c r="I882" i="3" s="1"/>
  <c r="G883" i="3"/>
  <c r="I883" i="3" s="1"/>
  <c r="G884" i="3"/>
  <c r="I884" i="3" s="1"/>
  <c r="G885" i="3"/>
  <c r="I885" i="3" s="1"/>
  <c r="G886" i="3"/>
  <c r="I886" i="3" s="1"/>
  <c r="G887" i="3"/>
  <c r="I887" i="3" s="1"/>
  <c r="G888" i="3"/>
  <c r="I888" i="3" s="1"/>
  <c r="G889" i="3"/>
  <c r="I889" i="3" s="1"/>
  <c r="G890" i="3"/>
  <c r="I890" i="3" s="1"/>
  <c r="G891" i="3"/>
  <c r="I891" i="3" s="1"/>
  <c r="G892" i="3"/>
  <c r="I892" i="3" s="1"/>
  <c r="G893" i="3"/>
  <c r="I893" i="3" s="1"/>
  <c r="G894" i="3"/>
  <c r="I894" i="3" s="1"/>
  <c r="G895" i="3"/>
  <c r="I895" i="3" s="1"/>
  <c r="G896" i="3"/>
  <c r="I896" i="3" s="1"/>
  <c r="G897" i="3"/>
  <c r="I897" i="3" s="1"/>
  <c r="G898" i="3"/>
  <c r="I898" i="3" s="1"/>
  <c r="G899" i="3"/>
  <c r="I899" i="3" s="1"/>
  <c r="G900" i="3"/>
  <c r="I900" i="3" s="1"/>
  <c r="G901" i="3"/>
  <c r="I901" i="3" s="1"/>
  <c r="G902" i="3"/>
  <c r="I902" i="3" s="1"/>
  <c r="G903" i="3"/>
  <c r="I903" i="3" s="1"/>
  <c r="G904" i="3"/>
  <c r="I904" i="3" s="1"/>
  <c r="G905" i="3"/>
  <c r="I905" i="3" s="1"/>
  <c r="G906" i="3"/>
  <c r="I906" i="3" s="1"/>
  <c r="G907" i="3"/>
  <c r="I907" i="3" s="1"/>
  <c r="G908" i="3"/>
  <c r="I908" i="3" s="1"/>
  <c r="G909" i="3"/>
  <c r="I909" i="3" s="1"/>
  <c r="G910" i="3"/>
  <c r="I910" i="3" s="1"/>
  <c r="G911" i="3"/>
  <c r="I911" i="3" s="1"/>
  <c r="G912" i="3"/>
  <c r="I912" i="3" s="1"/>
  <c r="G913" i="3"/>
  <c r="I913" i="3" s="1"/>
  <c r="G914" i="3"/>
  <c r="I914" i="3" s="1"/>
  <c r="G915" i="3"/>
  <c r="I915" i="3" s="1"/>
  <c r="G916" i="3"/>
  <c r="I916" i="3" s="1"/>
  <c r="G917" i="3"/>
  <c r="I917" i="3" s="1"/>
  <c r="G918" i="3"/>
  <c r="I918" i="3" s="1"/>
  <c r="G919" i="3"/>
  <c r="I919" i="3" s="1"/>
  <c r="G920" i="3"/>
  <c r="I920" i="3" s="1"/>
  <c r="G921" i="3"/>
  <c r="I921" i="3" s="1"/>
  <c r="G922" i="3"/>
  <c r="I922" i="3" s="1"/>
  <c r="G923" i="3"/>
  <c r="I923" i="3" s="1"/>
  <c r="G924" i="3"/>
  <c r="I924" i="3" s="1"/>
  <c r="G925" i="3"/>
  <c r="I925" i="3" s="1"/>
  <c r="G926" i="3"/>
  <c r="I926" i="3" s="1"/>
  <c r="G927" i="3"/>
  <c r="I927" i="3" s="1"/>
  <c r="G928" i="3"/>
  <c r="I928" i="3" s="1"/>
  <c r="G929" i="3"/>
  <c r="I929" i="3" s="1"/>
  <c r="G930" i="3"/>
  <c r="I930" i="3" s="1"/>
  <c r="G931" i="3"/>
  <c r="I931" i="3" s="1"/>
  <c r="G932" i="3"/>
  <c r="I932" i="3" s="1"/>
  <c r="G933" i="3"/>
  <c r="I933" i="3" s="1"/>
  <c r="G934" i="3"/>
  <c r="I934" i="3" s="1"/>
  <c r="G935" i="3"/>
  <c r="I935" i="3" s="1"/>
  <c r="G936" i="3"/>
  <c r="I936" i="3" s="1"/>
  <c r="G937" i="3"/>
  <c r="I937" i="3" s="1"/>
  <c r="G938" i="3"/>
  <c r="I938" i="3" s="1"/>
  <c r="G939" i="3"/>
  <c r="I939" i="3" s="1"/>
  <c r="G940" i="3"/>
  <c r="I940" i="3" s="1"/>
  <c r="G941" i="3"/>
  <c r="I941" i="3" s="1"/>
  <c r="G942" i="3"/>
  <c r="I942" i="3" s="1"/>
  <c r="G943" i="3"/>
  <c r="I943" i="3" s="1"/>
  <c r="G944" i="3"/>
  <c r="I944" i="3" s="1"/>
  <c r="G945" i="3"/>
  <c r="I945" i="3" s="1"/>
  <c r="G946" i="3"/>
  <c r="I946" i="3" s="1"/>
  <c r="G947" i="3"/>
  <c r="I947" i="3" s="1"/>
  <c r="G948" i="3"/>
  <c r="I948" i="3" s="1"/>
  <c r="G949" i="3"/>
  <c r="I949" i="3" s="1"/>
  <c r="G950" i="3"/>
  <c r="I950" i="3" s="1"/>
  <c r="G951" i="3"/>
  <c r="I951" i="3" s="1"/>
  <c r="G952" i="3"/>
  <c r="I952" i="3" s="1"/>
  <c r="G953" i="3"/>
  <c r="I953" i="3" s="1"/>
  <c r="G954" i="3"/>
  <c r="I954" i="3" s="1"/>
  <c r="G955" i="3"/>
  <c r="I955" i="3" s="1"/>
  <c r="G956" i="3"/>
  <c r="I956" i="3" s="1"/>
  <c r="G957" i="3"/>
  <c r="I957" i="3" s="1"/>
  <c r="G958" i="3"/>
  <c r="I958" i="3" s="1"/>
  <c r="G959" i="3"/>
  <c r="I959" i="3" s="1"/>
  <c r="G960" i="3"/>
  <c r="I960" i="3" s="1"/>
  <c r="G961" i="3"/>
  <c r="I961" i="3" s="1"/>
  <c r="G962" i="3"/>
  <c r="I962" i="3" s="1"/>
  <c r="G963" i="3"/>
  <c r="I963" i="3" s="1"/>
  <c r="G964" i="3"/>
  <c r="I964" i="3" s="1"/>
  <c r="G965" i="3"/>
  <c r="I965" i="3" s="1"/>
  <c r="G966" i="3"/>
  <c r="I966" i="3" s="1"/>
  <c r="G967" i="3"/>
  <c r="I967" i="3" s="1"/>
  <c r="G968" i="3"/>
  <c r="I968" i="3" s="1"/>
  <c r="G969" i="3"/>
  <c r="I969" i="3" s="1"/>
  <c r="G970" i="3"/>
  <c r="I970" i="3" s="1"/>
  <c r="G971" i="3"/>
  <c r="I971" i="3" s="1"/>
  <c r="G972" i="3"/>
  <c r="I972" i="3" s="1"/>
  <c r="G973" i="3"/>
  <c r="I973" i="3" s="1"/>
  <c r="G974" i="3"/>
  <c r="I974" i="3" s="1"/>
  <c r="G975" i="3"/>
  <c r="I975" i="3" s="1"/>
  <c r="G976" i="3"/>
  <c r="I976" i="3" s="1"/>
  <c r="G977" i="3"/>
  <c r="I977" i="3" s="1"/>
  <c r="G978" i="3"/>
  <c r="I978" i="3" s="1"/>
  <c r="G979" i="3"/>
  <c r="I979" i="3" s="1"/>
  <c r="G980" i="3"/>
  <c r="I980" i="3" s="1"/>
  <c r="G981" i="3"/>
  <c r="I981" i="3" s="1"/>
  <c r="G982" i="3"/>
  <c r="I982" i="3" s="1"/>
  <c r="G983" i="3"/>
  <c r="I983" i="3" s="1"/>
  <c r="G984" i="3"/>
  <c r="I984" i="3" s="1"/>
  <c r="G985" i="3"/>
  <c r="I985" i="3" s="1"/>
  <c r="G986" i="3"/>
  <c r="I986" i="3" s="1"/>
  <c r="G987" i="3"/>
  <c r="I987" i="3" s="1"/>
  <c r="G988" i="3"/>
  <c r="I988" i="3" s="1"/>
  <c r="G989" i="3"/>
  <c r="I989" i="3" s="1"/>
  <c r="G990" i="3"/>
  <c r="I990" i="3" s="1"/>
  <c r="G991" i="3"/>
  <c r="I991" i="3" s="1"/>
  <c r="G992" i="3"/>
  <c r="I992" i="3" s="1"/>
  <c r="G993" i="3"/>
  <c r="I993" i="3" s="1"/>
  <c r="G994" i="3"/>
  <c r="I994" i="3" s="1"/>
  <c r="G995" i="3"/>
  <c r="I995" i="3" s="1"/>
  <c r="G996" i="3"/>
  <c r="I996" i="3" s="1"/>
  <c r="G997" i="3"/>
  <c r="I997" i="3" s="1"/>
  <c r="G998" i="3"/>
  <c r="I998" i="3" s="1"/>
  <c r="G999" i="3"/>
  <c r="I999" i="3" s="1"/>
  <c r="G1000" i="3"/>
  <c r="I1000" i="3" s="1"/>
  <c r="G1001" i="3"/>
  <c r="I1001" i="3" s="1"/>
  <c r="G1002" i="3"/>
  <c r="I1002" i="3" s="1"/>
  <c r="G1003" i="3"/>
  <c r="I1003" i="3" s="1"/>
  <c r="G1004" i="3"/>
  <c r="I1004" i="3" s="1"/>
  <c r="G1005" i="3"/>
  <c r="I1005" i="3" s="1"/>
  <c r="G1006" i="3"/>
  <c r="I1006" i="3" s="1"/>
  <c r="G1007" i="3"/>
  <c r="I1007" i="3" s="1"/>
  <c r="G1008" i="3"/>
  <c r="I1008" i="3" s="1"/>
  <c r="G1009" i="3"/>
  <c r="I1009" i="3" s="1"/>
  <c r="G1010" i="3"/>
  <c r="I1010" i="3" s="1"/>
  <c r="G1011" i="3"/>
  <c r="I1011" i="3" s="1"/>
  <c r="G1012" i="3"/>
  <c r="I1012" i="3" s="1"/>
  <c r="G1013" i="3"/>
  <c r="I1013" i="3" s="1"/>
  <c r="G1014" i="3"/>
  <c r="I1014" i="3" s="1"/>
  <c r="G1015" i="3"/>
  <c r="I1015" i="3" s="1"/>
  <c r="G1016" i="3"/>
  <c r="I1016" i="3" s="1"/>
  <c r="G1017" i="3"/>
  <c r="I1017" i="3" s="1"/>
  <c r="G1018" i="3"/>
  <c r="I1018" i="3" s="1"/>
  <c r="G1019" i="3"/>
  <c r="I1019" i="3" s="1"/>
  <c r="G1020" i="3"/>
  <c r="I1020" i="3" s="1"/>
  <c r="G1021" i="3"/>
  <c r="I1021" i="3" s="1"/>
  <c r="G1022" i="3"/>
  <c r="I1022" i="3" s="1"/>
  <c r="G1023" i="3"/>
  <c r="I1023" i="3" s="1"/>
  <c r="G1024" i="3"/>
  <c r="I1024" i="3" s="1"/>
  <c r="G1025" i="3"/>
  <c r="I1025" i="3" s="1"/>
  <c r="G1026" i="3"/>
  <c r="I1026" i="3" s="1"/>
  <c r="G1027" i="3"/>
  <c r="I1027" i="3" s="1"/>
  <c r="G1028" i="3"/>
  <c r="I1028" i="3" s="1"/>
  <c r="G1029" i="3"/>
  <c r="I1029" i="3" s="1"/>
  <c r="G1030" i="3"/>
  <c r="I1030" i="3" s="1"/>
  <c r="G1031" i="3"/>
  <c r="I1031" i="3" s="1"/>
  <c r="G1032" i="3"/>
  <c r="I1032" i="3" s="1"/>
  <c r="G1033" i="3"/>
  <c r="I1033" i="3" s="1"/>
  <c r="G1034" i="3"/>
  <c r="I1034" i="3" s="1"/>
  <c r="G1035" i="3"/>
  <c r="I1035" i="3" s="1"/>
  <c r="G1036" i="3"/>
  <c r="I1036" i="3" s="1"/>
  <c r="G1037" i="3"/>
  <c r="I1037" i="3" s="1"/>
  <c r="G1038" i="3"/>
  <c r="I1038" i="3" s="1"/>
  <c r="G1039" i="3"/>
  <c r="I1039" i="3" s="1"/>
  <c r="G1040" i="3"/>
  <c r="I1040" i="3" s="1"/>
  <c r="G1041" i="3"/>
  <c r="I1041" i="3" s="1"/>
  <c r="G1042" i="3"/>
  <c r="I1042" i="3" s="1"/>
  <c r="G1043" i="3"/>
  <c r="I1043" i="3" s="1"/>
  <c r="G1044" i="3"/>
  <c r="I1044" i="3" s="1"/>
  <c r="G1045" i="3"/>
  <c r="I1045" i="3" s="1"/>
  <c r="G1046" i="3"/>
  <c r="I1046" i="3" s="1"/>
  <c r="G1047" i="3"/>
  <c r="I1047" i="3" s="1"/>
  <c r="G1048" i="3"/>
  <c r="I1048" i="3" s="1"/>
  <c r="G1049" i="3"/>
  <c r="I1049" i="3" s="1"/>
  <c r="G1050" i="3"/>
  <c r="I1050" i="3" s="1"/>
  <c r="G1051" i="3"/>
  <c r="I1051" i="3" s="1"/>
  <c r="G1052" i="3"/>
  <c r="I1052" i="3" s="1"/>
  <c r="G1053" i="3"/>
  <c r="I1053" i="3" s="1"/>
  <c r="G1054" i="3"/>
  <c r="I1054" i="3" s="1"/>
  <c r="G1055" i="3"/>
  <c r="I1055" i="3" s="1"/>
  <c r="G1056" i="3"/>
  <c r="I1056" i="3" s="1"/>
  <c r="G1057" i="3"/>
  <c r="I1057" i="3" s="1"/>
  <c r="G1058" i="3"/>
  <c r="I1058" i="3" s="1"/>
  <c r="G1059" i="3"/>
  <c r="I1059" i="3" s="1"/>
  <c r="G1060" i="3"/>
  <c r="I1060" i="3" s="1"/>
  <c r="G1061" i="3"/>
  <c r="I1061" i="3" s="1"/>
  <c r="G1062" i="3"/>
  <c r="I1062" i="3" s="1"/>
  <c r="G1063" i="3"/>
  <c r="I1063" i="3" s="1"/>
  <c r="G1064" i="3"/>
  <c r="I1064" i="3" s="1"/>
  <c r="G1065" i="3"/>
  <c r="I1065" i="3" s="1"/>
  <c r="G1066" i="3"/>
  <c r="I1066" i="3" s="1"/>
  <c r="G1067" i="3"/>
  <c r="I1067" i="3" s="1"/>
  <c r="G1068" i="3"/>
  <c r="I1068" i="3" s="1"/>
  <c r="G1069" i="3"/>
  <c r="I1069" i="3" s="1"/>
  <c r="G1070" i="3"/>
  <c r="I1070" i="3" s="1"/>
  <c r="G1071" i="3"/>
  <c r="I1071" i="3" s="1"/>
  <c r="G1072" i="3"/>
  <c r="I1072" i="3" s="1"/>
  <c r="G1073" i="3"/>
  <c r="I1073" i="3" s="1"/>
  <c r="G1074" i="3"/>
  <c r="I1074" i="3" s="1"/>
  <c r="G1075" i="3"/>
  <c r="I1075" i="3" s="1"/>
  <c r="G1076" i="3"/>
  <c r="I1076" i="3" s="1"/>
  <c r="G1077" i="3"/>
  <c r="I1077" i="3" s="1"/>
  <c r="G1078" i="3"/>
  <c r="I1078" i="3" s="1"/>
  <c r="G1079" i="3"/>
  <c r="I1079" i="3" s="1"/>
  <c r="G1080" i="3"/>
  <c r="I1080" i="3" s="1"/>
  <c r="G1081" i="3"/>
  <c r="I1081" i="3" s="1"/>
  <c r="G1082" i="3"/>
  <c r="I1082" i="3" s="1"/>
  <c r="G1083" i="3"/>
  <c r="I1083" i="3" s="1"/>
  <c r="G1084" i="3"/>
  <c r="I1084" i="3" s="1"/>
  <c r="G1085" i="3"/>
  <c r="I1085" i="3" s="1"/>
  <c r="G1086" i="3"/>
  <c r="I1086" i="3" s="1"/>
  <c r="G1087" i="3"/>
  <c r="I1087" i="3" s="1"/>
  <c r="G1088" i="3"/>
  <c r="I1088" i="3" s="1"/>
  <c r="G1089" i="3"/>
  <c r="I1089" i="3" s="1"/>
  <c r="G1090" i="3"/>
  <c r="I1090" i="3" s="1"/>
  <c r="G1091" i="3"/>
  <c r="I1091" i="3" s="1"/>
  <c r="G1092" i="3"/>
  <c r="I1092" i="3" s="1"/>
  <c r="G1093" i="3"/>
  <c r="I1093" i="3" s="1"/>
  <c r="G1094" i="3"/>
  <c r="I1094" i="3" s="1"/>
  <c r="G1095" i="3"/>
  <c r="I1095" i="3" s="1"/>
  <c r="G1096" i="3"/>
  <c r="I1096" i="3" s="1"/>
  <c r="G1097" i="3"/>
  <c r="I1097" i="3" s="1"/>
  <c r="G1098" i="3"/>
  <c r="I1098" i="3" s="1"/>
  <c r="G1099" i="3"/>
  <c r="I1099" i="3" s="1"/>
  <c r="G1100" i="3"/>
  <c r="I1100" i="3" s="1"/>
  <c r="G1101" i="3"/>
  <c r="I1101" i="3" s="1"/>
  <c r="G1102" i="3"/>
  <c r="I1102" i="3" s="1"/>
  <c r="G1103" i="3"/>
  <c r="I1103" i="3" s="1"/>
  <c r="G1104" i="3"/>
  <c r="I1104" i="3" s="1"/>
  <c r="G1105" i="3"/>
  <c r="I1105" i="3" s="1"/>
  <c r="G1106" i="3"/>
  <c r="I1106" i="3" s="1"/>
  <c r="G1107" i="3"/>
  <c r="I1107" i="3" s="1"/>
  <c r="G1108" i="3"/>
  <c r="I1108" i="3" s="1"/>
  <c r="G1109" i="3"/>
  <c r="I1109" i="3" s="1"/>
  <c r="G1110" i="3"/>
  <c r="I1110" i="3" s="1"/>
  <c r="G1111" i="3"/>
  <c r="I1111" i="3" s="1"/>
  <c r="G1112" i="3"/>
  <c r="I1112" i="3" s="1"/>
  <c r="G1113" i="3"/>
  <c r="I1113" i="3" s="1"/>
  <c r="G1114" i="3"/>
  <c r="I1114" i="3" s="1"/>
  <c r="G1115" i="3"/>
  <c r="I1115" i="3" s="1"/>
  <c r="G1116" i="3"/>
  <c r="I1116" i="3" s="1"/>
  <c r="G1117" i="3"/>
  <c r="I1117" i="3" s="1"/>
  <c r="G1118" i="3"/>
  <c r="I1118" i="3" s="1"/>
  <c r="G1119" i="3"/>
  <c r="I1119" i="3" s="1"/>
  <c r="G1120" i="3"/>
  <c r="I1120" i="3" s="1"/>
  <c r="G1121" i="3"/>
  <c r="I1121" i="3" s="1"/>
  <c r="G1122" i="3"/>
  <c r="I1122" i="3" s="1"/>
  <c r="G1123" i="3"/>
  <c r="I1123" i="3" s="1"/>
  <c r="G1124" i="3"/>
  <c r="I1124" i="3" s="1"/>
  <c r="G1125" i="3"/>
  <c r="I1125" i="3" s="1"/>
  <c r="G1126" i="3"/>
  <c r="I1126" i="3" s="1"/>
  <c r="G1127" i="3"/>
  <c r="I1127" i="3" s="1"/>
  <c r="G1128" i="3"/>
  <c r="I1128" i="3" s="1"/>
  <c r="G1129" i="3"/>
  <c r="I1129" i="3" s="1"/>
  <c r="G1130" i="3"/>
  <c r="I1130" i="3" s="1"/>
  <c r="G1131" i="3"/>
  <c r="I1131" i="3" s="1"/>
  <c r="G1132" i="3"/>
  <c r="I1132" i="3" s="1"/>
  <c r="G1133" i="3"/>
  <c r="I1133" i="3" s="1"/>
  <c r="G1134" i="3"/>
  <c r="I1134" i="3" s="1"/>
  <c r="G1135" i="3"/>
  <c r="I1135" i="3" s="1"/>
  <c r="G1136" i="3"/>
  <c r="I1136" i="3" s="1"/>
  <c r="G1137" i="3"/>
  <c r="I1137" i="3" s="1"/>
  <c r="G1138" i="3"/>
  <c r="I1138" i="3" s="1"/>
  <c r="G1139" i="3"/>
  <c r="I1139" i="3" s="1"/>
  <c r="G1140" i="3"/>
  <c r="I1140" i="3" s="1"/>
  <c r="G1141" i="3"/>
  <c r="I1141" i="3" s="1"/>
  <c r="G1142" i="3"/>
  <c r="I1142" i="3" s="1"/>
  <c r="G1143" i="3"/>
  <c r="I1143" i="3" s="1"/>
  <c r="G1144" i="3"/>
  <c r="I1144" i="3" s="1"/>
  <c r="G1145" i="3"/>
  <c r="I1145" i="3" s="1"/>
  <c r="G1146" i="3"/>
  <c r="I1146" i="3" s="1"/>
  <c r="G1147" i="3"/>
  <c r="I1147" i="3" s="1"/>
  <c r="G1148" i="3"/>
  <c r="I1148" i="3" s="1"/>
  <c r="G1149" i="3"/>
  <c r="I1149" i="3" s="1"/>
  <c r="G1150" i="3"/>
  <c r="I1150" i="3" s="1"/>
  <c r="G1151" i="3"/>
  <c r="I1151" i="3" s="1"/>
  <c r="G1152" i="3"/>
  <c r="I1152" i="3" s="1"/>
  <c r="G1153" i="3"/>
  <c r="I1153" i="3" s="1"/>
  <c r="G1154" i="3"/>
  <c r="I1154" i="3" s="1"/>
  <c r="G1155" i="3"/>
  <c r="I1155" i="3" s="1"/>
  <c r="G1156" i="3"/>
  <c r="I1156" i="3" s="1"/>
  <c r="G1157" i="3"/>
  <c r="I1157" i="3" s="1"/>
  <c r="G1158" i="3"/>
  <c r="I1158" i="3" s="1"/>
  <c r="G1159" i="3"/>
  <c r="I1159" i="3" s="1"/>
  <c r="G1160" i="3"/>
  <c r="I1160" i="3" s="1"/>
  <c r="G1161" i="3"/>
  <c r="I1161" i="3" s="1"/>
  <c r="G1162" i="3"/>
  <c r="I1162" i="3" s="1"/>
  <c r="G1163" i="3"/>
  <c r="I1163" i="3" s="1"/>
  <c r="G1164" i="3"/>
  <c r="I1164" i="3" s="1"/>
  <c r="G1165" i="3"/>
  <c r="I1165" i="3" s="1"/>
  <c r="G1166" i="3"/>
  <c r="I1166" i="3" s="1"/>
  <c r="G1167" i="3"/>
  <c r="I1167" i="3" s="1"/>
  <c r="G1168" i="3"/>
  <c r="I1168" i="3" s="1"/>
  <c r="G1169" i="3"/>
  <c r="I1169" i="3" s="1"/>
  <c r="G1170" i="3"/>
  <c r="I1170" i="3" s="1"/>
  <c r="G1171" i="3"/>
  <c r="I1171" i="3" s="1"/>
  <c r="G1172" i="3"/>
  <c r="I1172" i="3" s="1"/>
  <c r="G1173" i="3"/>
  <c r="I1173" i="3" s="1"/>
  <c r="G1174" i="3"/>
  <c r="I1174" i="3" s="1"/>
  <c r="G1175" i="3"/>
  <c r="I1175" i="3" s="1"/>
  <c r="G1176" i="3"/>
  <c r="I1176" i="3" s="1"/>
  <c r="G1177" i="3"/>
  <c r="I1177" i="3" s="1"/>
  <c r="G1178" i="3"/>
  <c r="I1178" i="3" s="1"/>
  <c r="G1179" i="3"/>
  <c r="I1179" i="3" s="1"/>
  <c r="G1180" i="3"/>
  <c r="I1180" i="3" s="1"/>
  <c r="G1181" i="3"/>
  <c r="I1181" i="3" s="1"/>
  <c r="G1182" i="3"/>
  <c r="I1182" i="3" s="1"/>
  <c r="G1183" i="3"/>
  <c r="I1183" i="3" s="1"/>
  <c r="G1184" i="3"/>
  <c r="I1184" i="3" s="1"/>
  <c r="G1185" i="3"/>
  <c r="I1185" i="3" s="1"/>
  <c r="G1186" i="3"/>
  <c r="I1186" i="3" s="1"/>
  <c r="G1187" i="3"/>
  <c r="I1187" i="3" s="1"/>
  <c r="G1188" i="3"/>
  <c r="I1188" i="3" s="1"/>
  <c r="G1189" i="3"/>
  <c r="I1189" i="3" s="1"/>
  <c r="G1190" i="3"/>
  <c r="I1190" i="3" s="1"/>
  <c r="G1191" i="3"/>
  <c r="I1191" i="3" s="1"/>
  <c r="G1192" i="3"/>
  <c r="I1192" i="3" s="1"/>
  <c r="G1193" i="3"/>
  <c r="I1193" i="3" s="1"/>
  <c r="G1194" i="3"/>
  <c r="I1194" i="3" s="1"/>
  <c r="G1195" i="3"/>
  <c r="I1195" i="3" s="1"/>
  <c r="G1196" i="3"/>
  <c r="I1196" i="3" s="1"/>
  <c r="G1197" i="3"/>
  <c r="I1197" i="3" s="1"/>
  <c r="G1198" i="3"/>
  <c r="I1198" i="3" s="1"/>
  <c r="G1199" i="3"/>
  <c r="I1199" i="3" s="1"/>
  <c r="G1200" i="3"/>
  <c r="I1200" i="3" s="1"/>
  <c r="G1201" i="3"/>
  <c r="I1201" i="3" s="1"/>
  <c r="G1202" i="3"/>
  <c r="I1202" i="3" s="1"/>
  <c r="G1203" i="3"/>
  <c r="I1203" i="3" s="1"/>
  <c r="G1204" i="3"/>
  <c r="I1204" i="3" s="1"/>
  <c r="G1205" i="3"/>
  <c r="I1205" i="3" s="1"/>
  <c r="G1206" i="3"/>
  <c r="I1206" i="3" s="1"/>
  <c r="G1207" i="3"/>
  <c r="I1207" i="3" s="1"/>
  <c r="G1208" i="3"/>
  <c r="I1208" i="3" s="1"/>
  <c r="G1209" i="3"/>
  <c r="I1209" i="3" s="1"/>
  <c r="G1210" i="3"/>
  <c r="I1210" i="3" s="1"/>
  <c r="G1211" i="3"/>
  <c r="I1211" i="3" s="1"/>
  <c r="G1212" i="3"/>
  <c r="I1212" i="3" s="1"/>
  <c r="G1213" i="3"/>
  <c r="I1213" i="3" s="1"/>
  <c r="G1214" i="3"/>
  <c r="I1214" i="3" s="1"/>
  <c r="G1215" i="3"/>
  <c r="I1215" i="3" s="1"/>
  <c r="G1216" i="3"/>
  <c r="I1216" i="3" s="1"/>
  <c r="G1217" i="3"/>
  <c r="I1217" i="3" s="1"/>
  <c r="G1218" i="3"/>
  <c r="I1218" i="3" s="1"/>
  <c r="G1219" i="3"/>
  <c r="I1219" i="3" s="1"/>
  <c r="G1220" i="3"/>
  <c r="I1220" i="3" s="1"/>
  <c r="G1221" i="3"/>
  <c r="I1221" i="3" s="1"/>
  <c r="G1222" i="3"/>
  <c r="I1222" i="3" s="1"/>
  <c r="G1223" i="3"/>
  <c r="I1223" i="3" s="1"/>
  <c r="G1224" i="3"/>
  <c r="I1224" i="3" s="1"/>
  <c r="G1225" i="3"/>
  <c r="I1225" i="3" s="1"/>
  <c r="G1226" i="3"/>
  <c r="I1226" i="3" s="1"/>
  <c r="G1227" i="3"/>
  <c r="I1227" i="3" s="1"/>
  <c r="G1228" i="3"/>
  <c r="I1228" i="3" s="1"/>
  <c r="G1229" i="3"/>
  <c r="I1229" i="3" s="1"/>
  <c r="G1230" i="3"/>
  <c r="I1230" i="3" s="1"/>
  <c r="G1231" i="3"/>
  <c r="I1231" i="3" s="1"/>
  <c r="G1232" i="3"/>
  <c r="I1232" i="3" s="1"/>
  <c r="G1233" i="3"/>
  <c r="I1233" i="3" s="1"/>
  <c r="G1234" i="3"/>
  <c r="I1234" i="3" s="1"/>
  <c r="G1235" i="3"/>
  <c r="I1235" i="3" s="1"/>
  <c r="G1236" i="3"/>
  <c r="I1236" i="3" s="1"/>
  <c r="G1237" i="3"/>
  <c r="I1237" i="3" s="1"/>
  <c r="G1238" i="3"/>
  <c r="I1238" i="3" s="1"/>
  <c r="G1239" i="3"/>
  <c r="I1239" i="3" s="1"/>
  <c r="G1240" i="3"/>
  <c r="I1240" i="3" s="1"/>
  <c r="G1241" i="3"/>
  <c r="I1241" i="3" s="1"/>
  <c r="G1242" i="3"/>
  <c r="I1242" i="3" s="1"/>
  <c r="G1243" i="3"/>
  <c r="I1243" i="3" s="1"/>
  <c r="G1244" i="3"/>
  <c r="I1244" i="3" s="1"/>
  <c r="G1245" i="3"/>
  <c r="I1245" i="3" s="1"/>
  <c r="G1246" i="3"/>
  <c r="I1246" i="3" s="1"/>
  <c r="G1247" i="3"/>
  <c r="I1247" i="3" s="1"/>
  <c r="G1248" i="3"/>
  <c r="I1248" i="3" s="1"/>
  <c r="G1249" i="3"/>
  <c r="I1249" i="3" s="1"/>
  <c r="G1250" i="3"/>
  <c r="I1250" i="3" s="1"/>
  <c r="G1251" i="3"/>
  <c r="I1251" i="3" s="1"/>
  <c r="G1252" i="3"/>
  <c r="I1252" i="3" s="1"/>
  <c r="G1253" i="3"/>
  <c r="I1253" i="3" s="1"/>
  <c r="G1254" i="3"/>
  <c r="I1254" i="3" s="1"/>
  <c r="G1255" i="3"/>
  <c r="I1255" i="3" s="1"/>
  <c r="G1256" i="3"/>
  <c r="I1256" i="3" s="1"/>
  <c r="G1257" i="3"/>
  <c r="I1257" i="3" s="1"/>
  <c r="G1258" i="3"/>
  <c r="I1258" i="3" s="1"/>
  <c r="G1259" i="3"/>
  <c r="I1259" i="3" s="1"/>
  <c r="G1260" i="3"/>
  <c r="I1260" i="3" s="1"/>
  <c r="G1261" i="3"/>
  <c r="I1261" i="3" s="1"/>
  <c r="G1262" i="3"/>
  <c r="I1262" i="3" s="1"/>
  <c r="G1263" i="3"/>
  <c r="I1263" i="3" s="1"/>
  <c r="G1264" i="3"/>
  <c r="I1264" i="3" s="1"/>
  <c r="G1265" i="3"/>
  <c r="I1265" i="3" s="1"/>
  <c r="G1266" i="3"/>
  <c r="I1266" i="3" s="1"/>
  <c r="G1267" i="3"/>
  <c r="I1267" i="3" s="1"/>
  <c r="G1268" i="3"/>
  <c r="I1268" i="3" s="1"/>
  <c r="G1269" i="3"/>
  <c r="I1269" i="3" s="1"/>
  <c r="G1270" i="3"/>
  <c r="I1270" i="3" s="1"/>
  <c r="G1271" i="3"/>
  <c r="I1271" i="3" s="1"/>
  <c r="G1272" i="3"/>
  <c r="I1272" i="3" s="1"/>
  <c r="G1273" i="3"/>
  <c r="I1273" i="3" s="1"/>
  <c r="G1274" i="3"/>
  <c r="I1274" i="3" s="1"/>
  <c r="G1275" i="3"/>
  <c r="I1275" i="3" s="1"/>
  <c r="G1276" i="3"/>
  <c r="I1276" i="3" s="1"/>
  <c r="G1277" i="3"/>
  <c r="I1277" i="3" s="1"/>
  <c r="G1278" i="3"/>
  <c r="I1278" i="3" s="1"/>
  <c r="G1279" i="3"/>
  <c r="I1279" i="3" s="1"/>
  <c r="G1280" i="3"/>
  <c r="I1280" i="3" s="1"/>
  <c r="G1281" i="3"/>
  <c r="I1281" i="3" s="1"/>
  <c r="G1282" i="3"/>
  <c r="I1282" i="3" s="1"/>
  <c r="G1283" i="3"/>
  <c r="I1283" i="3" s="1"/>
  <c r="G1284" i="3"/>
  <c r="I1284" i="3" s="1"/>
  <c r="G1285" i="3"/>
  <c r="I1285" i="3" s="1"/>
  <c r="G1286" i="3"/>
  <c r="I1286" i="3" s="1"/>
  <c r="G1287" i="3"/>
  <c r="I1287" i="3" s="1"/>
  <c r="G1288" i="3"/>
  <c r="I1288" i="3" s="1"/>
  <c r="G1289" i="3"/>
  <c r="I1289" i="3" s="1"/>
  <c r="G1290" i="3"/>
  <c r="I1290" i="3" s="1"/>
  <c r="G1291" i="3"/>
  <c r="I1291" i="3" s="1"/>
  <c r="G1292" i="3"/>
  <c r="I1292" i="3" s="1"/>
  <c r="G1293" i="3"/>
  <c r="I1293" i="3" s="1"/>
  <c r="G1294" i="3"/>
  <c r="I1294" i="3" s="1"/>
  <c r="G1295" i="3"/>
  <c r="I1295" i="3" s="1"/>
  <c r="G1296" i="3"/>
  <c r="I1296" i="3" s="1"/>
  <c r="G1297" i="3"/>
  <c r="I1297" i="3" s="1"/>
  <c r="G1298" i="3"/>
  <c r="I1298" i="3" s="1"/>
  <c r="G1299" i="3"/>
  <c r="I1299" i="3" s="1"/>
  <c r="G1300" i="3"/>
  <c r="I1300" i="3" s="1"/>
  <c r="G1301" i="3"/>
  <c r="I1301" i="3" s="1"/>
  <c r="G1302" i="3"/>
  <c r="I1302" i="3" s="1"/>
  <c r="G1303" i="3"/>
  <c r="I1303" i="3" s="1"/>
  <c r="G1304" i="3"/>
  <c r="I1304" i="3" s="1"/>
  <c r="G1305" i="3"/>
  <c r="I1305" i="3" s="1"/>
  <c r="G1306" i="3"/>
  <c r="I1306" i="3" s="1"/>
  <c r="G1307" i="3"/>
  <c r="I1307" i="3" s="1"/>
  <c r="G1308" i="3"/>
  <c r="I1308" i="3" s="1"/>
  <c r="G1309" i="3"/>
  <c r="I1309" i="3" s="1"/>
  <c r="G1310" i="3"/>
  <c r="I1310" i="3" s="1"/>
  <c r="G1311" i="3"/>
  <c r="I1311" i="3" s="1"/>
  <c r="G1312" i="3"/>
  <c r="I1312" i="3" s="1"/>
  <c r="G1313" i="3"/>
  <c r="I1313" i="3" s="1"/>
  <c r="G1314" i="3"/>
  <c r="I1314" i="3" s="1"/>
  <c r="G1315" i="3"/>
  <c r="I1315" i="3" s="1"/>
  <c r="G1316" i="3"/>
  <c r="I1316" i="3" s="1"/>
  <c r="G1317" i="3"/>
  <c r="I1317" i="3" s="1"/>
  <c r="G1318" i="3"/>
  <c r="I1318" i="3" s="1"/>
  <c r="G1319" i="3"/>
  <c r="I1319" i="3" s="1"/>
  <c r="G1320" i="3"/>
  <c r="I1320" i="3" s="1"/>
  <c r="G1321" i="3"/>
  <c r="I1321" i="3" s="1"/>
  <c r="G1322" i="3"/>
  <c r="I1322" i="3" s="1"/>
  <c r="G1323" i="3"/>
  <c r="I1323" i="3" s="1"/>
  <c r="G1324" i="3"/>
  <c r="I1324" i="3" s="1"/>
  <c r="G1325" i="3"/>
  <c r="I1325" i="3" s="1"/>
  <c r="G1326" i="3"/>
  <c r="I1326" i="3" s="1"/>
  <c r="G1327" i="3"/>
  <c r="I1327" i="3" s="1"/>
  <c r="G1328" i="3"/>
  <c r="I1328" i="3" s="1"/>
  <c r="G1329" i="3"/>
  <c r="I1329" i="3" s="1"/>
  <c r="G1330" i="3"/>
  <c r="I1330" i="3" s="1"/>
  <c r="G1331" i="3"/>
  <c r="I1331" i="3" s="1"/>
  <c r="G1332" i="3"/>
  <c r="I1332" i="3" s="1"/>
  <c r="G1333" i="3"/>
  <c r="I1333" i="3" s="1"/>
  <c r="G1334" i="3"/>
  <c r="I1334" i="3" s="1"/>
  <c r="G1335" i="3"/>
  <c r="I1335" i="3" s="1"/>
  <c r="G1336" i="3"/>
  <c r="I1336" i="3" s="1"/>
  <c r="G1337" i="3"/>
  <c r="I1337" i="3" s="1"/>
  <c r="G1338" i="3"/>
  <c r="I1338" i="3" s="1"/>
  <c r="G1339" i="3"/>
  <c r="I1339" i="3" s="1"/>
  <c r="G1340" i="3"/>
  <c r="I1340" i="3" s="1"/>
  <c r="G1341" i="3"/>
  <c r="I1341" i="3" s="1"/>
  <c r="G1342" i="3"/>
  <c r="I1342" i="3" s="1"/>
  <c r="G1343" i="3"/>
  <c r="I1343" i="3" s="1"/>
  <c r="G1344" i="3"/>
  <c r="I1344" i="3" s="1"/>
  <c r="G1345" i="3"/>
  <c r="I1345" i="3" s="1"/>
  <c r="G1346" i="3"/>
  <c r="I1346" i="3" s="1"/>
  <c r="G1347" i="3"/>
  <c r="I1347" i="3" s="1"/>
  <c r="G1348" i="3"/>
  <c r="I1348" i="3" s="1"/>
  <c r="G1349" i="3"/>
  <c r="I1349" i="3" s="1"/>
  <c r="G1350" i="3"/>
  <c r="I1350" i="3" s="1"/>
  <c r="G1351" i="3"/>
  <c r="I1351" i="3" s="1"/>
  <c r="G1352" i="3"/>
  <c r="I1352" i="3" s="1"/>
  <c r="G1353" i="3"/>
  <c r="I1353" i="3" s="1"/>
  <c r="G1354" i="3"/>
  <c r="I1354" i="3" s="1"/>
  <c r="G1355" i="3"/>
  <c r="I1355" i="3" s="1"/>
  <c r="G1356" i="3"/>
  <c r="I1356" i="3" s="1"/>
  <c r="G1357" i="3"/>
  <c r="I1357" i="3" s="1"/>
  <c r="G1358" i="3"/>
  <c r="I1358" i="3" s="1"/>
  <c r="G1359" i="3"/>
  <c r="I1359" i="3" s="1"/>
  <c r="G1360" i="3"/>
  <c r="I1360" i="3" s="1"/>
  <c r="G1361" i="3"/>
  <c r="I1361" i="3" s="1"/>
  <c r="G1362" i="3"/>
  <c r="I1362" i="3" s="1"/>
  <c r="G1363" i="3"/>
  <c r="I1363" i="3" s="1"/>
  <c r="G1364" i="3"/>
  <c r="I1364" i="3" s="1"/>
  <c r="G1365" i="3"/>
  <c r="I1365" i="3" s="1"/>
  <c r="G1366" i="3"/>
  <c r="I1366" i="3" s="1"/>
  <c r="G1367" i="3"/>
  <c r="I1367" i="3" s="1"/>
  <c r="G1368" i="3"/>
  <c r="I1368" i="3" s="1"/>
  <c r="G1369" i="3"/>
  <c r="I1369" i="3" s="1"/>
  <c r="G1370" i="3"/>
  <c r="I1370" i="3" s="1"/>
  <c r="G1371" i="3"/>
  <c r="I1371" i="3" s="1"/>
  <c r="G1372" i="3"/>
  <c r="I1372" i="3" s="1"/>
  <c r="G1373" i="3"/>
  <c r="I1373" i="3" s="1"/>
  <c r="G1374" i="3"/>
  <c r="I1374" i="3" s="1"/>
  <c r="G1375" i="3"/>
  <c r="I1375" i="3" s="1"/>
  <c r="G1376" i="3"/>
  <c r="I1376" i="3" s="1"/>
  <c r="G1377" i="3"/>
  <c r="I1377" i="3" s="1"/>
  <c r="G1378" i="3"/>
  <c r="I1378" i="3" s="1"/>
  <c r="G1379" i="3"/>
  <c r="I1379" i="3" s="1"/>
  <c r="G1380" i="3"/>
  <c r="I1380" i="3" s="1"/>
  <c r="G1381" i="3"/>
  <c r="I1381" i="3" s="1"/>
  <c r="G1382" i="3"/>
  <c r="I1382" i="3" s="1"/>
  <c r="G1383" i="3"/>
  <c r="I1383" i="3" s="1"/>
  <c r="G1384" i="3"/>
  <c r="I1384" i="3" s="1"/>
  <c r="G1385" i="3"/>
  <c r="I1385" i="3" s="1"/>
  <c r="G1386" i="3"/>
  <c r="I1386" i="3" s="1"/>
  <c r="G1387" i="3"/>
  <c r="I1387" i="3" s="1"/>
  <c r="G1388" i="3"/>
  <c r="I1388" i="3" s="1"/>
  <c r="G1389" i="3"/>
  <c r="I1389" i="3" s="1"/>
  <c r="G1390" i="3"/>
  <c r="I1390" i="3" s="1"/>
  <c r="G1391" i="3"/>
  <c r="I1391" i="3" s="1"/>
  <c r="G1392" i="3"/>
  <c r="I1392" i="3" s="1"/>
  <c r="G1393" i="3"/>
  <c r="I1393" i="3" s="1"/>
  <c r="G1394" i="3"/>
  <c r="I1394" i="3" s="1"/>
  <c r="G1395" i="3"/>
  <c r="I1395" i="3" s="1"/>
  <c r="G1396" i="3"/>
  <c r="I1396" i="3" s="1"/>
  <c r="G1397" i="3"/>
  <c r="I1397" i="3" s="1"/>
  <c r="G1398" i="3"/>
  <c r="I1398" i="3" s="1"/>
  <c r="G1399" i="3"/>
  <c r="I1399" i="3" s="1"/>
  <c r="G1400" i="3"/>
  <c r="I1400" i="3" s="1"/>
  <c r="G1401" i="3"/>
  <c r="I1401" i="3" s="1"/>
  <c r="G1402" i="3"/>
  <c r="I1402" i="3" s="1"/>
  <c r="G1403" i="3"/>
  <c r="I1403" i="3" s="1"/>
  <c r="G1404" i="3"/>
  <c r="I1404" i="3" s="1"/>
  <c r="G1405" i="3"/>
  <c r="I1405" i="3" s="1"/>
  <c r="G1406" i="3"/>
  <c r="I1406" i="3" s="1"/>
  <c r="G1407" i="3"/>
  <c r="I1407" i="3" s="1"/>
  <c r="G1408" i="3"/>
  <c r="I1408" i="3" s="1"/>
  <c r="G1409" i="3"/>
  <c r="I1409" i="3" s="1"/>
  <c r="G1410" i="3"/>
  <c r="I1410" i="3" s="1"/>
  <c r="G1411" i="3"/>
  <c r="I1411" i="3" s="1"/>
  <c r="G1412" i="3"/>
  <c r="I1412" i="3" s="1"/>
  <c r="G1413" i="3"/>
  <c r="I1413" i="3" s="1"/>
  <c r="G1414" i="3"/>
  <c r="I1414" i="3" s="1"/>
  <c r="G1415" i="3"/>
  <c r="I1415" i="3" s="1"/>
  <c r="G1416" i="3"/>
  <c r="I1416" i="3" s="1"/>
  <c r="G1417" i="3"/>
  <c r="I1417" i="3" s="1"/>
  <c r="G1418" i="3"/>
  <c r="I1418" i="3" s="1"/>
  <c r="G1419" i="3"/>
  <c r="I1419" i="3" s="1"/>
  <c r="G1420" i="3"/>
  <c r="I1420" i="3" s="1"/>
  <c r="G1421" i="3"/>
  <c r="I1421" i="3" s="1"/>
  <c r="G1422" i="3"/>
  <c r="I1422" i="3" s="1"/>
  <c r="G1423" i="3"/>
  <c r="I1423" i="3" s="1"/>
  <c r="G1424" i="3"/>
  <c r="I1424" i="3" s="1"/>
  <c r="G1425" i="3"/>
  <c r="I1425" i="3" s="1"/>
  <c r="G1426" i="3"/>
  <c r="I1426" i="3" s="1"/>
  <c r="G1427" i="3"/>
  <c r="I1427" i="3" s="1"/>
  <c r="G1428" i="3"/>
  <c r="I1428" i="3" s="1"/>
  <c r="G1429" i="3"/>
  <c r="I1429" i="3" s="1"/>
  <c r="G1430" i="3"/>
  <c r="I1430" i="3" s="1"/>
  <c r="G1431" i="3"/>
  <c r="I1431" i="3" s="1"/>
  <c r="G1432" i="3"/>
  <c r="I1432" i="3" s="1"/>
  <c r="G1433" i="3"/>
  <c r="I1433" i="3" s="1"/>
  <c r="G1434" i="3"/>
  <c r="I1434" i="3" s="1"/>
  <c r="G1435" i="3"/>
  <c r="I1435" i="3" s="1"/>
  <c r="G1436" i="3"/>
  <c r="I1436" i="3" s="1"/>
  <c r="G1437" i="3"/>
  <c r="I1437" i="3" s="1"/>
  <c r="G1438" i="3"/>
  <c r="I1438" i="3" s="1"/>
  <c r="G1439" i="3"/>
  <c r="I1439" i="3" s="1"/>
  <c r="G1440" i="3"/>
  <c r="I1440" i="3" s="1"/>
  <c r="G1441" i="3"/>
  <c r="I1441" i="3" s="1"/>
  <c r="G1442" i="3"/>
  <c r="I1442" i="3" s="1"/>
  <c r="G1443" i="3"/>
  <c r="I1443" i="3" s="1"/>
  <c r="G1444" i="3"/>
  <c r="I1444" i="3" s="1"/>
  <c r="G1445" i="3"/>
  <c r="I1445" i="3" s="1"/>
  <c r="G1446" i="3"/>
  <c r="I1446" i="3" s="1"/>
  <c r="G1447" i="3"/>
  <c r="I1447" i="3" s="1"/>
  <c r="G1448" i="3"/>
  <c r="I1448" i="3" s="1"/>
  <c r="G1449" i="3"/>
  <c r="I1449" i="3" s="1"/>
  <c r="G1450" i="3"/>
  <c r="I1450" i="3" s="1"/>
  <c r="G1451" i="3"/>
  <c r="I1451" i="3" s="1"/>
  <c r="G1452" i="3"/>
  <c r="I1452" i="3" s="1"/>
  <c r="G1453" i="3"/>
  <c r="I1453" i="3" s="1"/>
  <c r="G1454" i="3"/>
  <c r="I1454" i="3" s="1"/>
  <c r="G1455" i="3"/>
  <c r="I1455" i="3" s="1"/>
  <c r="G1456" i="3"/>
  <c r="I1456" i="3" s="1"/>
  <c r="G1457" i="3"/>
  <c r="I1457" i="3" s="1"/>
  <c r="G1458" i="3"/>
  <c r="I1458" i="3" s="1"/>
  <c r="G1459" i="3"/>
  <c r="I1459" i="3" s="1"/>
  <c r="G1460" i="3"/>
  <c r="I1460" i="3" s="1"/>
  <c r="G1461" i="3"/>
  <c r="I1461" i="3" s="1"/>
  <c r="G1462" i="3"/>
  <c r="I1462" i="3" s="1"/>
  <c r="G1463" i="3"/>
  <c r="I1463" i="3" s="1"/>
  <c r="G1464" i="3"/>
  <c r="I1464" i="3" s="1"/>
  <c r="G1465" i="3"/>
  <c r="I1465" i="3" s="1"/>
  <c r="G1466" i="3"/>
  <c r="I1466" i="3" s="1"/>
  <c r="G1467" i="3"/>
  <c r="I1467" i="3" s="1"/>
  <c r="G1468" i="3"/>
  <c r="I1468" i="3" s="1"/>
  <c r="G1469" i="3"/>
  <c r="I1469" i="3" s="1"/>
  <c r="G1470" i="3"/>
  <c r="I1470" i="3" s="1"/>
  <c r="G1471" i="3"/>
  <c r="I1471" i="3" s="1"/>
  <c r="G1472" i="3"/>
  <c r="I1472" i="3" s="1"/>
  <c r="G1473" i="3"/>
  <c r="I1473" i="3" s="1"/>
  <c r="G1474" i="3"/>
  <c r="I1474" i="3" s="1"/>
  <c r="G1475" i="3"/>
  <c r="I1475" i="3" s="1"/>
  <c r="G1476" i="3"/>
  <c r="I1476" i="3" s="1"/>
  <c r="G1477" i="3"/>
  <c r="I1477" i="3" s="1"/>
  <c r="G1478" i="3"/>
  <c r="I1478" i="3" s="1"/>
  <c r="G1479" i="3"/>
  <c r="I1479" i="3" s="1"/>
  <c r="G1480" i="3"/>
  <c r="I1480" i="3" s="1"/>
  <c r="G1481" i="3"/>
  <c r="I1481" i="3" s="1"/>
  <c r="G1482" i="3"/>
  <c r="I1482" i="3" s="1"/>
  <c r="G1483" i="3"/>
  <c r="I1483" i="3" s="1"/>
  <c r="G1484" i="3"/>
  <c r="I1484" i="3" s="1"/>
  <c r="G1485" i="3"/>
  <c r="I1485" i="3" s="1"/>
  <c r="G1486" i="3"/>
  <c r="I1486" i="3" s="1"/>
  <c r="G1487" i="3"/>
  <c r="I1487" i="3" s="1"/>
  <c r="G1488" i="3"/>
  <c r="I1488" i="3" s="1"/>
  <c r="G1489" i="3"/>
  <c r="I1489" i="3" s="1"/>
  <c r="G1490" i="3"/>
  <c r="I1490" i="3" s="1"/>
  <c r="G1491" i="3"/>
  <c r="I1491" i="3" s="1"/>
  <c r="G1492" i="3"/>
  <c r="I1492" i="3" s="1"/>
  <c r="G1493" i="3"/>
  <c r="I1493" i="3" s="1"/>
  <c r="G1494" i="3"/>
  <c r="I1494" i="3" s="1"/>
  <c r="G1495" i="3"/>
  <c r="I1495" i="3" s="1"/>
  <c r="G1496" i="3"/>
  <c r="I1496" i="3" s="1"/>
  <c r="G1497" i="3"/>
  <c r="I1497" i="3" s="1"/>
  <c r="G1498" i="3"/>
  <c r="I1498" i="3" s="1"/>
  <c r="G1499" i="3"/>
  <c r="I1499" i="3" s="1"/>
  <c r="G1500" i="3"/>
  <c r="I1500" i="3" s="1"/>
  <c r="G1501" i="3"/>
  <c r="I1501" i="3" s="1"/>
  <c r="G1502" i="3"/>
  <c r="I1502" i="3" s="1"/>
  <c r="G1503" i="3"/>
  <c r="I1503" i="3" s="1"/>
  <c r="G1504" i="3"/>
  <c r="I1504" i="3" s="1"/>
  <c r="G1505" i="3"/>
  <c r="I1505" i="3" s="1"/>
  <c r="G1506" i="3"/>
  <c r="I1506" i="3" s="1"/>
  <c r="G1507" i="3"/>
  <c r="I1507" i="3" s="1"/>
  <c r="G1508" i="3"/>
  <c r="I1508" i="3" s="1"/>
  <c r="G1509" i="3"/>
  <c r="I1509" i="3" s="1"/>
  <c r="G1510" i="3"/>
  <c r="I1510" i="3" s="1"/>
  <c r="G1511" i="3"/>
  <c r="I1511" i="3" s="1"/>
  <c r="G1512" i="3"/>
  <c r="I1512" i="3" s="1"/>
  <c r="G1513" i="3"/>
  <c r="I1513" i="3" s="1"/>
  <c r="G1514" i="3"/>
  <c r="I1514" i="3" s="1"/>
  <c r="G1515" i="3"/>
  <c r="I1515" i="3" s="1"/>
  <c r="G1516" i="3"/>
  <c r="I1516" i="3" s="1"/>
  <c r="G1517" i="3"/>
  <c r="I1517" i="3" s="1"/>
  <c r="G1518" i="3"/>
  <c r="I1518" i="3" s="1"/>
  <c r="G1519" i="3"/>
  <c r="I1519" i="3" s="1"/>
  <c r="G1520" i="3"/>
  <c r="I1520" i="3" s="1"/>
  <c r="G1521" i="3"/>
  <c r="I1521" i="3" s="1"/>
  <c r="G1522" i="3"/>
  <c r="I1522" i="3" s="1"/>
  <c r="G1523" i="3"/>
  <c r="I1523" i="3" s="1"/>
  <c r="G1524" i="3"/>
  <c r="I1524" i="3" s="1"/>
  <c r="G1525" i="3"/>
  <c r="I1525" i="3" s="1"/>
  <c r="G1526" i="3"/>
  <c r="I1526" i="3" s="1"/>
  <c r="G1527" i="3"/>
  <c r="I1527" i="3" s="1"/>
  <c r="G1528" i="3"/>
  <c r="I1528" i="3" s="1"/>
  <c r="G1529" i="3"/>
  <c r="I1529" i="3" s="1"/>
  <c r="G1530" i="3"/>
  <c r="I1530" i="3" s="1"/>
  <c r="G1531" i="3"/>
  <c r="I1531" i="3" s="1"/>
  <c r="G1532" i="3"/>
  <c r="I1532" i="3" s="1"/>
  <c r="G1533" i="3"/>
  <c r="I1533" i="3" s="1"/>
  <c r="G1534" i="3"/>
  <c r="I1534" i="3" s="1"/>
  <c r="G1535" i="3"/>
  <c r="I1535" i="3" s="1"/>
  <c r="G1536" i="3"/>
  <c r="I1536" i="3" s="1"/>
  <c r="G1537" i="3"/>
  <c r="I1537" i="3" s="1"/>
  <c r="G1538" i="3"/>
  <c r="I1538" i="3" s="1"/>
  <c r="G1539" i="3"/>
  <c r="I1539" i="3" s="1"/>
  <c r="G1540" i="3"/>
  <c r="I1540" i="3" s="1"/>
  <c r="G1541" i="3"/>
  <c r="I1541" i="3" s="1"/>
  <c r="G1542" i="3"/>
  <c r="I1542" i="3" s="1"/>
  <c r="G1543" i="3"/>
  <c r="I1543" i="3" s="1"/>
  <c r="G1544" i="3"/>
  <c r="I1544" i="3" s="1"/>
  <c r="G1545" i="3"/>
  <c r="I1545" i="3" s="1"/>
  <c r="G1546" i="3"/>
  <c r="I1546" i="3" s="1"/>
  <c r="G1547" i="3"/>
  <c r="I1547" i="3" s="1"/>
  <c r="G1548" i="3"/>
  <c r="I1548" i="3" s="1"/>
  <c r="G1549" i="3"/>
  <c r="I1549" i="3" s="1"/>
  <c r="G1550" i="3"/>
  <c r="I1550" i="3" s="1"/>
  <c r="G1551" i="3"/>
  <c r="I1551" i="3" s="1"/>
  <c r="G1552" i="3"/>
  <c r="I1552" i="3" s="1"/>
  <c r="G1553" i="3"/>
  <c r="I1553" i="3" s="1"/>
  <c r="G1554" i="3"/>
  <c r="I1554" i="3" s="1"/>
  <c r="G1555" i="3"/>
  <c r="I1555" i="3" s="1"/>
  <c r="G1556" i="3"/>
  <c r="I1556" i="3" s="1"/>
  <c r="G1559" i="3"/>
  <c r="I1559" i="3" s="1"/>
</calcChain>
</file>

<file path=xl/connections.xml><?xml version="1.0" encoding="utf-8"?>
<connections xmlns="http://schemas.openxmlformats.org/spreadsheetml/2006/main">
  <connection id="1" keepAlive="1" name="Query - customers_clean" description="Connection to the 'customers_clean' query in the workbook." type="5" refreshedVersion="6" background="1" saveData="1">
    <dbPr connection="Provider=Microsoft.Mashup.OleDb.1;Data Source=$Workbook$;Location=customers_clean;Extended Properties=&quot;&quot;" command="SELECT * FROM [customers_clean]"/>
  </connection>
  <connection id="2" keepAlive="1" name="Query - order_items_clean" description="Connection to the 'order_items_clean' query in the workbook." type="5" refreshedVersion="6" background="1" saveData="1">
    <dbPr connection="Provider=Microsoft.Mashup.OleDb.1;Data Source=$Workbook$;Location=order_items_clean;Extended Properties=&quot;&quot;" command="SELECT * FROM [order_items_clean]"/>
  </connection>
  <connection id="3" keepAlive="1" name="Query - orders_clean" description="Connection to the 'orders_clean' query in the workbook." type="5" refreshedVersion="6" background="1" saveData="1">
    <dbPr connection="Provider=Microsoft.Mashup.OleDb.1;Data Source=$Workbook$;Location=orders_clean;Extended Properties=&quot;&quot;" command="SELECT * FROM [orders_clean]"/>
  </connection>
  <connection id="4" keepAlive="1" name="Query - products_clean" description="Connection to the 'products_clean' query in the workbook." type="5" refreshedVersion="6" background="1" saveData="1">
    <dbPr connection="Provider=Microsoft.Mashup.OleDb.1;Data Source=$Workbook$;Location=products_clean;Extended Properties=&quot;&quot;" command="SELECT * FROM [products_clean]"/>
  </connection>
  <connection id="5" keepAlive="1" name="Query - rfm_segments" description="Connection to the 'rfm_segments' query in the workbook." type="5" refreshedVersion="6" background="1" saveData="1">
    <dbPr connection="Provider=Microsoft.Mashup.OleDb.1;Data Source=$Workbook$;Location=rfm_segments;Extended Properties=&quot;&quot;" command="SELECT * FROM [rfm_segments]"/>
  </connection>
</connections>
</file>

<file path=xl/sharedStrings.xml><?xml version="1.0" encoding="utf-8"?>
<sst xmlns="http://schemas.openxmlformats.org/spreadsheetml/2006/main" count="11288" uniqueCount="3783">
  <si>
    <t>customer_id</t>
  </si>
  <si>
    <t>customer_name</t>
  </si>
  <si>
    <t>city</t>
  </si>
  <si>
    <t>segment</t>
  </si>
  <si>
    <t>signup_channel</t>
  </si>
  <si>
    <t>signup_date</t>
  </si>
  <si>
    <t>email</t>
  </si>
  <si>
    <t>phone</t>
  </si>
  <si>
    <t>has_email</t>
  </si>
  <si>
    <t>has_phone</t>
  </si>
  <si>
    <t>C0001</t>
  </si>
  <si>
    <t>Allison Hill</t>
  </si>
  <si>
    <t>Hyderabad</t>
  </si>
  <si>
    <t>New</t>
  </si>
  <si>
    <t>Organic</t>
  </si>
  <si>
    <t>allison.hill@example.com</t>
  </si>
  <si>
    <t>001-218-519-6001x3389</t>
  </si>
  <si>
    <t>C0002</t>
  </si>
  <si>
    <t>Meredith Barnes</t>
  </si>
  <si>
    <t>Returning</t>
  </si>
  <si>
    <t>Paid Ads</t>
  </si>
  <si>
    <t>meredith.barnes@example.com</t>
  </si>
  <si>
    <t>302-765-4235x116</t>
  </si>
  <si>
    <t>C0003</t>
  </si>
  <si>
    <t>Lindsey Roman</t>
  </si>
  <si>
    <t>Delhi</t>
  </si>
  <si>
    <t>lindsey.roman@example.com</t>
  </si>
  <si>
    <t>+1-516-318-4959</t>
  </si>
  <si>
    <t>C0004</t>
  </si>
  <si>
    <t>Darren Roberts</t>
  </si>
  <si>
    <t>VIP</t>
  </si>
  <si>
    <t>Email</t>
  </si>
  <si>
    <t>darren.roberts@example.com</t>
  </si>
  <si>
    <t>C0005</t>
  </si>
  <si>
    <t>BRIAN RAMIREZ</t>
  </si>
  <si>
    <t>Chandigarh</t>
  </si>
  <si>
    <t>Social Media</t>
  </si>
  <si>
    <t>brian.ramirez@example.com</t>
  </si>
  <si>
    <t>(925)853-4192x832</t>
  </si>
  <si>
    <t>C0006</t>
  </si>
  <si>
    <t>Timothy Watts</t>
  </si>
  <si>
    <t>903-405-6413x95376</t>
  </si>
  <si>
    <t>C0007</t>
  </si>
  <si>
    <t>David Hoffman</t>
  </si>
  <si>
    <t>david.hoffman@example.com</t>
  </si>
  <si>
    <t>001-369-265-3287</t>
  </si>
  <si>
    <t>C0008</t>
  </si>
  <si>
    <t>Brittany Moore</t>
  </si>
  <si>
    <t>Pune</t>
  </si>
  <si>
    <t>brittany.moore@example.com</t>
  </si>
  <si>
    <t>C0009</t>
  </si>
  <si>
    <t>Janice Carlson</t>
  </si>
  <si>
    <t>janice.carlson@example.com</t>
  </si>
  <si>
    <t>280-618-4514x627</t>
  </si>
  <si>
    <t>C0010</t>
  </si>
  <si>
    <t>PAMELA ROMERO</t>
  </si>
  <si>
    <t>Bangalore</t>
  </si>
  <si>
    <t>pamela.romero@example.com</t>
  </si>
  <si>
    <t>+1-948-293-2528x8095</t>
  </si>
  <si>
    <t>C0011</t>
  </si>
  <si>
    <t>Jack Galloway</t>
  </si>
  <si>
    <t>jack.galloway@example.com</t>
  </si>
  <si>
    <t>403.491.1718</t>
  </si>
  <si>
    <t>C0012</t>
  </si>
  <si>
    <t>Theresa Martin</t>
  </si>
  <si>
    <t>C0013</t>
  </si>
  <si>
    <t>Tracey Hickman</t>
  </si>
  <si>
    <t>Mumbai</t>
  </si>
  <si>
    <t>tracey.hickman@example.com</t>
  </si>
  <si>
    <t>001-734-265-7871x331</t>
  </si>
  <si>
    <t>C0014</t>
  </si>
  <si>
    <t>Crystal Robinson</t>
  </si>
  <si>
    <t>crystal.robinson@example.com</t>
  </si>
  <si>
    <t>+1-403-910-5183x4738</t>
  </si>
  <si>
    <t>C0015</t>
  </si>
  <si>
    <t>JOHN RUSSELL</t>
  </si>
  <si>
    <t>john.russell@example.com</t>
  </si>
  <si>
    <t>+1-565-966-7010x65133</t>
  </si>
  <si>
    <t>C0016</t>
  </si>
  <si>
    <t>Clifford Ford</t>
  </si>
  <si>
    <t>clifford.ford@example.com</t>
  </si>
  <si>
    <t>C0017</t>
  </si>
  <si>
    <t>Robert Chase</t>
  </si>
  <si>
    <t>robert.chase@example.com</t>
  </si>
  <si>
    <t>+1-880-213-2677x3602</t>
  </si>
  <si>
    <t>C0018</t>
  </si>
  <si>
    <t>Mrs. Rachel Gibson</t>
  </si>
  <si>
    <t>001-287-923-4309x8050</t>
  </si>
  <si>
    <t>C0019</t>
  </si>
  <si>
    <t>Sarah Moore</t>
  </si>
  <si>
    <t>Referral</t>
  </si>
  <si>
    <t>sarah.moore@example.com</t>
  </si>
  <si>
    <t>521-291-3619</t>
  </si>
  <si>
    <t>C0020</t>
  </si>
  <si>
    <t>JENNIFER SILVA</t>
  </si>
  <si>
    <t>jennifer.silva@example.com</t>
  </si>
  <si>
    <t/>
  </si>
  <si>
    <t>C0021</t>
  </si>
  <si>
    <t>Christina Moran</t>
  </si>
  <si>
    <t>christina.moran@example.com</t>
  </si>
  <si>
    <t>(524)675-1079x9118</t>
  </si>
  <si>
    <t>C0022</t>
  </si>
  <si>
    <t>Gregory Jones</t>
  </si>
  <si>
    <t>gregory.jones@example.com</t>
  </si>
  <si>
    <t>327-384-9808x4124</t>
  </si>
  <si>
    <t>C0023</t>
  </si>
  <si>
    <t>Brittney Campbell</t>
  </si>
  <si>
    <t>brittney.campbell@example.com</t>
  </si>
  <si>
    <t>634-487-4016x40052</t>
  </si>
  <si>
    <t>C0024</t>
  </si>
  <si>
    <t>Kristen Patterson</t>
  </si>
  <si>
    <t>C0025</t>
  </si>
  <si>
    <t>STEPHEN MCKEE</t>
  </si>
  <si>
    <t>stephen.mckee@example.com</t>
  </si>
  <si>
    <t>(598)326-2045x053</t>
  </si>
  <si>
    <t>C0026</t>
  </si>
  <si>
    <t>Justin Baxter</t>
  </si>
  <si>
    <t>justin.baxter@example.com</t>
  </si>
  <si>
    <t>001-323-822-6025x6342</t>
  </si>
  <si>
    <t>C0027</t>
  </si>
  <si>
    <t>Shannon Walker</t>
  </si>
  <si>
    <t>shannon.walker@example.com</t>
  </si>
  <si>
    <t>754.833.0365x414</t>
  </si>
  <si>
    <t>C0028</t>
  </si>
  <si>
    <t>Sarah Rivera</t>
  </si>
  <si>
    <t>sarah.rivera@example.com</t>
  </si>
  <si>
    <t>C0029</t>
  </si>
  <si>
    <t>Debbie Carpenter</t>
  </si>
  <si>
    <t>debbie.carpenter@example.com</t>
  </si>
  <si>
    <t>3198655698</t>
  </si>
  <si>
    <t>C0030</t>
  </si>
  <si>
    <t>CHERYL WILLIAMS</t>
  </si>
  <si>
    <t>783.856.1595x14846</t>
  </si>
  <si>
    <t>C0031</t>
  </si>
  <si>
    <t>Kristen Lee</t>
  </si>
  <si>
    <t>kristen.lee@example.com</t>
  </si>
  <si>
    <t>(729)994-6804x4369</t>
  </si>
  <si>
    <t>C0032</t>
  </si>
  <si>
    <t>Michael Dixon</t>
  </si>
  <si>
    <t>michael.dixon@example.com</t>
  </si>
  <si>
    <t>C0033</t>
  </si>
  <si>
    <t>Nancy Hopkins</t>
  </si>
  <si>
    <t>nancy.hopkins@example.com</t>
  </si>
  <si>
    <t>+1-395-913-4332x00379</t>
  </si>
  <si>
    <t>C0034</t>
  </si>
  <si>
    <t>Mark Lee</t>
  </si>
  <si>
    <t>mark.lee@example.com</t>
  </si>
  <si>
    <t>563.320.1632x8708</t>
  </si>
  <si>
    <t>C0035</t>
  </si>
  <si>
    <t>ROBERT CONTRERAS</t>
  </si>
  <si>
    <t>robert.contreras@example.com</t>
  </si>
  <si>
    <t>+1-557-698-6872x774</t>
  </si>
  <si>
    <t>C0036</t>
  </si>
  <si>
    <t>Kelly Sims</t>
  </si>
  <si>
    <t>C0037</t>
  </si>
  <si>
    <t>Dustin Nelson</t>
  </si>
  <si>
    <t>dustin.nelson@example.com</t>
  </si>
  <si>
    <t>+1-812-823-6231</t>
  </si>
  <si>
    <t>C0038</t>
  </si>
  <si>
    <t>John Brown</t>
  </si>
  <si>
    <t>john.brown@example.com</t>
  </si>
  <si>
    <t>(590)996-7054x6688</t>
  </si>
  <si>
    <t>C0039</t>
  </si>
  <si>
    <t>Jeffrey Johnson</t>
  </si>
  <si>
    <t>jeffrey.johnson@example.com</t>
  </si>
  <si>
    <t>+1-462-972-9806x99016</t>
  </si>
  <si>
    <t>C0040</t>
  </si>
  <si>
    <t>DAVID MURPHY</t>
  </si>
  <si>
    <t>david.murphy@example.com</t>
  </si>
  <si>
    <t>C0041</t>
  </si>
  <si>
    <t>Shawn Ramirez</t>
  </si>
  <si>
    <t>shawn.ramirez@example.com</t>
  </si>
  <si>
    <t>(241)470-8053x10033</t>
  </si>
  <si>
    <t>C0042</t>
  </si>
  <si>
    <t>John Wilson</t>
  </si>
  <si>
    <t>645.829.9124x190</t>
  </si>
  <si>
    <t>C0043</t>
  </si>
  <si>
    <t>Miguel Jones</t>
  </si>
  <si>
    <t>miguel.jones@example.com</t>
  </si>
  <si>
    <t>+1-731-249-1905x8651</t>
  </si>
  <si>
    <t>C0044</t>
  </si>
  <si>
    <t>Samantha Garcia</t>
  </si>
  <si>
    <t>samantha.garcia@example.com</t>
  </si>
  <si>
    <t>C0045</t>
  </si>
  <si>
    <t>SANDRA ZIMMERMAN</t>
  </si>
  <si>
    <t>sandra.zimmerman@example.com</t>
  </si>
  <si>
    <t>001-684-998-7769x4531</t>
  </si>
  <si>
    <t>C0046</t>
  </si>
  <si>
    <t>John Bishop</t>
  </si>
  <si>
    <t>john.bishop@example.com</t>
  </si>
  <si>
    <t>6756273545</t>
  </si>
  <si>
    <t>C0047</t>
  </si>
  <si>
    <t>Kellie Lee</t>
  </si>
  <si>
    <t>kellie.lee@example.com</t>
  </si>
  <si>
    <t>(778)937-7701x43634</t>
  </si>
  <si>
    <t>C0048</t>
  </si>
  <si>
    <t>Hailey Barajas</t>
  </si>
  <si>
    <t>C0049</t>
  </si>
  <si>
    <t>Jesse Parker</t>
  </si>
  <si>
    <t>jesse.parker@example.com</t>
  </si>
  <si>
    <t>001-635-318-2337x4989</t>
  </si>
  <si>
    <t>C0050</t>
  </si>
  <si>
    <t>ELIZABETH WARD</t>
  </si>
  <si>
    <t>elizabeth.ward@example.com</t>
  </si>
  <si>
    <t>001-682-940-0842x710</t>
  </si>
  <si>
    <t>C0051</t>
  </si>
  <si>
    <t>Glen Sheppard</t>
  </si>
  <si>
    <t>glen.sheppard@example.com</t>
  </si>
  <si>
    <t>511.367.1902x2941</t>
  </si>
  <si>
    <t>C0052</t>
  </si>
  <si>
    <t>Jennifer Carlson</t>
  </si>
  <si>
    <t>jennifer.carlson@example.com</t>
  </si>
  <si>
    <t>C0053</t>
  </si>
  <si>
    <t>Jamie Kerr</t>
  </si>
  <si>
    <t>jamie.kerr@example.com</t>
  </si>
  <si>
    <t>001-564-699-0913</t>
  </si>
  <si>
    <t>C0054</t>
  </si>
  <si>
    <t>Brooke Thompson</t>
  </si>
  <si>
    <t>6679974034</t>
  </si>
  <si>
    <t>C0055</t>
  </si>
  <si>
    <t>DAVID BAKER</t>
  </si>
  <si>
    <t>david.baker@example.com</t>
  </si>
  <si>
    <t>001-336-218-3242</t>
  </si>
  <si>
    <t>C0056</t>
  </si>
  <si>
    <t>Eric Curry</t>
  </si>
  <si>
    <t>eric.curry@example.com</t>
  </si>
  <si>
    <t>C0057</t>
  </si>
  <si>
    <t>Caleb Barker</t>
  </si>
  <si>
    <t>caleb.barker@example.com</t>
  </si>
  <si>
    <t>288-377-1906x594</t>
  </si>
  <si>
    <t>C0058</t>
  </si>
  <si>
    <t>Michael Valencia</t>
  </si>
  <si>
    <t>michael.valencia@example.com</t>
  </si>
  <si>
    <t>4498027874</t>
  </si>
  <si>
    <t>C0059</t>
  </si>
  <si>
    <t>Katherine Davis</t>
  </si>
  <si>
    <t>katherine.davis@example.com</t>
  </si>
  <si>
    <t>651-725-6746x80715</t>
  </si>
  <si>
    <t>C0060</t>
  </si>
  <si>
    <t>RAYMOND HANCOCK</t>
  </si>
  <si>
    <t>C0061</t>
  </si>
  <si>
    <t>Sean Murray</t>
  </si>
  <si>
    <t>sean.murray@example.com</t>
  </si>
  <si>
    <t>259.577.0348x24771</t>
  </si>
  <si>
    <t>C0062</t>
  </si>
  <si>
    <t>Emily Smith</t>
  </si>
  <si>
    <t>emily.smith@example.com</t>
  </si>
  <si>
    <t>817.912.7484</t>
  </si>
  <si>
    <t>C0063</t>
  </si>
  <si>
    <t>Mrs. Kristen Reyes</t>
  </si>
  <si>
    <t>mrs..kristen.reyes@example.com</t>
  </si>
  <si>
    <t>421.946.5840x44997</t>
  </si>
  <si>
    <t>C0064</t>
  </si>
  <si>
    <t>Haley Arnold</t>
  </si>
  <si>
    <t>haley.arnold@example.com</t>
  </si>
  <si>
    <t>C0065</t>
  </si>
  <si>
    <t>FRANK LOPEZ</t>
  </si>
  <si>
    <t>frank.lopez@example.com</t>
  </si>
  <si>
    <t>001-463-960-5766</t>
  </si>
  <si>
    <t>C0066</t>
  </si>
  <si>
    <t>Beth Sanford</t>
  </si>
  <si>
    <t>371-987-0262</t>
  </si>
  <si>
    <t>C0067</t>
  </si>
  <si>
    <t>Deborah Hanson</t>
  </si>
  <si>
    <t>deborah.hanson@example.com</t>
  </si>
  <si>
    <t>358-565-7809</t>
  </si>
  <si>
    <t>C0068</t>
  </si>
  <si>
    <t>Tammie Bright</t>
  </si>
  <si>
    <t>tammie.bright@example.com</t>
  </si>
  <si>
    <t>C0069</t>
  </si>
  <si>
    <t>Brett Schultz</t>
  </si>
  <si>
    <t>brett.schultz@example.com</t>
  </si>
  <si>
    <t>524.800.5045x562</t>
  </si>
  <si>
    <t>C0070</t>
  </si>
  <si>
    <t>REBECCA JACKSON</t>
  </si>
  <si>
    <t>rebecca.jackson@example.com</t>
  </si>
  <si>
    <t>(693)479-2374x7407</t>
  </si>
  <si>
    <t>C0071</t>
  </si>
  <si>
    <t>Tony Huerta</t>
  </si>
  <si>
    <t>tony.huerta@example.com</t>
  </si>
  <si>
    <t>(647)243-6713x69594</t>
  </si>
  <si>
    <t>C0072</t>
  </si>
  <si>
    <t>Mary Hill</t>
  </si>
  <si>
    <t>C0073</t>
  </si>
  <si>
    <t>Natasha Williams</t>
  </si>
  <si>
    <t>natasha.williams@example.com</t>
  </si>
  <si>
    <t>943.295.3394x2104</t>
  </si>
  <si>
    <t>C0074</t>
  </si>
  <si>
    <t>Morgan Davis</t>
  </si>
  <si>
    <t>morgan.davis@example.com</t>
  </si>
  <si>
    <t>001-662-732-8588x4247</t>
  </si>
  <si>
    <t>C0075</t>
  </si>
  <si>
    <t>JULIE JONES</t>
  </si>
  <si>
    <t>julie.jones@example.com</t>
  </si>
  <si>
    <t>368.951.6048</t>
  </si>
  <si>
    <t>C0076</t>
  </si>
  <si>
    <t>Paul Baker</t>
  </si>
  <si>
    <t>paul.baker@example.com</t>
  </si>
  <si>
    <t>C0077</t>
  </si>
  <si>
    <t>Jacqueline Leonard</t>
  </si>
  <si>
    <t>jacqueline.leonard@example.com</t>
  </si>
  <si>
    <t>+1-285-693-1746x120</t>
  </si>
  <si>
    <t>C0078</t>
  </si>
  <si>
    <t>Audrey Young DDS</t>
  </si>
  <si>
    <t>(786)592-6179x640</t>
  </si>
  <si>
    <t>C0079</t>
  </si>
  <si>
    <t>Trevor Foley</t>
  </si>
  <si>
    <t>trevor.foley@example.com</t>
  </si>
  <si>
    <t>+1-258-750-6431x71390</t>
  </si>
  <si>
    <t>C0080</t>
  </si>
  <si>
    <t>CAMERON CUNNINGHAM</t>
  </si>
  <si>
    <t>cameron.cunningham@example.com</t>
  </si>
  <si>
    <t>C0081</t>
  </si>
  <si>
    <t>Christine Robinson</t>
  </si>
  <si>
    <t>christine.robinson@example.com</t>
  </si>
  <si>
    <t>729-504-2284x21020</t>
  </si>
  <si>
    <t>C0082</t>
  </si>
  <si>
    <t>Alexis Baker</t>
  </si>
  <si>
    <t>alexis.baker@example.com</t>
  </si>
  <si>
    <t>(281)617-7589x17839</t>
  </si>
  <si>
    <t>C0083</t>
  </si>
  <si>
    <t>Victor Brown</t>
  </si>
  <si>
    <t>victor.brown@example.com</t>
  </si>
  <si>
    <t>(761)877-1159x2124</t>
  </si>
  <si>
    <t>C0084</t>
  </si>
  <si>
    <t>Kerry Chavez DDS</t>
  </si>
  <si>
    <t>C0085</t>
  </si>
  <si>
    <t>SARAH CURTIS</t>
  </si>
  <si>
    <t>sarah.curtis@example.com</t>
  </si>
  <si>
    <t>001-736-673-6576x6156</t>
  </si>
  <si>
    <t>C0086</t>
  </si>
  <si>
    <t>Christian Leblanc</t>
  </si>
  <si>
    <t>christian.leblanc@example.com</t>
  </si>
  <si>
    <t>716-315-2809</t>
  </si>
  <si>
    <t>C0087</t>
  </si>
  <si>
    <t>Shane Pugh</t>
  </si>
  <si>
    <t>shane.pugh@example.com</t>
  </si>
  <si>
    <t>001-304-794-5198x3273</t>
  </si>
  <si>
    <t>C0088</t>
  </si>
  <si>
    <t>Holly Farmer</t>
  </si>
  <si>
    <t>holly.farmer@example.com</t>
  </si>
  <si>
    <t>C0089</t>
  </si>
  <si>
    <t>Sarah Villegas</t>
  </si>
  <si>
    <t>sarah.villegas@example.com</t>
  </si>
  <si>
    <t>+1-480-494-0244x550</t>
  </si>
  <si>
    <t>C0090</t>
  </si>
  <si>
    <t>JENNIFER THOMAS</t>
  </si>
  <si>
    <t>7186366752</t>
  </si>
  <si>
    <t>C0091</t>
  </si>
  <si>
    <t>Paula Bradley</t>
  </si>
  <si>
    <t>paula.bradley@example.com</t>
  </si>
  <si>
    <t>9229901476</t>
  </si>
  <si>
    <t>C0092</t>
  </si>
  <si>
    <t>Daniel Hunt</t>
  </si>
  <si>
    <t>daniel.hunt@example.com</t>
  </si>
  <si>
    <t>C0093</t>
  </si>
  <si>
    <t>Michael Watkins</t>
  </si>
  <si>
    <t>michael.watkins@example.com</t>
  </si>
  <si>
    <t>703-369-0034x3244</t>
  </si>
  <si>
    <t>C0094</t>
  </si>
  <si>
    <t>Paul Thompson</t>
  </si>
  <si>
    <t>paul.thompson@example.com</t>
  </si>
  <si>
    <t>001-738-885-1606x071</t>
  </si>
  <si>
    <t>C0095</t>
  </si>
  <si>
    <t>MICHELLE BUTLER</t>
  </si>
  <si>
    <t>michelle.butler@example.com</t>
  </si>
  <si>
    <t>5528975161</t>
  </si>
  <si>
    <t>C0096</t>
  </si>
  <si>
    <t>Kelly Foster</t>
  </si>
  <si>
    <t>C0097</t>
  </si>
  <si>
    <t>Gary Jackson</t>
  </si>
  <si>
    <t>gary.jackson@example.com</t>
  </si>
  <si>
    <t>488-635-5231</t>
  </si>
  <si>
    <t>C0098</t>
  </si>
  <si>
    <t>Lance Wolf</t>
  </si>
  <si>
    <t>lance.wolf@example.com</t>
  </si>
  <si>
    <t>(777)499-7995</t>
  </si>
  <si>
    <t>C0099</t>
  </si>
  <si>
    <t>John Welch</t>
  </si>
  <si>
    <t>john.welch@example.com</t>
  </si>
  <si>
    <t>001-205-781-4770</t>
  </si>
  <si>
    <t>C0100</t>
  </si>
  <si>
    <t>ANGELA LIN</t>
  </si>
  <si>
    <t>angela.lin@example.com</t>
  </si>
  <si>
    <t>C0101</t>
  </si>
  <si>
    <t>Katie Ford</t>
  </si>
  <si>
    <t>katie.ford@example.com</t>
  </si>
  <si>
    <t>001-707-393-5978x2071</t>
  </si>
  <si>
    <t>C0102</t>
  </si>
  <si>
    <t>Carrie Wright</t>
  </si>
  <si>
    <t>288.792.5546x659</t>
  </si>
  <si>
    <t>C0103</t>
  </si>
  <si>
    <t>Brandon Gregory</t>
  </si>
  <si>
    <t>brandon.gregory@example.com</t>
  </si>
  <si>
    <t>001-692-851-9254x6291</t>
  </si>
  <si>
    <t>C0104</t>
  </si>
  <si>
    <t>Erin Anderson</t>
  </si>
  <si>
    <t>erin.anderson@example.com</t>
  </si>
  <si>
    <t>C0105</t>
  </si>
  <si>
    <t>YOLANDA GAINES</t>
  </si>
  <si>
    <t>yolanda.gaines@example.com</t>
  </si>
  <si>
    <t>+1-468-350-5423x57332</t>
  </si>
  <si>
    <t>C0106</t>
  </si>
  <si>
    <t>Richard Romero</t>
  </si>
  <si>
    <t>richard.romero@example.com</t>
  </si>
  <si>
    <t>001-980-259-2962x2292</t>
  </si>
  <si>
    <t>C0107</t>
  </si>
  <si>
    <t>Michael Young</t>
  </si>
  <si>
    <t>michael.young@example.com</t>
  </si>
  <si>
    <t>873-883-4735x9774</t>
  </si>
  <si>
    <t>C0108</t>
  </si>
  <si>
    <t>Ruth Solis</t>
  </si>
  <si>
    <t>C0109</t>
  </si>
  <si>
    <t>Martin Sawyer</t>
  </si>
  <si>
    <t>martin.sawyer@example.com</t>
  </si>
  <si>
    <t>481-841-2478</t>
  </si>
  <si>
    <t>C0110</t>
  </si>
  <si>
    <t>THOMAS VELASQUEZ</t>
  </si>
  <si>
    <t>thomas.velasquez@example.com</t>
  </si>
  <si>
    <t>7605685361</t>
  </si>
  <si>
    <t>C0111</t>
  </si>
  <si>
    <t>Timothy Combs</t>
  </si>
  <si>
    <t>timothy.combs@example.com</t>
  </si>
  <si>
    <t>(220)347-2779</t>
  </si>
  <si>
    <t>C0112</t>
  </si>
  <si>
    <t>Daniel Hernandez</t>
  </si>
  <si>
    <t>daniel.hernandez@example.com</t>
  </si>
  <si>
    <t>C0113</t>
  </si>
  <si>
    <t>Jenny Parsons</t>
  </si>
  <si>
    <t>jenny.parsons@example.com</t>
  </si>
  <si>
    <t>203-569-7117</t>
  </si>
  <si>
    <t>C0114</t>
  </si>
  <si>
    <t>Doris Smith</t>
  </si>
  <si>
    <t>001-262-818-5188</t>
  </si>
  <si>
    <t>C0115</t>
  </si>
  <si>
    <t>AMANDA HUGHES</t>
  </si>
  <si>
    <t>amanda.hughes@example.com</t>
  </si>
  <si>
    <t>001-705-415-3195x2058</t>
  </si>
  <si>
    <t>C0116</t>
  </si>
  <si>
    <t>Melinda Pollard</t>
  </si>
  <si>
    <t>melinda.pollard@example.com</t>
  </si>
  <si>
    <t>C0117</t>
  </si>
  <si>
    <t>Chad Baldwin</t>
  </si>
  <si>
    <t>chad.baldwin@example.com</t>
  </si>
  <si>
    <t>8439030548</t>
  </si>
  <si>
    <t>C0118</t>
  </si>
  <si>
    <t>Paul Lee</t>
  </si>
  <si>
    <t>paul.lee@example.com</t>
  </si>
  <si>
    <t>001-705-641-5667x65277</t>
  </si>
  <si>
    <t>C0119</t>
  </si>
  <si>
    <t>Monica Miller</t>
  </si>
  <si>
    <t>monica.miller@example.com</t>
  </si>
  <si>
    <t>(984)851-1544</t>
  </si>
  <si>
    <t>C0120</t>
  </si>
  <si>
    <t>JEREMY WEST</t>
  </si>
  <si>
    <t>C0121</t>
  </si>
  <si>
    <t>Lisa Graham</t>
  </si>
  <si>
    <t>lisa.graham@example.com</t>
  </si>
  <si>
    <t>9162582029</t>
  </si>
  <si>
    <t>C0122</t>
  </si>
  <si>
    <t>David Brewer</t>
  </si>
  <si>
    <t>david.brewer@example.com</t>
  </si>
  <si>
    <t>001-409-727-5571</t>
  </si>
  <si>
    <t>C0123</t>
  </si>
  <si>
    <t>Matthew Wright</t>
  </si>
  <si>
    <t>matthew.wright@example.com</t>
  </si>
  <si>
    <t>001-927-586-8144x7394</t>
  </si>
  <si>
    <t>C0124</t>
  </si>
  <si>
    <t>Samuel Hayes</t>
  </si>
  <si>
    <t>samuel.hayes@example.com</t>
  </si>
  <si>
    <t>C0125</t>
  </si>
  <si>
    <t>BRANDON FLEMING</t>
  </si>
  <si>
    <t>brandon.fleming@example.com</t>
  </si>
  <si>
    <t>451-588-4422x58313</t>
  </si>
  <si>
    <t>C0126</t>
  </si>
  <si>
    <t>Allison Spencer</t>
  </si>
  <si>
    <t>+1-829-811-4678</t>
  </si>
  <si>
    <t>C0127</t>
  </si>
  <si>
    <t>Angela Compton</t>
  </si>
  <si>
    <t>angela.compton@example.com</t>
  </si>
  <si>
    <t>378.452.8922x680</t>
  </si>
  <si>
    <t>C0128</t>
  </si>
  <si>
    <t>Christopher Donovan</t>
  </si>
  <si>
    <t>christopher.donovan@example.com</t>
  </si>
  <si>
    <t>C0129</t>
  </si>
  <si>
    <t>Kelly Campbell</t>
  </si>
  <si>
    <t>kelly.campbell@example.com</t>
  </si>
  <si>
    <t>484.424.9818</t>
  </si>
  <si>
    <t>C0130</t>
  </si>
  <si>
    <t>MARCUS WINTERS</t>
  </si>
  <si>
    <t>marcus.winters@example.com</t>
  </si>
  <si>
    <t>001-800-210-9439</t>
  </si>
  <si>
    <t>C0131</t>
  </si>
  <si>
    <t>Mr. Dylan Frye MD</t>
  </si>
  <si>
    <t>mr..dylan.frye.md@example.com</t>
  </si>
  <si>
    <t>+1-464-771-0276x77359</t>
  </si>
  <si>
    <t>C0132</t>
  </si>
  <si>
    <t>Emma Travis</t>
  </si>
  <si>
    <t>C0133</t>
  </si>
  <si>
    <t>Philip Robertson</t>
  </si>
  <si>
    <t>philip.robertson@example.com</t>
  </si>
  <si>
    <t>671.847.3210</t>
  </si>
  <si>
    <t>C0134</t>
  </si>
  <si>
    <t>Jennifer Estes</t>
  </si>
  <si>
    <t>jennifer.estes@example.com</t>
  </si>
  <si>
    <t>995-532-7877x47016</t>
  </si>
  <si>
    <t>C0135</t>
  </si>
  <si>
    <t>HARRY WILLIAMS</t>
  </si>
  <si>
    <t>harry.williams@example.com</t>
  </si>
  <si>
    <t>+1-874-280-1624x5650</t>
  </si>
  <si>
    <t>C0136</t>
  </si>
  <si>
    <t>Chloe Tran</t>
  </si>
  <si>
    <t>chloe.tran@example.com</t>
  </si>
  <si>
    <t>C0137</t>
  </si>
  <si>
    <t>Pamela Ramirez</t>
  </si>
  <si>
    <t>pamela.ramirez@example.com</t>
  </si>
  <si>
    <t>+1-891-221-6558x52398</t>
  </si>
  <si>
    <t>C0138</t>
  </si>
  <si>
    <t>Chad Cook</t>
  </si>
  <si>
    <t>729.982.5952x694</t>
  </si>
  <si>
    <t>C0139</t>
  </si>
  <si>
    <t>Elizabeth Cabrera</t>
  </si>
  <si>
    <t>elizabeth.cabrera@example.com</t>
  </si>
  <si>
    <t>+1-916-494-0974x99309</t>
  </si>
  <si>
    <t>C0140</t>
  </si>
  <si>
    <t>MICHELLE HAMPTON</t>
  </si>
  <si>
    <t>michelle.hampton@example.com</t>
  </si>
  <si>
    <t>C0141</t>
  </si>
  <si>
    <t>Dana Armstrong</t>
  </si>
  <si>
    <t>dana.armstrong@example.com</t>
  </si>
  <si>
    <t>907.256.2636</t>
  </si>
  <si>
    <t>C0142</t>
  </si>
  <si>
    <t>Kelly Hoffman</t>
  </si>
  <si>
    <t>kelly.hoffman@example.com</t>
  </si>
  <si>
    <t>586.552.7858x5497</t>
  </si>
  <si>
    <t>C0143</t>
  </si>
  <si>
    <t>Edwin David</t>
  </si>
  <si>
    <t>edwin.david@example.com</t>
  </si>
  <si>
    <t>001-843-775-7584x41986</t>
  </si>
  <si>
    <t>C0144</t>
  </si>
  <si>
    <t>Regina Roberts</t>
  </si>
  <si>
    <t>C0145</t>
  </si>
  <si>
    <t>HANNAH RAMOS</t>
  </si>
  <si>
    <t>hannah.ramos@example.com</t>
  </si>
  <si>
    <t>233.584.8421x9933</t>
  </si>
  <si>
    <t>C0146</t>
  </si>
  <si>
    <t>Amy Gutierrez</t>
  </si>
  <si>
    <t>amy.gutierrez@example.com</t>
  </si>
  <si>
    <t>620-782-6773</t>
  </si>
  <si>
    <t>C0147</t>
  </si>
  <si>
    <t>Anthony Mack</t>
  </si>
  <si>
    <t>anthony.mack@example.com</t>
  </si>
  <si>
    <t>480.626.2067</t>
  </si>
  <si>
    <t>C0148</t>
  </si>
  <si>
    <t>Alexandra Bradley</t>
  </si>
  <si>
    <t>alexandra.bradley@example.com</t>
  </si>
  <si>
    <t>C0149</t>
  </si>
  <si>
    <t>Mrs. Virginia Daniels</t>
  </si>
  <si>
    <t>mrs..virginia.daniels@example.com</t>
  </si>
  <si>
    <t>(687)443-1527</t>
  </si>
  <si>
    <t>C0150</t>
  </si>
  <si>
    <t>GEORGE PHILLIPS</t>
  </si>
  <si>
    <t>329.466.8516</t>
  </si>
  <si>
    <t>C0151</t>
  </si>
  <si>
    <t>Mrs. Taylor Smith</t>
  </si>
  <si>
    <t>mrs..taylor.smith@example.com</t>
  </si>
  <si>
    <t>945.649.9045x301</t>
  </si>
  <si>
    <t>C0152</t>
  </si>
  <si>
    <t>Michael Leblanc</t>
  </si>
  <si>
    <t>michael.leblanc@example.com</t>
  </si>
  <si>
    <t>C0153</t>
  </si>
  <si>
    <t>Melissa Fowler</t>
  </si>
  <si>
    <t>melissa.fowler@example.com</t>
  </si>
  <si>
    <t>(993)532-7279x568</t>
  </si>
  <si>
    <t>C0154</t>
  </si>
  <si>
    <t>Melanie Larson</t>
  </si>
  <si>
    <t>melanie.larson@example.com</t>
  </si>
  <si>
    <t>478.751.9108x83982</t>
  </si>
  <si>
    <t>C0155</t>
  </si>
  <si>
    <t>JESSICA FRAZIER</t>
  </si>
  <si>
    <t>jessica.frazier@example.com</t>
  </si>
  <si>
    <t>918.670.7286x7908</t>
  </si>
  <si>
    <t>C0156</t>
  </si>
  <si>
    <t>Jennifer Velasquez</t>
  </si>
  <si>
    <t>C0157</t>
  </si>
  <si>
    <t>Amber Cooper</t>
  </si>
  <si>
    <t>amber.cooper@example.com</t>
  </si>
  <si>
    <t>7178046226</t>
  </si>
  <si>
    <t>C0158</t>
  </si>
  <si>
    <t>Thomas Bennett</t>
  </si>
  <si>
    <t>thomas.bennett@example.com</t>
  </si>
  <si>
    <t>+1-982-851-2868x23004</t>
  </si>
  <si>
    <t>C0159</t>
  </si>
  <si>
    <t>Samantha Wright</t>
  </si>
  <si>
    <t>samantha.wright@example.com</t>
  </si>
  <si>
    <t>231-906-9033x119</t>
  </si>
  <si>
    <t>C0160</t>
  </si>
  <si>
    <t>MICHELE WILLIAMS</t>
  </si>
  <si>
    <t>michele.williams@example.com</t>
  </si>
  <si>
    <t>C0161</t>
  </si>
  <si>
    <t>David Robinson</t>
  </si>
  <si>
    <t>david.robinson@example.com</t>
  </si>
  <si>
    <t>7285439599</t>
  </si>
  <si>
    <t>C0162</t>
  </si>
  <si>
    <t>Charles Keller</t>
  </si>
  <si>
    <t>740-889-2687x0568</t>
  </si>
  <si>
    <t>C0163</t>
  </si>
  <si>
    <t>Elijah White</t>
  </si>
  <si>
    <t>elijah.white@example.com</t>
  </si>
  <si>
    <t>434.827.0866</t>
  </si>
  <si>
    <t>C0164</t>
  </si>
  <si>
    <t>Dalton Lucas</t>
  </si>
  <si>
    <t>dalton.lucas@example.com</t>
  </si>
  <si>
    <t>C0165</t>
  </si>
  <si>
    <t>ANNA HARDY</t>
  </si>
  <si>
    <t>anna.hardy@example.com</t>
  </si>
  <si>
    <t>769-690-1398x373</t>
  </si>
  <si>
    <t>C0166</t>
  </si>
  <si>
    <t>Alexis Giles</t>
  </si>
  <si>
    <t>alexis.giles@example.com</t>
  </si>
  <si>
    <t>673-893-6385</t>
  </si>
  <si>
    <t>C0167</t>
  </si>
  <si>
    <t>Matthew Parker</t>
  </si>
  <si>
    <t>matthew.parker@example.com</t>
  </si>
  <si>
    <t>271.675.3556x0932</t>
  </si>
  <si>
    <t>C0168</t>
  </si>
  <si>
    <t>Lauren Cortez</t>
  </si>
  <si>
    <t>C0169</t>
  </si>
  <si>
    <t>David Hudson</t>
  </si>
  <si>
    <t>david.hudson@example.com</t>
  </si>
  <si>
    <t>+1-454-977-7252</t>
  </si>
  <si>
    <t>C0170</t>
  </si>
  <si>
    <t>STEVE MOONEY</t>
  </si>
  <si>
    <t>steve.mooney@example.com</t>
  </si>
  <si>
    <t>701.200.6231x20387</t>
  </si>
  <si>
    <t>C0171</t>
  </si>
  <si>
    <t>Mary Jensen</t>
  </si>
  <si>
    <t>mary.jensen@example.com</t>
  </si>
  <si>
    <t>800.488.6008x4840</t>
  </si>
  <si>
    <t>C0172</t>
  </si>
  <si>
    <t>Brent Hernandez</t>
  </si>
  <si>
    <t>brent.hernandez@example.com</t>
  </si>
  <si>
    <t>C0173</t>
  </si>
  <si>
    <t>Robin Adams</t>
  </si>
  <si>
    <t>robin.adams@example.com</t>
  </si>
  <si>
    <t>(867)993-3410x166</t>
  </si>
  <si>
    <t>C0174</t>
  </si>
  <si>
    <t>Adam Jackson</t>
  </si>
  <si>
    <t>(259)418-0339x74014</t>
  </si>
  <si>
    <t>C0175</t>
  </si>
  <si>
    <t>EMILY ALI</t>
  </si>
  <si>
    <t>emily.ali@example.com</t>
  </si>
  <si>
    <t>001-761-242-9396x85621</t>
  </si>
  <si>
    <t>C0176</t>
  </si>
  <si>
    <t>David Jones</t>
  </si>
  <si>
    <t>david.jones@example.com</t>
  </si>
  <si>
    <t>C0177</t>
  </si>
  <si>
    <t>Linda Novak</t>
  </si>
  <si>
    <t>linda.novak@example.com</t>
  </si>
  <si>
    <t>+1-647-573-5866x2961</t>
  </si>
  <si>
    <t>C0178</t>
  </si>
  <si>
    <t>Angela Moore</t>
  </si>
  <si>
    <t>angela.moore@example.com</t>
  </si>
  <si>
    <t>+1-426-355-1104x7541</t>
  </si>
  <si>
    <t>C0179</t>
  </si>
  <si>
    <t>Jerry Peters</t>
  </si>
  <si>
    <t>jerry.peters@example.com</t>
  </si>
  <si>
    <t>2156819956</t>
  </si>
  <si>
    <t>C0180</t>
  </si>
  <si>
    <t>RICHARD HARDY</t>
  </si>
  <si>
    <t>C0181</t>
  </si>
  <si>
    <t>Dana Meyer DDS</t>
  </si>
  <si>
    <t>dana.meyer.dds@example.com</t>
  </si>
  <si>
    <t>344-772-1264x647</t>
  </si>
  <si>
    <t>C0182</t>
  </si>
  <si>
    <t>David Weber</t>
  </si>
  <si>
    <t>david.weber@example.com</t>
  </si>
  <si>
    <t>871.724.0659</t>
  </si>
  <si>
    <t>C0183</t>
  </si>
  <si>
    <t>Jeffrey Colon</t>
  </si>
  <si>
    <t>jeffrey.colon@example.com</t>
  </si>
  <si>
    <t>+1-924-559-3752x654</t>
  </si>
  <si>
    <t>C0184</t>
  </si>
  <si>
    <t>Douglas Hartman</t>
  </si>
  <si>
    <t>douglas.hartman@example.com</t>
  </si>
  <si>
    <t>C0185</t>
  </si>
  <si>
    <t>CHRISTINA OSBORN</t>
  </si>
  <si>
    <t>christina.osborn@example.com</t>
  </si>
  <si>
    <t>001-480-873-7416x72434</t>
  </si>
  <si>
    <t>C0186</t>
  </si>
  <si>
    <t>Angela Ewing</t>
  </si>
  <si>
    <t>(488)268-0589x1135</t>
  </si>
  <si>
    <t>C0187</t>
  </si>
  <si>
    <t>Maria Lucas</t>
  </si>
  <si>
    <t>maria.lucas@example.com</t>
  </si>
  <si>
    <t>761-801-4388x89937</t>
  </si>
  <si>
    <t>C0188</t>
  </si>
  <si>
    <t>Michael Vaughn</t>
  </si>
  <si>
    <t>michael.vaughn@example.com</t>
  </si>
  <si>
    <t>C0189</t>
  </si>
  <si>
    <t>Mrs. Elizabeth Knapp MD</t>
  </si>
  <si>
    <t>mrs..elizabeth.knapp.md@example.com</t>
  </si>
  <si>
    <t>001-925-745-7387x5717</t>
  </si>
  <si>
    <t>C0190</t>
  </si>
  <si>
    <t>ANDREW PAGE</t>
  </si>
  <si>
    <t>andrew.page@example.com</t>
  </si>
  <si>
    <t>412-438-2825x86736</t>
  </si>
  <si>
    <t>C0191</t>
  </si>
  <si>
    <t>Jessica Johnson</t>
  </si>
  <si>
    <t>jessica.johnson@example.com</t>
  </si>
  <si>
    <t>379.366.0334</t>
  </si>
  <si>
    <t>C0192</t>
  </si>
  <si>
    <t>Kimberly Diaz</t>
  </si>
  <si>
    <t>C0193</t>
  </si>
  <si>
    <t>Michael Burns</t>
  </si>
  <si>
    <t>michael.burns@example.com</t>
  </si>
  <si>
    <t>396-496-9155x79249</t>
  </si>
  <si>
    <t>C0194</t>
  </si>
  <si>
    <t>David Wilson</t>
  </si>
  <si>
    <t>david.wilson@example.com</t>
  </si>
  <si>
    <t>(486)969-2966</t>
  </si>
  <si>
    <t>C0195</t>
  </si>
  <si>
    <t>MELISSA BREWER</t>
  </si>
  <si>
    <t>melissa.brewer@example.com</t>
  </si>
  <si>
    <t>+1-227-742-2579</t>
  </si>
  <si>
    <t>C0196</t>
  </si>
  <si>
    <t>Kari Lee</t>
  </si>
  <si>
    <t>kari.lee@example.com</t>
  </si>
  <si>
    <t>C0197</t>
  </si>
  <si>
    <t>Marissa Ortiz</t>
  </si>
  <si>
    <t>marissa.ortiz@example.com</t>
  </si>
  <si>
    <t>001-677-421-9034x043</t>
  </si>
  <si>
    <t>C0198</t>
  </si>
  <si>
    <t>Krystal Barton</t>
  </si>
  <si>
    <t>519.614.8580x78361</t>
  </si>
  <si>
    <t>C0199</t>
  </si>
  <si>
    <t>Amanda Baker</t>
  </si>
  <si>
    <t>amanda.baker@example.com</t>
  </si>
  <si>
    <t>471-433-9596</t>
  </si>
  <si>
    <t>C0200</t>
  </si>
  <si>
    <t>ROBIN TRUJILLO</t>
  </si>
  <si>
    <t>robin.trujillo@example.com</t>
  </si>
  <si>
    <t>C0201</t>
  </si>
  <si>
    <t>Linda Jackson</t>
  </si>
  <si>
    <t>linda.jackson@example.com</t>
  </si>
  <si>
    <t>449-748-1260x4223</t>
  </si>
  <si>
    <t>C0202</t>
  </si>
  <si>
    <t>Pam Lowe</t>
  </si>
  <si>
    <t>pam.lowe@example.com</t>
  </si>
  <si>
    <t>001-646-767-1168</t>
  </si>
  <si>
    <t>C0203</t>
  </si>
  <si>
    <t>John Perkins</t>
  </si>
  <si>
    <t>john.perkins@example.com</t>
  </si>
  <si>
    <t>001-617-751-8636x3745</t>
  </si>
  <si>
    <t>C0204</t>
  </si>
  <si>
    <t>Bianca Phelps</t>
  </si>
  <si>
    <t>C0205</t>
  </si>
  <si>
    <t>PAMELA WILLIAMS</t>
  </si>
  <si>
    <t>pamela.williams@example.com</t>
  </si>
  <si>
    <t>601.327.7063x242</t>
  </si>
  <si>
    <t>C0206</t>
  </si>
  <si>
    <t>Danielle Watson</t>
  </si>
  <si>
    <t>danielle.watson@example.com</t>
  </si>
  <si>
    <t>(506)943-6110</t>
  </si>
  <si>
    <t>C0207</t>
  </si>
  <si>
    <t>Kevin Stone</t>
  </si>
  <si>
    <t>kevin.stone@example.com</t>
  </si>
  <si>
    <t>3513627136</t>
  </si>
  <si>
    <t>C0208</t>
  </si>
  <si>
    <t>Jacob Evans</t>
  </si>
  <si>
    <t>jacob.evans@example.com</t>
  </si>
  <si>
    <t>C0209</t>
  </si>
  <si>
    <t>Shelly May</t>
  </si>
  <si>
    <t>shelly.may@example.com</t>
  </si>
  <si>
    <t>489-809-2753</t>
  </si>
  <si>
    <t>C0210</t>
  </si>
  <si>
    <t>JESSICA ROBINSON</t>
  </si>
  <si>
    <t>(619)365-6523</t>
  </si>
  <si>
    <t>C0211</t>
  </si>
  <si>
    <t>Kyle Griffith</t>
  </si>
  <si>
    <t>kyle.griffith@example.com</t>
  </si>
  <si>
    <t>001-904-838-9836x403</t>
  </si>
  <si>
    <t>C0212</t>
  </si>
  <si>
    <t>Jonathan Wheeler</t>
  </si>
  <si>
    <t>jonathan.wheeler@example.com</t>
  </si>
  <si>
    <t>C0213</t>
  </si>
  <si>
    <t>Victoria Peck</t>
  </si>
  <si>
    <t>victoria.peck@example.com</t>
  </si>
  <si>
    <t>001-365-282-7109</t>
  </si>
  <si>
    <t>C0214</t>
  </si>
  <si>
    <t>Andrew Brown</t>
  </si>
  <si>
    <t>andrew.brown@example.com</t>
  </si>
  <si>
    <t>348.566.6188x92414</t>
  </si>
  <si>
    <t>C0215</t>
  </si>
  <si>
    <t>BRITTNEY MURPHY</t>
  </si>
  <si>
    <t>brittney.murphy@example.com</t>
  </si>
  <si>
    <t>001-614-463-0316x17990</t>
  </si>
  <si>
    <t>C0216</t>
  </si>
  <si>
    <t>Michael Miles</t>
  </si>
  <si>
    <t>C0217</t>
  </si>
  <si>
    <t>Kelly Logan</t>
  </si>
  <si>
    <t>kelly.logan@example.com</t>
  </si>
  <si>
    <t>(352)641-0564</t>
  </si>
  <si>
    <t>C0218</t>
  </si>
  <si>
    <t>Laura Jones</t>
  </si>
  <si>
    <t>laura.jones@example.com</t>
  </si>
  <si>
    <t>(207)292-5241x913</t>
  </si>
  <si>
    <t>C0219</t>
  </si>
  <si>
    <t>Alexandria Williams</t>
  </si>
  <si>
    <t>alexandria.williams@example.com</t>
  </si>
  <si>
    <t>(720)686-3536</t>
  </si>
  <si>
    <t>C0220</t>
  </si>
  <si>
    <t>LAURA WILSON</t>
  </si>
  <si>
    <t>laura.wilson@example.com</t>
  </si>
  <si>
    <t>C0221</t>
  </si>
  <si>
    <t>Daniel Black</t>
  </si>
  <si>
    <t>daniel.black@example.com</t>
  </si>
  <si>
    <t>(617)544-5187x0534</t>
  </si>
  <si>
    <t>C0222</t>
  </si>
  <si>
    <t>Kevin Snyder</t>
  </si>
  <si>
    <t>783.220.6038</t>
  </si>
  <si>
    <t>C0223</t>
  </si>
  <si>
    <t>April Sandoval</t>
  </si>
  <si>
    <t>april.sandoval@example.com</t>
  </si>
  <si>
    <t>001-541-838-3670x2410</t>
  </si>
  <si>
    <t>C0224</t>
  </si>
  <si>
    <t>Jacqueline Villegas</t>
  </si>
  <si>
    <t>jacqueline.villegas@example.com</t>
  </si>
  <si>
    <t>C0225</t>
  </si>
  <si>
    <t>CASEY WILKINS</t>
  </si>
  <si>
    <t>casey.wilkins@example.com</t>
  </si>
  <si>
    <t>001-706-723-4456</t>
  </si>
  <si>
    <t>C0226</t>
  </si>
  <si>
    <t>David Harding</t>
  </si>
  <si>
    <t>david.harding@example.com</t>
  </si>
  <si>
    <t>001-991-621-2775x61853</t>
  </si>
  <si>
    <t>C0227</t>
  </si>
  <si>
    <t>Samuel Davis</t>
  </si>
  <si>
    <t>samuel.davis@example.com</t>
  </si>
  <si>
    <t>690-435-2135x6804</t>
  </si>
  <si>
    <t>C0228</t>
  </si>
  <si>
    <t>Jared Chavez</t>
  </si>
  <si>
    <t>C0229</t>
  </si>
  <si>
    <t>Joel Lara</t>
  </si>
  <si>
    <t>joel.lara@example.com</t>
  </si>
  <si>
    <t>6033236519</t>
  </si>
  <si>
    <t>C0230</t>
  </si>
  <si>
    <t>AUSTIN ORR</t>
  </si>
  <si>
    <t>austin.orr@example.com</t>
  </si>
  <si>
    <t>(815)810-7029</t>
  </si>
  <si>
    <t>C0231</t>
  </si>
  <si>
    <t>James Simmons MD</t>
  </si>
  <si>
    <t>james.simmons.md@example.com</t>
  </si>
  <si>
    <t>947-220-9993x476</t>
  </si>
  <si>
    <t>C0232</t>
  </si>
  <si>
    <t>James Barnes</t>
  </si>
  <si>
    <t>james.barnes@example.com</t>
  </si>
  <si>
    <t>C0233</t>
  </si>
  <si>
    <t>Danielle Mcknight</t>
  </si>
  <si>
    <t>danielle.mcknight@example.com</t>
  </si>
  <si>
    <t>7658787598</t>
  </si>
  <si>
    <t>C0234</t>
  </si>
  <si>
    <t>Alexander Harper</t>
  </si>
  <si>
    <t>001-240-578-5932x13348</t>
  </si>
  <si>
    <t>C0235</t>
  </si>
  <si>
    <t>VICKIE PRICE</t>
  </si>
  <si>
    <t>vickie.price@example.com</t>
  </si>
  <si>
    <t>(423)595-5905</t>
  </si>
  <si>
    <t>C0236</t>
  </si>
  <si>
    <t>Rita Waller</t>
  </si>
  <si>
    <t>rita.waller@example.com</t>
  </si>
  <si>
    <t>C0237</t>
  </si>
  <si>
    <t>4877059325</t>
  </si>
  <si>
    <t>C0238</t>
  </si>
  <si>
    <t>Charles Bush</t>
  </si>
  <si>
    <t>charles.bush@example.com</t>
  </si>
  <si>
    <t>685-715-6915</t>
  </si>
  <si>
    <t>C0239</t>
  </si>
  <si>
    <t>Christopher Fry</t>
  </si>
  <si>
    <t>christopher.fry@example.com</t>
  </si>
  <si>
    <t>452.289.5392x6442</t>
  </si>
  <si>
    <t>C0240</t>
  </si>
  <si>
    <t>TIFFANY MYERS</t>
  </si>
  <si>
    <t>C0241</t>
  </si>
  <si>
    <t>Amanda Guzman</t>
  </si>
  <si>
    <t>amanda.guzman@example.com</t>
  </si>
  <si>
    <t>+1-339-717-2513x552</t>
  </si>
  <si>
    <t>C0242</t>
  </si>
  <si>
    <t>Derek Wright</t>
  </si>
  <si>
    <t>derek.wright@example.com</t>
  </si>
  <si>
    <t>810-306-7626x765</t>
  </si>
  <si>
    <t>C0243</t>
  </si>
  <si>
    <t>Rachel Lane</t>
  </si>
  <si>
    <t>rachel.lane@example.com</t>
  </si>
  <si>
    <t>327.310.4054</t>
  </si>
  <si>
    <t>C0244</t>
  </si>
  <si>
    <t>Stephen Martin</t>
  </si>
  <si>
    <t>stephen.martin@example.com</t>
  </si>
  <si>
    <t>C0245</t>
  </si>
  <si>
    <t>VANESSA MORGAN</t>
  </si>
  <si>
    <t>vanessa.morgan@example.com</t>
  </si>
  <si>
    <t>606.629.6201x5336</t>
  </si>
  <si>
    <t>C0246</t>
  </si>
  <si>
    <t>Brendan Long</t>
  </si>
  <si>
    <t>520.450.6149x7310</t>
  </si>
  <si>
    <t>C0247</t>
  </si>
  <si>
    <t>Vanessa Wells</t>
  </si>
  <si>
    <t>vanessa.wells@example.com</t>
  </si>
  <si>
    <t>(277)641-8625x6527</t>
  </si>
  <si>
    <t>C0248</t>
  </si>
  <si>
    <t>Dennis Hood</t>
  </si>
  <si>
    <t>dennis.hood@example.com</t>
  </si>
  <si>
    <t>C0249</t>
  </si>
  <si>
    <t>Michael Davis</t>
  </si>
  <si>
    <t>michael.davis@example.com</t>
  </si>
  <si>
    <t>+1-969-538-0686</t>
  </si>
  <si>
    <t>C0250</t>
  </si>
  <si>
    <t>BLAKE ORR</t>
  </si>
  <si>
    <t>blake.orr@example.com</t>
  </si>
  <si>
    <t>898.399.2172x23320</t>
  </si>
  <si>
    <t>C0251</t>
  </si>
  <si>
    <t>Jessica Osborn DDS</t>
  </si>
  <si>
    <t>jessica.osborn.dds@example.com</t>
  </si>
  <si>
    <t>251-816-8685x487</t>
  </si>
  <si>
    <t>C0252</t>
  </si>
  <si>
    <t>Chase Knight</t>
  </si>
  <si>
    <t>C0253</t>
  </si>
  <si>
    <t>Ariel Garcia</t>
  </si>
  <si>
    <t>ariel.garcia@example.com</t>
  </si>
  <si>
    <t>885-464-6799x7024</t>
  </si>
  <si>
    <t>C0254</t>
  </si>
  <si>
    <t>Melanie Morales</t>
  </si>
  <si>
    <t>melanie.morales@example.com</t>
  </si>
  <si>
    <t>430-674-5054x44713</t>
  </si>
  <si>
    <t>C0255</t>
  </si>
  <si>
    <t>JESSICA PETERSEN</t>
  </si>
  <si>
    <t>jessica.petersen@example.com</t>
  </si>
  <si>
    <t>(691)837-3678x50821</t>
  </si>
  <si>
    <t>C0256</t>
  </si>
  <si>
    <t>Samuel Suarez</t>
  </si>
  <si>
    <t>samuel.suarez@example.com</t>
  </si>
  <si>
    <t>C0257</t>
  </si>
  <si>
    <t>Ross Hood</t>
  </si>
  <si>
    <t>ross.hood@example.com</t>
  </si>
  <si>
    <t>705.934.5786x103</t>
  </si>
  <si>
    <t>C0258</t>
  </si>
  <si>
    <t>Cassandra Harrell</t>
  </si>
  <si>
    <t>(552)541-4060x293</t>
  </si>
  <si>
    <t>C0259</t>
  </si>
  <si>
    <t>Debra Ortiz</t>
  </si>
  <si>
    <t>debra.ortiz@example.com</t>
  </si>
  <si>
    <t>001-707-922-9034x94466</t>
  </si>
  <si>
    <t>C0260</t>
  </si>
  <si>
    <t>JOHN BYRD</t>
  </si>
  <si>
    <t>john.byrd@example.com</t>
  </si>
  <si>
    <t>C0261</t>
  </si>
  <si>
    <t>Brian Hunt</t>
  </si>
  <si>
    <t>brian.hunt@example.com</t>
  </si>
  <si>
    <t>(689)694-4171x545</t>
  </si>
  <si>
    <t>C0262</t>
  </si>
  <si>
    <t>Tiffany Curtis</t>
  </si>
  <si>
    <t>tiffany.curtis@example.com</t>
  </si>
  <si>
    <t>230.596.5207x44666</t>
  </si>
  <si>
    <t>C0263</t>
  </si>
  <si>
    <t>Micheal Parks</t>
  </si>
  <si>
    <t>micheal.parks@example.com</t>
  </si>
  <si>
    <t>458.742.8241x7248</t>
  </si>
  <si>
    <t>C0264</t>
  </si>
  <si>
    <t>Courtney Walker</t>
  </si>
  <si>
    <t>C0265</t>
  </si>
  <si>
    <t>STEPHEN WATSON</t>
  </si>
  <si>
    <t>stephen.watson@example.com</t>
  </si>
  <si>
    <t>817.609.9917x381</t>
  </si>
  <si>
    <t>C0266</t>
  </si>
  <si>
    <t>Seth Hernandez</t>
  </si>
  <si>
    <t>seth.hernandez@example.com</t>
  </si>
  <si>
    <t>969-672-5217x52500</t>
  </si>
  <si>
    <t>C0267</t>
  </si>
  <si>
    <t>Raymond Johnston</t>
  </si>
  <si>
    <t>raymond.johnston@example.com</t>
  </si>
  <si>
    <t>001-712-296-6667x60083</t>
  </si>
  <si>
    <t>C0268</t>
  </si>
  <si>
    <t>Nicole Schmidt</t>
  </si>
  <si>
    <t>nicole.schmidt@example.com</t>
  </si>
  <si>
    <t>C0269</t>
  </si>
  <si>
    <t>Nicholas Perez</t>
  </si>
  <si>
    <t>nicholas.perez@example.com</t>
  </si>
  <si>
    <t>721-868-9421x0447</t>
  </si>
  <si>
    <t>C0270</t>
  </si>
  <si>
    <t>WHITNEY COOPER</t>
  </si>
  <si>
    <t>(432)360-3323x098</t>
  </si>
  <si>
    <t>C0271</t>
  </si>
  <si>
    <t>Matthew Johnson</t>
  </si>
  <si>
    <t>matthew.johnson@example.com</t>
  </si>
  <si>
    <t>889-309-0100x167</t>
  </si>
  <si>
    <t>C0272</t>
  </si>
  <si>
    <t>Kara Hernandez</t>
  </si>
  <si>
    <t>kara.hernandez@example.com</t>
  </si>
  <si>
    <t>C0273</t>
  </si>
  <si>
    <t>Elizabeth Stanley</t>
  </si>
  <si>
    <t>elizabeth.stanley@example.com</t>
  </si>
  <si>
    <t>999-526-1891x411</t>
  </si>
  <si>
    <t>C0274</t>
  </si>
  <si>
    <t>Paula Decker</t>
  </si>
  <si>
    <t>paula.decker@example.com</t>
  </si>
  <si>
    <t>(264)320-8737x530</t>
  </si>
  <si>
    <t>C0275</t>
  </si>
  <si>
    <t>SARA CALDWELL</t>
  </si>
  <si>
    <t>sara.caldwell@example.com</t>
  </si>
  <si>
    <t>981-214-3744</t>
  </si>
  <si>
    <t>C0276</t>
  </si>
  <si>
    <t>Christopher Williams</t>
  </si>
  <si>
    <t>C0277</t>
  </si>
  <si>
    <t>Emily Rodgers</t>
  </si>
  <si>
    <t>emily.rodgers@example.com</t>
  </si>
  <si>
    <t>001-300-822-5579x41552</t>
  </si>
  <si>
    <t>C0278</t>
  </si>
  <si>
    <t>Jesus Houston</t>
  </si>
  <si>
    <t>jesus.houston@example.com</t>
  </si>
  <si>
    <t>462.812.0216x9797</t>
  </si>
  <si>
    <t>C0279</t>
  </si>
  <si>
    <t>Lisa Huffman</t>
  </si>
  <si>
    <t>lisa.huffman@example.com</t>
  </si>
  <si>
    <t>001-527-771-6701x4508</t>
  </si>
  <si>
    <t>C0280</t>
  </si>
  <si>
    <t>MELISSA MONTGOMERY</t>
  </si>
  <si>
    <t>melissa.montgomery@example.com</t>
  </si>
  <si>
    <t>C0281</t>
  </si>
  <si>
    <t>Karen Alvarado</t>
  </si>
  <si>
    <t>karen.alvarado@example.com</t>
  </si>
  <si>
    <t>(489)300-2877</t>
  </si>
  <si>
    <t>C0282</t>
  </si>
  <si>
    <t>Erica Rivera</t>
  </si>
  <si>
    <t>738.366.3177x97177</t>
  </si>
  <si>
    <t>C0283</t>
  </si>
  <si>
    <t>Dr. Alicia Powell</t>
  </si>
  <si>
    <t>dr..alicia.powell@example.com</t>
  </si>
  <si>
    <t>+1-901-799-4883</t>
  </si>
  <si>
    <t>C0284</t>
  </si>
  <si>
    <t>Anthony Walker</t>
  </si>
  <si>
    <t>anthony.walker@example.com</t>
  </si>
  <si>
    <t>C0285</t>
  </si>
  <si>
    <t>LISA KENNEDY</t>
  </si>
  <si>
    <t>lisa.kennedy@example.com</t>
  </si>
  <si>
    <t>001-371-213-0554x885</t>
  </si>
  <si>
    <t>C0286</t>
  </si>
  <si>
    <t>Katherine Underwood</t>
  </si>
  <si>
    <t>katherine.underwood@example.com</t>
  </si>
  <si>
    <t>(214)393-3163x73516</t>
  </si>
  <si>
    <t>C0287</t>
  </si>
  <si>
    <t>Joanna Barrett</t>
  </si>
  <si>
    <t>joanna.barrett@example.com</t>
  </si>
  <si>
    <t>(470)480-8697</t>
  </si>
  <si>
    <t>C0288</t>
  </si>
  <si>
    <t>Betty Hughes</t>
  </si>
  <si>
    <t>C0289</t>
  </si>
  <si>
    <t>Kathy Cruz</t>
  </si>
  <si>
    <t>kathy.cruz@example.com</t>
  </si>
  <si>
    <t>001-634-765-4722x698</t>
  </si>
  <si>
    <t>C0290</t>
  </si>
  <si>
    <t>TAYLOR CHEN</t>
  </si>
  <si>
    <t>taylor.chen@example.com</t>
  </si>
  <si>
    <t>+1-845-622-8851x587</t>
  </si>
  <si>
    <t>C0291</t>
  </si>
  <si>
    <t>Jenny Smith</t>
  </si>
  <si>
    <t>jenny.smith@example.com</t>
  </si>
  <si>
    <t>(220)703-4244x2043</t>
  </si>
  <si>
    <t>C0292</t>
  </si>
  <si>
    <t>Ashley Parrish</t>
  </si>
  <si>
    <t>ashley.parrish@example.com</t>
  </si>
  <si>
    <t>C0293</t>
  </si>
  <si>
    <t>Natalie Hoffman</t>
  </si>
  <si>
    <t>natalie.hoffman@example.com</t>
  </si>
  <si>
    <t>001-940-566-6580x043</t>
  </si>
  <si>
    <t>C0294</t>
  </si>
  <si>
    <t>Michele Holland</t>
  </si>
  <si>
    <t>+1-493-334-7212</t>
  </si>
  <si>
    <t>C0295</t>
  </si>
  <si>
    <t>JEFFREY HAWKINS</t>
  </si>
  <si>
    <t>jeffrey.hawkins@example.com</t>
  </si>
  <si>
    <t>001-240-657-2025</t>
  </si>
  <si>
    <t>C0296</t>
  </si>
  <si>
    <t>Kenneth Howard DDS</t>
  </si>
  <si>
    <t>kenneth.howard.dds@example.com</t>
  </si>
  <si>
    <t>C0297</t>
  </si>
  <si>
    <t>Clinton Jones</t>
  </si>
  <si>
    <t>clinton.jones@example.com</t>
  </si>
  <si>
    <t>(988)261-5335x55439</t>
  </si>
  <si>
    <t>C0298</t>
  </si>
  <si>
    <t>Gregory Allen</t>
  </si>
  <si>
    <t>gregory.allen@example.com</t>
  </si>
  <si>
    <t>+1-730-956-1648x408</t>
  </si>
  <si>
    <t>C0299</t>
  </si>
  <si>
    <t>Mr. Matthew Flores</t>
  </si>
  <si>
    <t>mr..matthew.flores@example.com</t>
  </si>
  <si>
    <t>328-580-1336</t>
  </si>
  <si>
    <t>C0300</t>
  </si>
  <si>
    <t>MICHELE CHERRY</t>
  </si>
  <si>
    <t>order_item_id</t>
  </si>
  <si>
    <t>order_id</t>
  </si>
  <si>
    <t>product_id</t>
  </si>
  <si>
    <t>quantity</t>
  </si>
  <si>
    <t>discount_pct</t>
  </si>
  <si>
    <t>quantity_was_imputed</t>
  </si>
  <si>
    <t>OI000001</t>
  </si>
  <si>
    <t>O00001</t>
  </si>
  <si>
    <t>PR016</t>
  </si>
  <si>
    <t>OI000002</t>
  </si>
  <si>
    <t>O00002</t>
  </si>
  <si>
    <t>PR075</t>
  </si>
  <si>
    <t>OI000003</t>
  </si>
  <si>
    <t>PR010</t>
  </si>
  <si>
    <t>OI000004</t>
  </si>
  <si>
    <t>PR065</t>
  </si>
  <si>
    <t>OI000005</t>
  </si>
  <si>
    <t>O00003</t>
  </si>
  <si>
    <t>PR068</t>
  </si>
  <si>
    <t>OI000006</t>
  </si>
  <si>
    <t>PR007</t>
  </si>
  <si>
    <t>OI000007</t>
  </si>
  <si>
    <t>O00004</t>
  </si>
  <si>
    <t>PR044</t>
  </si>
  <si>
    <t>OI000008</t>
  </si>
  <si>
    <t>PR059</t>
  </si>
  <si>
    <t>OI000009</t>
  </si>
  <si>
    <t>PR024</t>
  </si>
  <si>
    <t>OI000010</t>
  </si>
  <si>
    <t>PR043</t>
  </si>
  <si>
    <t>OI000011</t>
  </si>
  <si>
    <t>O00005</t>
  </si>
  <si>
    <t>PR001</t>
  </si>
  <si>
    <t>OI000012</t>
  </si>
  <si>
    <t>PR027</t>
  </si>
  <si>
    <t>OI000013</t>
  </si>
  <si>
    <t>O00006</t>
  </si>
  <si>
    <t>PR063</t>
  </si>
  <si>
    <t>OI000014</t>
  </si>
  <si>
    <t>PR079</t>
  </si>
  <si>
    <t>OI000015</t>
  </si>
  <si>
    <t>O00007</t>
  </si>
  <si>
    <t>PR055</t>
  </si>
  <si>
    <t>OI000016</t>
  </si>
  <si>
    <t>O00008</t>
  </si>
  <si>
    <t>PR069</t>
  </si>
  <si>
    <t>OI000017</t>
  </si>
  <si>
    <t>O00009</t>
  </si>
  <si>
    <t>PR002</t>
  </si>
  <si>
    <t>OI000018</t>
  </si>
  <si>
    <t>O00010</t>
  </si>
  <si>
    <t>PR025</t>
  </si>
  <si>
    <t>OI000019</t>
  </si>
  <si>
    <t>OI000020</t>
  </si>
  <si>
    <t>PR045</t>
  </si>
  <si>
    <t>OI000021</t>
  </si>
  <si>
    <t>O00011</t>
  </si>
  <si>
    <t>OI000022</t>
  </si>
  <si>
    <t>O00012</t>
  </si>
  <si>
    <t>PR006</t>
  </si>
  <si>
    <t>OI000023</t>
  </si>
  <si>
    <t>O00013</t>
  </si>
  <si>
    <t>PR067</t>
  </si>
  <si>
    <t>OI000024</t>
  </si>
  <si>
    <t>O00014</t>
  </si>
  <si>
    <t>PR018</t>
  </si>
  <si>
    <t>OI000025</t>
  </si>
  <si>
    <t>O00015</t>
  </si>
  <si>
    <t>OI000026</t>
  </si>
  <si>
    <t>O00016</t>
  </si>
  <si>
    <t>PR030</t>
  </si>
  <si>
    <t>OI000027</t>
  </si>
  <si>
    <t>O00017</t>
  </si>
  <si>
    <t>PR028</t>
  </si>
  <si>
    <t>OI000028</t>
  </si>
  <si>
    <t>OI000029</t>
  </si>
  <si>
    <t>PR047</t>
  </si>
  <si>
    <t>OI000030</t>
  </si>
  <si>
    <t>PR033</t>
  </si>
  <si>
    <t>OI000031</t>
  </si>
  <si>
    <t>O00018</t>
  </si>
  <si>
    <t>OI000032</t>
  </si>
  <si>
    <t>O00019</t>
  </si>
  <si>
    <t>OI000033</t>
  </si>
  <si>
    <t>PR057</t>
  </si>
  <si>
    <t>OI000034</t>
  </si>
  <si>
    <t>PR071</t>
  </si>
  <si>
    <t>OI000035</t>
  </si>
  <si>
    <t>O00020</t>
  </si>
  <si>
    <t>OI000036</t>
  </si>
  <si>
    <t>PR054</t>
  </si>
  <si>
    <t>OI000037</t>
  </si>
  <si>
    <t>O00021</t>
  </si>
  <si>
    <t>PR080</t>
  </si>
  <si>
    <t>OI000038</t>
  </si>
  <si>
    <t>OI000039</t>
  </si>
  <si>
    <t>O00022</t>
  </si>
  <si>
    <t>PR066</t>
  </si>
  <si>
    <t>OI000040</t>
  </si>
  <si>
    <t>PR037</t>
  </si>
  <si>
    <t>OI000041</t>
  </si>
  <si>
    <t>PR014</t>
  </si>
  <si>
    <t>OI000042</t>
  </si>
  <si>
    <t>O00023</t>
  </si>
  <si>
    <t>PR034</t>
  </si>
  <si>
    <t>OI000043</t>
  </si>
  <si>
    <t>PR046</t>
  </si>
  <si>
    <t>OI000044</t>
  </si>
  <si>
    <t>O00024</t>
  </si>
  <si>
    <t>OI000045</t>
  </si>
  <si>
    <t>O00025</t>
  </si>
  <si>
    <t>PR062</t>
  </si>
  <si>
    <t>OI000046</t>
  </si>
  <si>
    <t>OI000047</t>
  </si>
  <si>
    <t>O00026</t>
  </si>
  <si>
    <t>PR015</t>
  </si>
  <si>
    <t>OI000048</t>
  </si>
  <si>
    <t>O00027</t>
  </si>
  <si>
    <t>PR012</t>
  </si>
  <si>
    <t>OI000049</t>
  </si>
  <si>
    <t>O00028</t>
  </si>
  <si>
    <t>PR013</t>
  </si>
  <si>
    <t>OI000050</t>
  </si>
  <si>
    <t>OI000052</t>
  </si>
  <si>
    <t>O00030</t>
  </si>
  <si>
    <t>OI000053</t>
  </si>
  <si>
    <t>O00031</t>
  </si>
  <si>
    <t>PR041</t>
  </si>
  <si>
    <t>OI000054</t>
  </si>
  <si>
    <t>OI000055</t>
  </si>
  <si>
    <t>OI000056</t>
  </si>
  <si>
    <t>O00032</t>
  </si>
  <si>
    <t>PR022</t>
  </si>
  <si>
    <t>OI000057</t>
  </si>
  <si>
    <t>O00033</t>
  </si>
  <si>
    <t>OI000058</t>
  </si>
  <si>
    <t>OI000059</t>
  </si>
  <si>
    <t>OI000060</t>
  </si>
  <si>
    <t>O00034</t>
  </si>
  <si>
    <t>OI000061</t>
  </si>
  <si>
    <t>O00035</t>
  </si>
  <si>
    <t>OI000062</t>
  </si>
  <si>
    <t>O00036</t>
  </si>
  <si>
    <t>OI000063</t>
  </si>
  <si>
    <t>PR008</t>
  </si>
  <si>
    <t>OI000064</t>
  </si>
  <si>
    <t>OI000065</t>
  </si>
  <si>
    <t>O00037</t>
  </si>
  <si>
    <t>OI000066</t>
  </si>
  <si>
    <t>PR049</t>
  </si>
  <si>
    <t>OI000067</t>
  </si>
  <si>
    <t>PR004</t>
  </si>
  <si>
    <t>OI000068</t>
  </si>
  <si>
    <t>O00038</t>
  </si>
  <si>
    <t>OI000069</t>
  </si>
  <si>
    <t>OI000070</t>
  </si>
  <si>
    <t>OI000071</t>
  </si>
  <si>
    <t>O00039</t>
  </si>
  <si>
    <t>OI000072</t>
  </si>
  <si>
    <t>PR073</t>
  </si>
  <si>
    <t>OI000073</t>
  </si>
  <si>
    <t>OI000074</t>
  </si>
  <si>
    <t>O00040</t>
  </si>
  <si>
    <t>OI000075</t>
  </si>
  <si>
    <t>PR032</t>
  </si>
  <si>
    <t>OI000076</t>
  </si>
  <si>
    <t>O00041</t>
  </si>
  <si>
    <t>PR050</t>
  </si>
  <si>
    <t>OI000077</t>
  </si>
  <si>
    <t>PR072</t>
  </si>
  <si>
    <t>OI000078</t>
  </si>
  <si>
    <t>O00042</t>
  </si>
  <si>
    <t>PR021</t>
  </si>
  <si>
    <t>OI000079</t>
  </si>
  <si>
    <t>O00043</t>
  </si>
  <si>
    <t>PR064</t>
  </si>
  <si>
    <t>OI000080</t>
  </si>
  <si>
    <t>O00044</t>
  </si>
  <si>
    <t>PR042</t>
  </si>
  <si>
    <t>OI000081</t>
  </si>
  <si>
    <t>PR036</t>
  </si>
  <si>
    <t>OI000082</t>
  </si>
  <si>
    <t>O00045</t>
  </si>
  <si>
    <t>OI000083</t>
  </si>
  <si>
    <t>O00046</t>
  </si>
  <si>
    <t>OI000084</t>
  </si>
  <si>
    <t>O00047</t>
  </si>
  <si>
    <t>OI000085</t>
  </si>
  <si>
    <t>OI000086</t>
  </si>
  <si>
    <t>O00048</t>
  </si>
  <si>
    <t>PR003</t>
  </si>
  <si>
    <t>OI000087</t>
  </si>
  <si>
    <t>PR053</t>
  </si>
  <si>
    <t>OI000088</t>
  </si>
  <si>
    <t>O00049</t>
  </si>
  <si>
    <t>OI000089</t>
  </si>
  <si>
    <t>PR039</t>
  </si>
  <si>
    <t>OI000090</t>
  </si>
  <si>
    <t>O00050</t>
  </si>
  <si>
    <t>OI000091</t>
  </si>
  <si>
    <t>O00051</t>
  </si>
  <si>
    <t>PR029</t>
  </si>
  <si>
    <t>OI000092</t>
  </si>
  <si>
    <t>OI000093</t>
  </si>
  <si>
    <t>PR061</t>
  </si>
  <si>
    <t>OI000094</t>
  </si>
  <si>
    <t>O00052</t>
  </si>
  <si>
    <t>OI000095</t>
  </si>
  <si>
    <t>O00053</t>
  </si>
  <si>
    <t>PR038</t>
  </si>
  <si>
    <t>OI000096</t>
  </si>
  <si>
    <t>O00054</t>
  </si>
  <si>
    <t>OI000097</t>
  </si>
  <si>
    <t>O00055</t>
  </si>
  <si>
    <t>OI000098</t>
  </si>
  <si>
    <t>O00056</t>
  </si>
  <si>
    <t>OI000099</t>
  </si>
  <si>
    <t>PR051</t>
  </si>
  <si>
    <t>OI000100</t>
  </si>
  <si>
    <t>O00057</t>
  </si>
  <si>
    <t>OI000101</t>
  </si>
  <si>
    <t>OI000102</t>
  </si>
  <si>
    <t>PR076</t>
  </si>
  <si>
    <t>OI000103</t>
  </si>
  <si>
    <t>O00058</t>
  </si>
  <si>
    <t>OI000104</t>
  </si>
  <si>
    <t>OI000105</t>
  </si>
  <si>
    <t>OI000106</t>
  </si>
  <si>
    <t>O00059</t>
  </si>
  <si>
    <t>OI000107</t>
  </si>
  <si>
    <t>PR023</t>
  </si>
  <si>
    <t>OI000108</t>
  </si>
  <si>
    <t>PR017</t>
  </si>
  <si>
    <t>OI000109</t>
  </si>
  <si>
    <t>O00060</t>
  </si>
  <si>
    <t>PR078</t>
  </si>
  <si>
    <t>OI000110</t>
  </si>
  <si>
    <t>OI000111</t>
  </si>
  <si>
    <t>O00061</t>
  </si>
  <si>
    <t>OI000112</t>
  </si>
  <si>
    <t>OI000113</t>
  </si>
  <si>
    <t>OI000114</t>
  </si>
  <si>
    <t>O00062</t>
  </si>
  <si>
    <t>OI000115</t>
  </si>
  <si>
    <t>OI000116</t>
  </si>
  <si>
    <t>O00063</t>
  </si>
  <si>
    <t>OI000117</t>
  </si>
  <si>
    <t>OI000118</t>
  </si>
  <si>
    <t>O00064</t>
  </si>
  <si>
    <t>OI000119</t>
  </si>
  <si>
    <t>O00065</t>
  </si>
  <si>
    <t>OI000120</t>
  </si>
  <si>
    <t>OI000121</t>
  </si>
  <si>
    <t>O00066</t>
  </si>
  <si>
    <t>OI000122</t>
  </si>
  <si>
    <t>O00067</t>
  </si>
  <si>
    <t>OI000123</t>
  </si>
  <si>
    <t>OI000124</t>
  </si>
  <si>
    <t>OI000125</t>
  </si>
  <si>
    <t>O00068</t>
  </si>
  <si>
    <t>OI000126</t>
  </si>
  <si>
    <t>O00069</t>
  </si>
  <si>
    <t>OI000127</t>
  </si>
  <si>
    <t>OI000128</t>
  </si>
  <si>
    <t>O00070</t>
  </si>
  <si>
    <t>OI000129</t>
  </si>
  <si>
    <t>O00071</t>
  </si>
  <si>
    <t>OI000130</t>
  </si>
  <si>
    <t>OI000131</t>
  </si>
  <si>
    <t>O00072</t>
  </si>
  <si>
    <t>OI000132</t>
  </si>
  <si>
    <t>O00073</t>
  </si>
  <si>
    <t>OI000133</t>
  </si>
  <si>
    <t>OI000134</t>
  </si>
  <si>
    <t>O00074</t>
  </si>
  <si>
    <t>OI000135</t>
  </si>
  <si>
    <t>OI000136</t>
  </si>
  <si>
    <t>OI000137</t>
  </si>
  <si>
    <t>OI000138</t>
  </si>
  <si>
    <t>O00075</t>
  </si>
  <si>
    <t>OI000139</t>
  </si>
  <si>
    <t>OI000140</t>
  </si>
  <si>
    <t>O00076</t>
  </si>
  <si>
    <t>OI000141</t>
  </si>
  <si>
    <t>O00077</t>
  </si>
  <si>
    <t>OI000142</t>
  </si>
  <si>
    <t>OI000143</t>
  </si>
  <si>
    <t>O00078</t>
  </si>
  <si>
    <t>OI000144</t>
  </si>
  <si>
    <t>O00079</t>
  </si>
  <si>
    <t>OI000145</t>
  </si>
  <si>
    <t>O00080</t>
  </si>
  <si>
    <t>OI000146</t>
  </si>
  <si>
    <t>PR077</t>
  </si>
  <si>
    <t>OI000147</t>
  </si>
  <si>
    <t>PR005</t>
  </si>
  <si>
    <t>OI000148</t>
  </si>
  <si>
    <t>O00081</t>
  </si>
  <si>
    <t>OI000149</t>
  </si>
  <si>
    <t>OI000150</t>
  </si>
  <si>
    <t>O00082</t>
  </si>
  <si>
    <t>OI000151</t>
  </si>
  <si>
    <t>OI000152</t>
  </si>
  <si>
    <t>O00083</t>
  </si>
  <si>
    <t>OI000153</t>
  </si>
  <si>
    <t>PR052</t>
  </si>
  <si>
    <t>OI000154</t>
  </si>
  <si>
    <t>O00084</t>
  </si>
  <si>
    <t>OI000155</t>
  </si>
  <si>
    <t>O00085</t>
  </si>
  <si>
    <t>OI000156</t>
  </si>
  <si>
    <t>O00086</t>
  </si>
  <si>
    <t>OI000157</t>
  </si>
  <si>
    <t>O00087</t>
  </si>
  <si>
    <t>PR058</t>
  </si>
  <si>
    <t>OI000158</t>
  </si>
  <si>
    <t>OI000159</t>
  </si>
  <si>
    <t>O00088</t>
  </si>
  <si>
    <t>OI000160</t>
  </si>
  <si>
    <t>OI000161</t>
  </si>
  <si>
    <t>PR070</t>
  </si>
  <si>
    <t>OI000162</t>
  </si>
  <si>
    <t>OI000163</t>
  </si>
  <si>
    <t>O00089</t>
  </si>
  <si>
    <t>OI000164</t>
  </si>
  <si>
    <t>OI000165</t>
  </si>
  <si>
    <t>OI000166</t>
  </si>
  <si>
    <t>O00090</t>
  </si>
  <si>
    <t>OI000167</t>
  </si>
  <si>
    <t>O00091</t>
  </si>
  <si>
    <t>OI000168</t>
  </si>
  <si>
    <t>OI000169</t>
  </si>
  <si>
    <t>O00092</t>
  </si>
  <si>
    <t>PR056</t>
  </si>
  <si>
    <t>OI000170</t>
  </si>
  <si>
    <t>PR020</t>
  </si>
  <si>
    <t>OI000171</t>
  </si>
  <si>
    <t>O00093</t>
  </si>
  <si>
    <t>OI000172</t>
  </si>
  <si>
    <t>OI000173</t>
  </si>
  <si>
    <t>O00094</t>
  </si>
  <si>
    <t>OI000174</t>
  </si>
  <si>
    <t>O00095</t>
  </si>
  <si>
    <t>OI000175</t>
  </si>
  <si>
    <t>O00096</t>
  </si>
  <si>
    <t>OI000176</t>
  </si>
  <si>
    <t>O00097</t>
  </si>
  <si>
    <t>OI000177</t>
  </si>
  <si>
    <t>O00098</t>
  </si>
  <si>
    <t>OI000178</t>
  </si>
  <si>
    <t>OI000179</t>
  </si>
  <si>
    <t>O00099</t>
  </si>
  <si>
    <t>OI000180</t>
  </si>
  <si>
    <t>OI000181</t>
  </si>
  <si>
    <t>OI000182</t>
  </si>
  <si>
    <t>O00100</t>
  </si>
  <si>
    <t>OI000183</t>
  </si>
  <si>
    <t>OI000184</t>
  </si>
  <si>
    <t>OI000185</t>
  </si>
  <si>
    <t>O00101</t>
  </si>
  <si>
    <t>OI000186</t>
  </si>
  <si>
    <t>PR019</t>
  </si>
  <si>
    <t>OI000187</t>
  </si>
  <si>
    <t>O00102</t>
  </si>
  <si>
    <t>PR048</t>
  </si>
  <si>
    <t>OI000188</t>
  </si>
  <si>
    <t>OI000189</t>
  </si>
  <si>
    <t>OI000190</t>
  </si>
  <si>
    <t>O00103</t>
  </si>
  <si>
    <t>OI000191</t>
  </si>
  <si>
    <t>PR040</t>
  </si>
  <si>
    <t>OI000192</t>
  </si>
  <si>
    <t>O00104</t>
  </si>
  <si>
    <t>OI000193</t>
  </si>
  <si>
    <t>OI000194</t>
  </si>
  <si>
    <t>O00105</t>
  </si>
  <si>
    <t>OI000195</t>
  </si>
  <si>
    <t>O00106</t>
  </si>
  <si>
    <t>OI000196</t>
  </si>
  <si>
    <t>O00107</t>
  </si>
  <si>
    <t>OI000197</t>
  </si>
  <si>
    <t>OI000198</t>
  </si>
  <si>
    <t>O00108</t>
  </si>
  <si>
    <t>OI000199</t>
  </si>
  <si>
    <t>OI000200</t>
  </si>
  <si>
    <t>O00109</t>
  </si>
  <si>
    <t>PR031</t>
  </si>
  <si>
    <t>OI000201</t>
  </si>
  <si>
    <t>O00110</t>
  </si>
  <si>
    <t>OI000202</t>
  </si>
  <si>
    <t>OI000203</t>
  </si>
  <si>
    <t>O00111</t>
  </si>
  <si>
    <t>OI000204</t>
  </si>
  <si>
    <t>OI000205</t>
  </si>
  <si>
    <t>O00112</t>
  </si>
  <si>
    <t>OI000206</t>
  </si>
  <si>
    <t>O00113</t>
  </si>
  <si>
    <t>OI000207</t>
  </si>
  <si>
    <t>O00114</t>
  </si>
  <si>
    <t>OI000208</t>
  </si>
  <si>
    <t>PR060</t>
  </si>
  <si>
    <t>OI000209</t>
  </si>
  <si>
    <t>OI000210</t>
  </si>
  <si>
    <t>O00115</t>
  </si>
  <si>
    <t>OI000211</t>
  </si>
  <si>
    <t>O00116</t>
  </si>
  <si>
    <t>OI000212</t>
  </si>
  <si>
    <t>O00117</t>
  </si>
  <si>
    <t>OI000213</t>
  </si>
  <si>
    <t>O00118</t>
  </si>
  <si>
    <t>OI000214</t>
  </si>
  <si>
    <t>O00119</t>
  </si>
  <si>
    <t>OI000215</t>
  </si>
  <si>
    <t>O00120</t>
  </si>
  <si>
    <t>OI000216</t>
  </si>
  <si>
    <t>OI000217</t>
  </si>
  <si>
    <t>O00121</t>
  </si>
  <si>
    <t>OI000218</t>
  </si>
  <si>
    <t>O00122</t>
  </si>
  <si>
    <t>OI000219</t>
  </si>
  <si>
    <t>O00123</t>
  </si>
  <si>
    <t>OI000220</t>
  </si>
  <si>
    <t>O00124</t>
  </si>
  <si>
    <t>OI000221</t>
  </si>
  <si>
    <t>O00125</t>
  </si>
  <si>
    <t>OI000222</t>
  </si>
  <si>
    <t>OI000223</t>
  </si>
  <si>
    <t>OI000224</t>
  </si>
  <si>
    <t>OI000225</t>
  </si>
  <si>
    <t>O00126</t>
  </si>
  <si>
    <t>OI000226</t>
  </si>
  <si>
    <t>OI000227</t>
  </si>
  <si>
    <t>O00127</t>
  </si>
  <si>
    <t>OI000228</t>
  </si>
  <si>
    <t>O00128</t>
  </si>
  <si>
    <t>OI000229</t>
  </si>
  <si>
    <t>O00129</t>
  </si>
  <si>
    <t>OI000230</t>
  </si>
  <si>
    <t>OI000231</t>
  </si>
  <si>
    <t>OI000232</t>
  </si>
  <si>
    <t>O00130</t>
  </si>
  <si>
    <t>OI000233</t>
  </si>
  <si>
    <t>OI000234</t>
  </si>
  <si>
    <t>O00131</t>
  </si>
  <si>
    <t>OI000235</t>
  </si>
  <si>
    <t>O00132</t>
  </si>
  <si>
    <t>OI000236</t>
  </si>
  <si>
    <t>O00133</t>
  </si>
  <si>
    <t>OI000237</t>
  </si>
  <si>
    <t>O00134</t>
  </si>
  <si>
    <t>OI000238</t>
  </si>
  <si>
    <t>O00135</t>
  </si>
  <si>
    <t>OI000239</t>
  </si>
  <si>
    <t>OI000240</t>
  </si>
  <si>
    <t>OI000241</t>
  </si>
  <si>
    <t>O00136</t>
  </si>
  <si>
    <t>OI000242</t>
  </si>
  <si>
    <t>O00137</t>
  </si>
  <si>
    <t>OI000243</t>
  </si>
  <si>
    <t>OI000244</t>
  </si>
  <si>
    <t>OI000245</t>
  </si>
  <si>
    <t>O00138</t>
  </si>
  <si>
    <t>OI000246</t>
  </si>
  <si>
    <t>OI000247</t>
  </si>
  <si>
    <t>O00139</t>
  </si>
  <si>
    <t>OI000248</t>
  </si>
  <si>
    <t>PR074</t>
  </si>
  <si>
    <t>OI000249</t>
  </si>
  <si>
    <t>O00140</t>
  </si>
  <si>
    <t>OI000250</t>
  </si>
  <si>
    <t>O00141</t>
  </si>
  <si>
    <t>OI000251</t>
  </si>
  <si>
    <t>OI000252</t>
  </si>
  <si>
    <t>O00142</t>
  </si>
  <si>
    <t>OI000253</t>
  </si>
  <si>
    <t>O00143</t>
  </si>
  <si>
    <t>OI000254</t>
  </si>
  <si>
    <t>O00144</t>
  </si>
  <si>
    <t>OI000255</t>
  </si>
  <si>
    <t>OI000256</t>
  </si>
  <si>
    <t>O00145</t>
  </si>
  <si>
    <t>OI000257</t>
  </si>
  <si>
    <t>OI000258</t>
  </si>
  <si>
    <t>O00146</t>
  </si>
  <si>
    <t>OI000259</t>
  </si>
  <si>
    <t>O00147</t>
  </si>
  <si>
    <t>OI000260</t>
  </si>
  <si>
    <t>O00148</t>
  </si>
  <si>
    <t>OI000261</t>
  </si>
  <si>
    <t>O00149</t>
  </si>
  <si>
    <t>OI000262</t>
  </si>
  <si>
    <t>OI000263</t>
  </si>
  <si>
    <t>OI000264</t>
  </si>
  <si>
    <t>O00150</t>
  </si>
  <si>
    <t>OI000265</t>
  </si>
  <si>
    <t>OI000266</t>
  </si>
  <si>
    <t>O00151</t>
  </si>
  <si>
    <t>OI000267</t>
  </si>
  <si>
    <t>O00152</t>
  </si>
  <si>
    <t>OI000268</t>
  </si>
  <si>
    <t>O00153</t>
  </si>
  <si>
    <t>OI000269</t>
  </si>
  <si>
    <t>OI000270</t>
  </si>
  <si>
    <t>O00154</t>
  </si>
  <si>
    <t>PR011</t>
  </si>
  <si>
    <t>OI000271</t>
  </si>
  <si>
    <t>OI000272</t>
  </si>
  <si>
    <t>O00155</t>
  </si>
  <si>
    <t>OI000273</t>
  </si>
  <si>
    <t>O00156</t>
  </si>
  <si>
    <t>OI000274</t>
  </si>
  <si>
    <t>O00157</t>
  </si>
  <si>
    <t>OI000275</t>
  </si>
  <si>
    <t>O00158</t>
  </si>
  <si>
    <t>OI000276</t>
  </si>
  <si>
    <t>O00159</t>
  </si>
  <si>
    <t>OI000277</t>
  </si>
  <si>
    <t>O00160</t>
  </si>
  <si>
    <t>OI000278</t>
  </si>
  <si>
    <t>O00161</t>
  </si>
  <si>
    <t>OI000279</t>
  </si>
  <si>
    <t>O00162</t>
  </si>
  <si>
    <t>OI000280</t>
  </si>
  <si>
    <t>O00163</t>
  </si>
  <si>
    <t>OI000281</t>
  </si>
  <si>
    <t>O00164</t>
  </si>
  <si>
    <t>OI000282</t>
  </si>
  <si>
    <t>OI000283</t>
  </si>
  <si>
    <t>O00165</t>
  </si>
  <si>
    <t>OI000284</t>
  </si>
  <si>
    <t>OI000285</t>
  </si>
  <si>
    <t>O00166</t>
  </si>
  <si>
    <t>OI000286</t>
  </si>
  <si>
    <t>O00167</t>
  </si>
  <si>
    <t>OI000287</t>
  </si>
  <si>
    <t>OI000288</t>
  </si>
  <si>
    <t>O00168</t>
  </si>
  <si>
    <t>OI000289</t>
  </si>
  <si>
    <t>O00169</t>
  </si>
  <si>
    <t>OI000290</t>
  </si>
  <si>
    <t>O00170</t>
  </si>
  <si>
    <t>OI000291</t>
  </si>
  <si>
    <t>OI000292</t>
  </si>
  <si>
    <t>O00171</t>
  </si>
  <si>
    <t>OI000293</t>
  </si>
  <si>
    <t>OI000294</t>
  </si>
  <si>
    <t>PR026</t>
  </si>
  <si>
    <t>OI000295</t>
  </si>
  <si>
    <t>OI000296</t>
  </si>
  <si>
    <t>O00172</t>
  </si>
  <si>
    <t>OI000297</t>
  </si>
  <si>
    <t>OI000298</t>
  </si>
  <si>
    <t>O00173</t>
  </si>
  <si>
    <t>OI000299</t>
  </si>
  <si>
    <t>O00174</t>
  </si>
  <si>
    <t>OI000300</t>
  </si>
  <si>
    <t>OI000301</t>
  </si>
  <si>
    <t>OI000302</t>
  </si>
  <si>
    <t>PR009</t>
  </si>
  <si>
    <t>OI000303</t>
  </si>
  <si>
    <t>O00175</t>
  </si>
  <si>
    <t>OI000304</t>
  </si>
  <si>
    <t>O00176</t>
  </si>
  <si>
    <t>OI000305</t>
  </si>
  <si>
    <t>O00177</t>
  </si>
  <si>
    <t>OI000306</t>
  </si>
  <si>
    <t>OI000307</t>
  </si>
  <si>
    <t>OI000308</t>
  </si>
  <si>
    <t>OI000309</t>
  </si>
  <si>
    <t>O00178</t>
  </si>
  <si>
    <t>OI000310</t>
  </si>
  <si>
    <t>O00179</t>
  </si>
  <si>
    <t>OI000311</t>
  </si>
  <si>
    <t>OI000312</t>
  </si>
  <si>
    <t>OI000313</t>
  </si>
  <si>
    <t>O00180</t>
  </si>
  <si>
    <t>OI000314</t>
  </si>
  <si>
    <t>O00181</t>
  </si>
  <si>
    <t>OI000315</t>
  </si>
  <si>
    <t>OI000316</t>
  </si>
  <si>
    <t>OI000317</t>
  </si>
  <si>
    <t>O00182</t>
  </si>
  <si>
    <t>OI000318</t>
  </si>
  <si>
    <t>O00183</t>
  </si>
  <si>
    <t>OI000319</t>
  </si>
  <si>
    <t>O00184</t>
  </si>
  <si>
    <t>OI000320</t>
  </si>
  <si>
    <t>O00185</t>
  </si>
  <si>
    <t>OI000321</t>
  </si>
  <si>
    <t>OI000322</t>
  </si>
  <si>
    <t>OI000323</t>
  </si>
  <si>
    <t>O00186</t>
  </si>
  <si>
    <t>OI000324</t>
  </si>
  <si>
    <t>OI000325</t>
  </si>
  <si>
    <t>O00187</t>
  </si>
  <si>
    <t>OI000326</t>
  </si>
  <si>
    <t>O00188</t>
  </si>
  <si>
    <t>OI000327</t>
  </si>
  <si>
    <t>O00189</t>
  </si>
  <si>
    <t>OI000328</t>
  </si>
  <si>
    <t>OI000329</t>
  </si>
  <si>
    <t>O00190</t>
  </si>
  <si>
    <t>OI000330</t>
  </si>
  <si>
    <t>O00191</t>
  </si>
  <si>
    <t>OI000331</t>
  </si>
  <si>
    <t>OI000332</t>
  </si>
  <si>
    <t>OI000333</t>
  </si>
  <si>
    <t>O00192</t>
  </si>
  <si>
    <t>OI000334</t>
  </si>
  <si>
    <t>OI000335</t>
  </si>
  <si>
    <t>O00193</t>
  </si>
  <si>
    <t>OI000336</t>
  </si>
  <si>
    <t>O00194</t>
  </si>
  <si>
    <t>OI000337</t>
  </si>
  <si>
    <t>OI000338</t>
  </si>
  <si>
    <t>O00195</t>
  </si>
  <si>
    <t>OI000339</t>
  </si>
  <si>
    <t>OI000340</t>
  </si>
  <si>
    <t>O00196</t>
  </si>
  <si>
    <t>OI000341</t>
  </si>
  <si>
    <t>O00197</t>
  </si>
  <si>
    <t>PR035</t>
  </si>
  <si>
    <t>OI000342</t>
  </si>
  <si>
    <t>O00198</t>
  </si>
  <si>
    <t>OI000343</t>
  </si>
  <si>
    <t>O00199</t>
  </si>
  <si>
    <t>OI000344</t>
  </si>
  <si>
    <t>O00200</t>
  </si>
  <si>
    <t>OI000345</t>
  </si>
  <si>
    <t>O00201</t>
  </si>
  <si>
    <t>OI000346</t>
  </si>
  <si>
    <t>O00202</t>
  </si>
  <si>
    <t>OI000347</t>
  </si>
  <si>
    <t>O00203</t>
  </si>
  <si>
    <t>OI000348</t>
  </si>
  <si>
    <t>O00204</t>
  </si>
  <si>
    <t>OI000349</t>
  </si>
  <si>
    <t>OI000350</t>
  </si>
  <si>
    <t>OI000351</t>
  </si>
  <si>
    <t>O00205</t>
  </si>
  <si>
    <t>OI000352</t>
  </si>
  <si>
    <t>OI000353</t>
  </si>
  <si>
    <t>O00206</t>
  </si>
  <si>
    <t>OI000354</t>
  </si>
  <si>
    <t>OI000355</t>
  </si>
  <si>
    <t>O00207</t>
  </si>
  <si>
    <t>OI000356</t>
  </si>
  <si>
    <t>O00208</t>
  </si>
  <si>
    <t>OI000357</t>
  </si>
  <si>
    <t>OI000358</t>
  </si>
  <si>
    <t>O00209</t>
  </si>
  <si>
    <t>OI000359</t>
  </si>
  <si>
    <t>OI000360</t>
  </si>
  <si>
    <t>O00210</t>
  </si>
  <si>
    <t>OI000361</t>
  </si>
  <si>
    <t>OI000362</t>
  </si>
  <si>
    <t>OI000363</t>
  </si>
  <si>
    <t>O00211</t>
  </si>
  <si>
    <t>OI000364</t>
  </si>
  <si>
    <t>OI000365</t>
  </si>
  <si>
    <t>O00212</t>
  </si>
  <si>
    <t>OI000366</t>
  </si>
  <si>
    <t>O00213</t>
  </si>
  <si>
    <t>OI000367</t>
  </si>
  <si>
    <t>OI000368</t>
  </si>
  <si>
    <t>OI000369</t>
  </si>
  <si>
    <t>O00214</t>
  </si>
  <si>
    <t>OI000370</t>
  </si>
  <si>
    <t>O00215</t>
  </si>
  <si>
    <t>OI000371</t>
  </si>
  <si>
    <t>O00216</t>
  </si>
  <si>
    <t>OI000372</t>
  </si>
  <si>
    <t>O00217</t>
  </si>
  <si>
    <t>OI000373</t>
  </si>
  <si>
    <t>OI000374</t>
  </si>
  <si>
    <t>O00218</t>
  </si>
  <si>
    <t>OI000375</t>
  </si>
  <si>
    <t>OI000376</t>
  </si>
  <si>
    <t>O00219</t>
  </si>
  <si>
    <t>OI000377</t>
  </si>
  <si>
    <t>O00220</t>
  </si>
  <si>
    <t>OI000378</t>
  </si>
  <si>
    <t>O00221</t>
  </si>
  <si>
    <t>OI000379</t>
  </si>
  <si>
    <t>OI000380</t>
  </si>
  <si>
    <t>OI000381</t>
  </si>
  <si>
    <t>OI000382</t>
  </si>
  <si>
    <t>O00222</t>
  </si>
  <si>
    <t>OI000383</t>
  </si>
  <si>
    <t>OI000384</t>
  </si>
  <si>
    <t>O00223</t>
  </si>
  <si>
    <t>OI000385</t>
  </si>
  <si>
    <t>OI000386</t>
  </si>
  <si>
    <t>O00224</t>
  </si>
  <si>
    <t>OI000387</t>
  </si>
  <si>
    <t>O00225</t>
  </si>
  <si>
    <t>OI000388</t>
  </si>
  <si>
    <t>OI000389</t>
  </si>
  <si>
    <t>O00226</t>
  </si>
  <si>
    <t>OI000390</t>
  </si>
  <si>
    <t>OI000391</t>
  </si>
  <si>
    <t>OI000392</t>
  </si>
  <si>
    <t>O00227</t>
  </si>
  <si>
    <t>OI000393</t>
  </si>
  <si>
    <t>O00228</t>
  </si>
  <si>
    <t>OI000394</t>
  </si>
  <si>
    <t>OI000395</t>
  </si>
  <si>
    <t>OI000396</t>
  </si>
  <si>
    <t>O00229</t>
  </si>
  <si>
    <t>OI000397</t>
  </si>
  <si>
    <t>O00230</t>
  </si>
  <si>
    <t>OI000398</t>
  </si>
  <si>
    <t>O00231</t>
  </si>
  <si>
    <t>OI000399</t>
  </si>
  <si>
    <t>O00232</t>
  </si>
  <si>
    <t>OI000400</t>
  </si>
  <si>
    <t>O00233</t>
  </si>
  <si>
    <t>OI000401</t>
  </si>
  <si>
    <t>O00234</t>
  </si>
  <si>
    <t>OI000402</t>
  </si>
  <si>
    <t>OI000403</t>
  </si>
  <si>
    <t>O00235</t>
  </si>
  <si>
    <t>OI000404</t>
  </si>
  <si>
    <t>O00236</t>
  </si>
  <si>
    <t>OI000405</t>
  </si>
  <si>
    <t>O00237</t>
  </si>
  <si>
    <t>OI000406</t>
  </si>
  <si>
    <t>O00238</t>
  </si>
  <si>
    <t>OI000407</t>
  </si>
  <si>
    <t>O00239</t>
  </si>
  <si>
    <t>OI000408</t>
  </si>
  <si>
    <t>O00240</t>
  </si>
  <si>
    <t>OI000409</t>
  </si>
  <si>
    <t>O00241</t>
  </si>
  <si>
    <t>OI000410</t>
  </si>
  <si>
    <t>O00242</t>
  </si>
  <si>
    <t>OI000411</t>
  </si>
  <si>
    <t>O00243</t>
  </si>
  <si>
    <t>OI000412</t>
  </si>
  <si>
    <t>O00244</t>
  </si>
  <si>
    <t>OI000413</t>
  </si>
  <si>
    <t>OI000414</t>
  </si>
  <si>
    <t>OI000415</t>
  </si>
  <si>
    <t>O00245</t>
  </si>
  <si>
    <t>OI000416</t>
  </si>
  <si>
    <t>OI000417</t>
  </si>
  <si>
    <t>OI000418</t>
  </si>
  <si>
    <t>O00246</t>
  </si>
  <si>
    <t>OI000419</t>
  </si>
  <si>
    <t>OI000420</t>
  </si>
  <si>
    <t>OI000421</t>
  </si>
  <si>
    <t>OI000422</t>
  </si>
  <si>
    <t>O00247</t>
  </si>
  <si>
    <t>OI000423</t>
  </si>
  <si>
    <t>OI000424</t>
  </si>
  <si>
    <t>O00248</t>
  </si>
  <si>
    <t>OI000425</t>
  </si>
  <si>
    <t>OI000426</t>
  </si>
  <si>
    <t>O00249</t>
  </si>
  <si>
    <t>OI000427</t>
  </si>
  <si>
    <t>OI000428</t>
  </si>
  <si>
    <t>O00250</t>
  </si>
  <si>
    <t>OI000429</t>
  </si>
  <si>
    <t>O00251</t>
  </si>
  <si>
    <t>OI000430</t>
  </si>
  <si>
    <t>OI000431</t>
  </si>
  <si>
    <t>O00252</t>
  </si>
  <si>
    <t>OI000432</t>
  </si>
  <si>
    <t>O00253</t>
  </si>
  <si>
    <t>OI000433</t>
  </si>
  <si>
    <t>OI000434</t>
  </si>
  <si>
    <t>OI000435</t>
  </si>
  <si>
    <t>O00254</t>
  </si>
  <si>
    <t>OI000436</t>
  </si>
  <si>
    <t>O00255</t>
  </si>
  <si>
    <t>OI000437</t>
  </si>
  <si>
    <t>OI000438</t>
  </si>
  <si>
    <t>O00256</t>
  </si>
  <si>
    <t>OI000439</t>
  </si>
  <si>
    <t>O00257</t>
  </si>
  <si>
    <t>OI000440</t>
  </si>
  <si>
    <t>O00258</t>
  </si>
  <si>
    <t>OI000441</t>
  </si>
  <si>
    <t>OI000442</t>
  </si>
  <si>
    <t>O00259</t>
  </si>
  <si>
    <t>OI000443</t>
  </si>
  <si>
    <t>O00260</t>
  </si>
  <si>
    <t>OI000444</t>
  </si>
  <si>
    <t>OI000445</t>
  </si>
  <si>
    <t>OI000446</t>
  </si>
  <si>
    <t>O00261</t>
  </si>
  <si>
    <t>OI000447</t>
  </si>
  <si>
    <t>O00262</t>
  </si>
  <si>
    <t>OI000448</t>
  </si>
  <si>
    <t>OI000449</t>
  </si>
  <si>
    <t>O00263</t>
  </si>
  <si>
    <t>OI000450</t>
  </si>
  <si>
    <t>O00264</t>
  </si>
  <si>
    <t>OI000451</t>
  </si>
  <si>
    <t>O00265</t>
  </si>
  <si>
    <t>OI000452</t>
  </si>
  <si>
    <t>OI000453</t>
  </si>
  <si>
    <t>O00266</t>
  </si>
  <si>
    <t>OI000454</t>
  </si>
  <si>
    <t>O00267</t>
  </si>
  <si>
    <t>OI000455</t>
  </si>
  <si>
    <t>OI000456</t>
  </si>
  <si>
    <t>OI000457</t>
  </si>
  <si>
    <t>O00268</t>
  </si>
  <si>
    <t>OI000458</t>
  </si>
  <si>
    <t>OI000459</t>
  </si>
  <si>
    <t>O00269</t>
  </si>
  <si>
    <t>OI000460</t>
  </si>
  <si>
    <t>O00270</t>
  </si>
  <si>
    <t>OI000461</t>
  </si>
  <si>
    <t>O00271</t>
  </si>
  <si>
    <t>OI000462</t>
  </si>
  <si>
    <t>O00272</t>
  </si>
  <si>
    <t>OI000463</t>
  </si>
  <si>
    <t>OI000464</t>
  </si>
  <si>
    <t>O00273</t>
  </si>
  <si>
    <t>OI000465</t>
  </si>
  <si>
    <t>OI000466</t>
  </si>
  <si>
    <t>O00274</t>
  </si>
  <si>
    <t>OI000467</t>
  </si>
  <si>
    <t>O00275</t>
  </si>
  <si>
    <t>OI000468</t>
  </si>
  <si>
    <t>O00276</t>
  </si>
  <si>
    <t>OI000469</t>
  </si>
  <si>
    <t>OI000470</t>
  </si>
  <si>
    <t>O00277</t>
  </si>
  <si>
    <t>OI000471</t>
  </si>
  <si>
    <t>O00278</t>
  </si>
  <si>
    <t>OI000472</t>
  </si>
  <si>
    <t>O00279</t>
  </si>
  <si>
    <t>OI000473</t>
  </si>
  <si>
    <t>OI000474</t>
  </si>
  <si>
    <t>O00280</t>
  </si>
  <si>
    <t>OI000475</t>
  </si>
  <si>
    <t>OI000476</t>
  </si>
  <si>
    <t>OI000477</t>
  </si>
  <si>
    <t>OI000478</t>
  </si>
  <si>
    <t>O00281</t>
  </si>
  <si>
    <t>OI000479</t>
  </si>
  <si>
    <t>O00282</t>
  </si>
  <si>
    <t>OI000480</t>
  </si>
  <si>
    <t>OI000481</t>
  </si>
  <si>
    <t>O00283</t>
  </si>
  <si>
    <t>OI000482</t>
  </si>
  <si>
    <t>OI000483</t>
  </si>
  <si>
    <t>O00284</t>
  </si>
  <si>
    <t>OI000484</t>
  </si>
  <si>
    <t>O00285</t>
  </si>
  <si>
    <t>OI000485</t>
  </si>
  <si>
    <t>O00286</t>
  </si>
  <si>
    <t>OI000486</t>
  </si>
  <si>
    <t>OI000487</t>
  </si>
  <si>
    <t>O00287</t>
  </si>
  <si>
    <t>OI000488</t>
  </si>
  <si>
    <t>O00288</t>
  </si>
  <si>
    <t>OI000489</t>
  </si>
  <si>
    <t>O00289</t>
  </si>
  <si>
    <t>OI000490</t>
  </si>
  <si>
    <t>OI000491</t>
  </si>
  <si>
    <t>O00290</t>
  </si>
  <si>
    <t>OI000492</t>
  </si>
  <si>
    <t>O00291</t>
  </si>
  <si>
    <t>OI000493</t>
  </si>
  <si>
    <t>OI000494</t>
  </si>
  <si>
    <t>OI000495</t>
  </si>
  <si>
    <t>O00292</t>
  </si>
  <si>
    <t>OI000496</t>
  </si>
  <si>
    <t>OI000497</t>
  </si>
  <si>
    <t>OI000498</t>
  </si>
  <si>
    <t>O00293</t>
  </si>
  <si>
    <t>OI000499</t>
  </si>
  <si>
    <t>OI000500</t>
  </si>
  <si>
    <t>O00294</t>
  </si>
  <si>
    <t>OI000501</t>
  </si>
  <si>
    <t>OI000502</t>
  </si>
  <si>
    <t>O00295</t>
  </si>
  <si>
    <t>OI000503</t>
  </si>
  <si>
    <t>OI000504</t>
  </si>
  <si>
    <t>O00296</t>
  </si>
  <si>
    <t>OI000505</t>
  </si>
  <si>
    <t>O00297</t>
  </si>
  <si>
    <t>OI000506</t>
  </si>
  <si>
    <t>O00298</t>
  </si>
  <si>
    <t>OI000507</t>
  </si>
  <si>
    <t>O00299</t>
  </si>
  <si>
    <t>OI000508</t>
  </si>
  <si>
    <t>O00300</t>
  </si>
  <si>
    <t>OI000509</t>
  </si>
  <si>
    <t>OI000510</t>
  </si>
  <si>
    <t>O00301</t>
  </si>
  <si>
    <t>OI000511</t>
  </si>
  <si>
    <t>O00302</t>
  </si>
  <si>
    <t>OI000512</t>
  </si>
  <si>
    <t>OI000513</t>
  </si>
  <si>
    <t>O00303</t>
  </si>
  <si>
    <t>OI000514</t>
  </si>
  <si>
    <t>O00304</t>
  </si>
  <si>
    <t>OI000515</t>
  </si>
  <si>
    <t>OI000516</t>
  </si>
  <si>
    <t>O00305</t>
  </si>
  <si>
    <t>OI000517</t>
  </si>
  <si>
    <t>OI000518</t>
  </si>
  <si>
    <t>O00306</t>
  </si>
  <si>
    <t>OI000519</t>
  </si>
  <si>
    <t>OI000520</t>
  </si>
  <si>
    <t>OI000521</t>
  </si>
  <si>
    <t>OI000522</t>
  </si>
  <si>
    <t>O00307</t>
  </si>
  <si>
    <t>OI000523</t>
  </si>
  <si>
    <t>OI000524</t>
  </si>
  <si>
    <t>O00308</t>
  </si>
  <si>
    <t>OI000525</t>
  </si>
  <si>
    <t>OI000526</t>
  </si>
  <si>
    <t>OI000527</t>
  </si>
  <si>
    <t>O00309</t>
  </si>
  <si>
    <t>OI000528</t>
  </si>
  <si>
    <t>O00310</t>
  </si>
  <si>
    <t>OI000529</t>
  </si>
  <si>
    <t>OI000530</t>
  </si>
  <si>
    <t>O00311</t>
  </si>
  <si>
    <t>OI000531</t>
  </si>
  <si>
    <t>OI000532</t>
  </si>
  <si>
    <t>O00312</t>
  </si>
  <si>
    <t>OI000533</t>
  </si>
  <si>
    <t>O00313</t>
  </si>
  <si>
    <t>OI000534</t>
  </si>
  <si>
    <t>OI000535</t>
  </si>
  <si>
    <t>O00314</t>
  </si>
  <si>
    <t>OI000536</t>
  </si>
  <si>
    <t>OI000537</t>
  </si>
  <si>
    <t>O00315</t>
  </si>
  <si>
    <t>OI000538</t>
  </si>
  <si>
    <t>OI000539</t>
  </si>
  <si>
    <t>OI000540</t>
  </si>
  <si>
    <t>OI000541</t>
  </si>
  <si>
    <t>O00316</t>
  </si>
  <si>
    <t>OI000542</t>
  </si>
  <si>
    <t>OI000543</t>
  </si>
  <si>
    <t>OI000544</t>
  </si>
  <si>
    <t>O00317</t>
  </si>
  <si>
    <t>OI000545</t>
  </si>
  <si>
    <t>O00318</t>
  </si>
  <si>
    <t>OI000546</t>
  </si>
  <si>
    <t>OI000547</t>
  </si>
  <si>
    <t>O00319</t>
  </si>
  <si>
    <t>OI000548</t>
  </si>
  <si>
    <t>OI000549</t>
  </si>
  <si>
    <t>OI000550</t>
  </si>
  <si>
    <t>O00320</t>
  </si>
  <si>
    <t>OI000551</t>
  </si>
  <si>
    <t>OI000552</t>
  </si>
  <si>
    <t>O00321</t>
  </si>
  <si>
    <t>OI000553</t>
  </si>
  <si>
    <t>O00322</t>
  </si>
  <si>
    <t>OI000554</t>
  </si>
  <si>
    <t>OI000555</t>
  </si>
  <si>
    <t>OI000556</t>
  </si>
  <si>
    <t>O00323</t>
  </si>
  <si>
    <t>OI000557</t>
  </si>
  <si>
    <t>OI000558</t>
  </si>
  <si>
    <t>O00324</t>
  </si>
  <si>
    <t>OI000559</t>
  </si>
  <si>
    <t>OI000560</t>
  </si>
  <si>
    <t>OI000561</t>
  </si>
  <si>
    <t>OI000562</t>
  </si>
  <si>
    <t>O00325</t>
  </si>
  <si>
    <t>OI000563</t>
  </si>
  <si>
    <t>O00326</t>
  </si>
  <si>
    <t>OI000564</t>
  </si>
  <si>
    <t>O00327</t>
  </si>
  <si>
    <t>OI000565</t>
  </si>
  <si>
    <t>O00328</t>
  </si>
  <si>
    <t>OI000566</t>
  </si>
  <si>
    <t>OI000567</t>
  </si>
  <si>
    <t>O00329</t>
  </si>
  <si>
    <t>OI000568</t>
  </si>
  <si>
    <t>O00330</t>
  </si>
  <si>
    <t>OI000569</t>
  </si>
  <si>
    <t>O00331</t>
  </si>
  <si>
    <t>OI000570</t>
  </si>
  <si>
    <t>OI000571</t>
  </si>
  <si>
    <t>O00332</t>
  </si>
  <si>
    <t>OI000572</t>
  </si>
  <si>
    <t>O00333</t>
  </si>
  <si>
    <t>OI000573</t>
  </si>
  <si>
    <t>O00334</t>
  </si>
  <si>
    <t>OI000574</t>
  </si>
  <si>
    <t>OI000575</t>
  </si>
  <si>
    <t>OI000576</t>
  </si>
  <si>
    <t>OI000577</t>
  </si>
  <si>
    <t>O00335</t>
  </si>
  <si>
    <t>OI000578</t>
  </si>
  <si>
    <t>O00336</t>
  </si>
  <si>
    <t>OI000579</t>
  </si>
  <si>
    <t>O00337</t>
  </si>
  <si>
    <t>OI000580</t>
  </si>
  <si>
    <t>OI000581</t>
  </si>
  <si>
    <t>OI000582</t>
  </si>
  <si>
    <t>O00338</t>
  </si>
  <si>
    <t>OI000583</t>
  </si>
  <si>
    <t>O00339</t>
  </si>
  <si>
    <t>OI000584</t>
  </si>
  <si>
    <t>OI000585</t>
  </si>
  <si>
    <t>O00340</t>
  </si>
  <si>
    <t>OI000586</t>
  </si>
  <si>
    <t>OI000587</t>
  </si>
  <si>
    <t>O00341</t>
  </si>
  <si>
    <t>OI000588</t>
  </si>
  <si>
    <t>OI000589</t>
  </si>
  <si>
    <t>O00342</t>
  </si>
  <si>
    <t>OI000590</t>
  </si>
  <si>
    <t>OI000591</t>
  </si>
  <si>
    <t>OI000592</t>
  </si>
  <si>
    <t>O00343</t>
  </si>
  <si>
    <t>OI000593</t>
  </si>
  <si>
    <t>OI000594</t>
  </si>
  <si>
    <t>O00344</t>
  </si>
  <si>
    <t>OI000595</t>
  </si>
  <si>
    <t>O00345</t>
  </si>
  <si>
    <t>OI000596</t>
  </si>
  <si>
    <t>OI000597</t>
  </si>
  <si>
    <t>OI000598</t>
  </si>
  <si>
    <t>O00346</t>
  </si>
  <si>
    <t>OI000599</t>
  </si>
  <si>
    <t>OI000600</t>
  </si>
  <si>
    <t>O00347</t>
  </si>
  <si>
    <t>OI000601</t>
  </si>
  <si>
    <t>OI000602</t>
  </si>
  <si>
    <t>OI000603</t>
  </si>
  <si>
    <t>O00348</t>
  </si>
  <si>
    <t>OI000604</t>
  </si>
  <si>
    <t>OI000605</t>
  </si>
  <si>
    <t>OI000606</t>
  </si>
  <si>
    <t>O00349</t>
  </si>
  <si>
    <t>OI000607</t>
  </si>
  <si>
    <t>O00350</t>
  </si>
  <si>
    <t>OI000608</t>
  </si>
  <si>
    <t>OI000609</t>
  </si>
  <si>
    <t>O00351</t>
  </si>
  <si>
    <t>OI000610</t>
  </si>
  <si>
    <t>OI000611</t>
  </si>
  <si>
    <t>OI000612</t>
  </si>
  <si>
    <t>O00352</t>
  </si>
  <si>
    <t>OI000613</t>
  </si>
  <si>
    <t>O00353</t>
  </si>
  <si>
    <t>OI000614</t>
  </si>
  <si>
    <t>O00354</t>
  </si>
  <si>
    <t>OI000615</t>
  </si>
  <si>
    <t>OI000616</t>
  </si>
  <si>
    <t>O00355</t>
  </si>
  <si>
    <t>OI000617</t>
  </si>
  <si>
    <t>O00356</t>
  </si>
  <si>
    <t>OI000618</t>
  </si>
  <si>
    <t>OI000619</t>
  </si>
  <si>
    <t>O00357</t>
  </si>
  <si>
    <t>OI000620</t>
  </si>
  <si>
    <t>O00358</t>
  </si>
  <si>
    <t>OI000621</t>
  </si>
  <si>
    <t>O00359</t>
  </si>
  <si>
    <t>OI000622</t>
  </si>
  <si>
    <t>OI000623</t>
  </si>
  <si>
    <t>O00360</t>
  </si>
  <si>
    <t>OI000624</t>
  </si>
  <si>
    <t>O00361</t>
  </si>
  <si>
    <t>OI000625</t>
  </si>
  <si>
    <t>O00362</t>
  </si>
  <si>
    <t>OI000626</t>
  </si>
  <si>
    <t>O00363</t>
  </si>
  <si>
    <t>OI000627</t>
  </si>
  <si>
    <t>OI000628</t>
  </si>
  <si>
    <t>OI000629</t>
  </si>
  <si>
    <t>O00364</t>
  </si>
  <si>
    <t>OI000630</t>
  </si>
  <si>
    <t>O00365</t>
  </si>
  <si>
    <t>OI000631</t>
  </si>
  <si>
    <t>O00366</t>
  </si>
  <si>
    <t>OI000632</t>
  </si>
  <si>
    <t>OI000633</t>
  </si>
  <si>
    <t>O00367</t>
  </si>
  <si>
    <t>OI000634</t>
  </si>
  <si>
    <t>OI000635</t>
  </si>
  <si>
    <t>OI000636</t>
  </si>
  <si>
    <t>O00368</t>
  </si>
  <si>
    <t>OI000637</t>
  </si>
  <si>
    <t>OI000638</t>
  </si>
  <si>
    <t>O00369</t>
  </si>
  <si>
    <t>OI000639</t>
  </si>
  <si>
    <t>OI000640</t>
  </si>
  <si>
    <t>O00370</t>
  </si>
  <si>
    <t>OI000641</t>
  </si>
  <si>
    <t>O00371</t>
  </si>
  <si>
    <t>OI000642</t>
  </si>
  <si>
    <t>O00372</t>
  </si>
  <si>
    <t>OI000643</t>
  </si>
  <si>
    <t>O00373</t>
  </si>
  <si>
    <t>OI000644</t>
  </si>
  <si>
    <t>O00374</t>
  </si>
  <si>
    <t>OI000645</t>
  </si>
  <si>
    <t>O00375</t>
  </si>
  <si>
    <t>OI000646</t>
  </si>
  <si>
    <t>OI000647</t>
  </si>
  <si>
    <t>OI000648</t>
  </si>
  <si>
    <t>OI000649</t>
  </si>
  <si>
    <t>O00376</t>
  </si>
  <si>
    <t>OI000650</t>
  </si>
  <si>
    <t>OI000651</t>
  </si>
  <si>
    <t>O00377</t>
  </si>
  <si>
    <t>OI000652</t>
  </si>
  <si>
    <t>OI000653</t>
  </si>
  <si>
    <t>O00378</t>
  </si>
  <si>
    <t>OI000654</t>
  </si>
  <si>
    <t>OI000655</t>
  </si>
  <si>
    <t>O00379</t>
  </si>
  <si>
    <t>OI000656</t>
  </si>
  <si>
    <t>O00380</t>
  </si>
  <si>
    <t>OI000657</t>
  </si>
  <si>
    <t>O00381</t>
  </si>
  <si>
    <t>OI000658</t>
  </si>
  <si>
    <t>OI000659</t>
  </si>
  <si>
    <t>O00382</t>
  </si>
  <si>
    <t>OI000660</t>
  </si>
  <si>
    <t>O00383</t>
  </si>
  <si>
    <t>OI000661</t>
  </si>
  <si>
    <t>OI000662</t>
  </si>
  <si>
    <t>OI000663</t>
  </si>
  <si>
    <t>O00384</t>
  </si>
  <si>
    <t>OI000664</t>
  </si>
  <si>
    <t>O00385</t>
  </si>
  <si>
    <t>OI000665</t>
  </si>
  <si>
    <t>O00386</t>
  </si>
  <si>
    <t>OI000666</t>
  </si>
  <si>
    <t>O00387</t>
  </si>
  <si>
    <t>OI000667</t>
  </si>
  <si>
    <t>OI000668</t>
  </si>
  <si>
    <t>O00388</t>
  </si>
  <si>
    <t>OI000669</t>
  </si>
  <si>
    <t>OI000670</t>
  </si>
  <si>
    <t>O00389</t>
  </si>
  <si>
    <t>OI000671</t>
  </si>
  <si>
    <t>O00390</t>
  </si>
  <si>
    <t>OI000672</t>
  </si>
  <si>
    <t>O00391</t>
  </si>
  <si>
    <t>OI000673</t>
  </si>
  <si>
    <t>OI000674</t>
  </si>
  <si>
    <t>O00392</t>
  </si>
  <si>
    <t>OI000675</t>
  </si>
  <si>
    <t>O00393</t>
  </si>
  <si>
    <t>OI000676</t>
  </si>
  <si>
    <t>O00394</t>
  </si>
  <si>
    <t>OI000677</t>
  </si>
  <si>
    <t>O00395</t>
  </si>
  <si>
    <t>OI000678</t>
  </si>
  <si>
    <t>OI000679</t>
  </si>
  <si>
    <t>OI000680</t>
  </si>
  <si>
    <t>OI000681</t>
  </si>
  <si>
    <t>O00396</t>
  </si>
  <si>
    <t>OI000682</t>
  </si>
  <si>
    <t>O00397</t>
  </si>
  <si>
    <t>OI000683</t>
  </si>
  <si>
    <t>OI000684</t>
  </si>
  <si>
    <t>OI000685</t>
  </si>
  <si>
    <t>O00398</t>
  </si>
  <si>
    <t>OI000686</t>
  </si>
  <si>
    <t>O00399</t>
  </si>
  <si>
    <t>OI000687</t>
  </si>
  <si>
    <t>OI000688</t>
  </si>
  <si>
    <t>O00400</t>
  </si>
  <si>
    <t>OI000689</t>
  </si>
  <si>
    <t>OI000690</t>
  </si>
  <si>
    <t>OI000691</t>
  </si>
  <si>
    <t>O00401</t>
  </si>
  <si>
    <t>OI000692</t>
  </si>
  <si>
    <t>O00402</t>
  </si>
  <si>
    <t>OI000693</t>
  </si>
  <si>
    <t>OI000694</t>
  </si>
  <si>
    <t>OI000695</t>
  </si>
  <si>
    <t>O00403</t>
  </si>
  <si>
    <t>OI000696</t>
  </si>
  <si>
    <t>O00404</t>
  </si>
  <si>
    <t>OI000697</t>
  </si>
  <si>
    <t>O00405</t>
  </si>
  <si>
    <t>OI000698</t>
  </si>
  <si>
    <t>OI000699</t>
  </si>
  <si>
    <t>O00406</t>
  </si>
  <si>
    <t>OI000700</t>
  </si>
  <si>
    <t>OI000701</t>
  </si>
  <si>
    <t>OI000702</t>
  </si>
  <si>
    <t>O00407</t>
  </si>
  <si>
    <t>OI000703</t>
  </si>
  <si>
    <t>O00408</t>
  </si>
  <si>
    <t>OI000704</t>
  </si>
  <si>
    <t>O00409</t>
  </si>
  <si>
    <t>OI000705</t>
  </si>
  <si>
    <t>O00410</t>
  </si>
  <si>
    <t>OI000706</t>
  </si>
  <si>
    <t>OI000707</t>
  </si>
  <si>
    <t>OI000708</t>
  </si>
  <si>
    <t>OI000709</t>
  </si>
  <si>
    <t>O00411</t>
  </si>
  <si>
    <t>OI000710</t>
  </si>
  <si>
    <t>OI000711</t>
  </si>
  <si>
    <t>O00412</t>
  </si>
  <si>
    <t>OI000712</t>
  </si>
  <si>
    <t>OI000713</t>
  </si>
  <si>
    <t>OI000714</t>
  </si>
  <si>
    <t>OI000715</t>
  </si>
  <si>
    <t>O00413</t>
  </si>
  <si>
    <t>OI000716</t>
  </si>
  <si>
    <t>OI000717</t>
  </si>
  <si>
    <t>OI000718</t>
  </si>
  <si>
    <t>O00414</t>
  </si>
  <si>
    <t>OI000719</t>
  </si>
  <si>
    <t>OI000720</t>
  </si>
  <si>
    <t>O00415</t>
  </si>
  <si>
    <t>OI000721</t>
  </si>
  <si>
    <t>OI000722</t>
  </si>
  <si>
    <t>O00416</t>
  </si>
  <si>
    <t>OI000723</t>
  </si>
  <si>
    <t>O00417</t>
  </si>
  <si>
    <t>OI000724</t>
  </si>
  <si>
    <t>O00418</t>
  </si>
  <si>
    <t>OI000725</t>
  </si>
  <si>
    <t>OI000726</t>
  </si>
  <si>
    <t>OI000727</t>
  </si>
  <si>
    <t>O00419</t>
  </si>
  <si>
    <t>OI000728</t>
  </si>
  <si>
    <t>O00420</t>
  </si>
  <si>
    <t>OI000729</t>
  </si>
  <si>
    <t>O00421</t>
  </si>
  <si>
    <t>OI000730</t>
  </si>
  <si>
    <t>O00422</t>
  </si>
  <si>
    <t>OI000731</t>
  </si>
  <si>
    <t>O00423</t>
  </si>
  <si>
    <t>OI000732</t>
  </si>
  <si>
    <t>OI000733</t>
  </si>
  <si>
    <t>OI000734</t>
  </si>
  <si>
    <t>O00424</t>
  </si>
  <si>
    <t>OI000735</t>
  </si>
  <si>
    <t>OI000736</t>
  </si>
  <si>
    <t>O00425</t>
  </si>
  <si>
    <t>OI000737</t>
  </si>
  <si>
    <t>OI000738</t>
  </si>
  <si>
    <t>OI000739</t>
  </si>
  <si>
    <t>O00426</t>
  </si>
  <si>
    <t>OI000740</t>
  </si>
  <si>
    <t>OI000741</t>
  </si>
  <si>
    <t>OI000742</t>
  </si>
  <si>
    <t>O00427</t>
  </si>
  <si>
    <t>OI000743</t>
  </si>
  <si>
    <t>OI000744</t>
  </si>
  <si>
    <t>OI000745</t>
  </si>
  <si>
    <t>O00428</t>
  </si>
  <si>
    <t>OI000746</t>
  </si>
  <si>
    <t>OI000747</t>
  </si>
  <si>
    <t>O00429</t>
  </si>
  <si>
    <t>OI000748</t>
  </si>
  <si>
    <t>OI000749</t>
  </si>
  <si>
    <t>O00430</t>
  </si>
  <si>
    <t>OI000750</t>
  </si>
  <si>
    <t>OI000751</t>
  </si>
  <si>
    <t>OI000752</t>
  </si>
  <si>
    <t>O00431</t>
  </si>
  <si>
    <t>OI000753</t>
  </si>
  <si>
    <t>OI000754</t>
  </si>
  <si>
    <t>O00432</t>
  </si>
  <si>
    <t>OI000755</t>
  </si>
  <si>
    <t>OI000756</t>
  </si>
  <si>
    <t>O00433</t>
  </si>
  <si>
    <t>OI000757</t>
  </si>
  <si>
    <t>OI000758</t>
  </si>
  <si>
    <t>OI000759</t>
  </si>
  <si>
    <t>OI000760</t>
  </si>
  <si>
    <t>O00434</t>
  </si>
  <si>
    <t>OI000761</t>
  </si>
  <si>
    <t>O00435</t>
  </si>
  <si>
    <t>OI000762</t>
  </si>
  <si>
    <t>OI000763</t>
  </si>
  <si>
    <t>O00436</t>
  </si>
  <si>
    <t>OI000764</t>
  </si>
  <si>
    <t>O00437</t>
  </si>
  <si>
    <t>OI000765</t>
  </si>
  <si>
    <t>OI000766</t>
  </si>
  <si>
    <t>O00438</t>
  </si>
  <si>
    <t>OI000767</t>
  </si>
  <si>
    <t>OI000768</t>
  </si>
  <si>
    <t>OI000769</t>
  </si>
  <si>
    <t>O00439</t>
  </si>
  <si>
    <t>OI000770</t>
  </si>
  <si>
    <t>OI000771</t>
  </si>
  <si>
    <t>O00440</t>
  </si>
  <si>
    <t>OI000772</t>
  </si>
  <si>
    <t>O00441</t>
  </si>
  <si>
    <t>OI000773</t>
  </si>
  <si>
    <t>O00442</t>
  </si>
  <si>
    <t>OI000774</t>
  </si>
  <si>
    <t>OI000775</t>
  </si>
  <si>
    <t>O00443</t>
  </si>
  <si>
    <t>OI000776</t>
  </si>
  <si>
    <t>O00444</t>
  </si>
  <si>
    <t>OI000777</t>
  </si>
  <si>
    <t>O00445</t>
  </si>
  <si>
    <t>OI000778</t>
  </si>
  <si>
    <t>OI000779</t>
  </si>
  <si>
    <t>O00446</t>
  </si>
  <si>
    <t>OI000780</t>
  </si>
  <si>
    <t>O00447</t>
  </si>
  <si>
    <t>OI000781</t>
  </si>
  <si>
    <t>OI000782</t>
  </si>
  <si>
    <t>O00448</t>
  </si>
  <si>
    <t>OI000783</t>
  </si>
  <si>
    <t>O00449</t>
  </si>
  <si>
    <t>OI000784</t>
  </si>
  <si>
    <t>O00450</t>
  </si>
  <si>
    <t>OI000785</t>
  </si>
  <si>
    <t>OI000786</t>
  </si>
  <si>
    <t>O00451</t>
  </si>
  <si>
    <t>OI000787</t>
  </si>
  <si>
    <t>O00452</t>
  </si>
  <si>
    <t>OI000788</t>
  </si>
  <si>
    <t>O00453</t>
  </si>
  <si>
    <t>OI000789</t>
  </si>
  <si>
    <t>O00454</t>
  </si>
  <si>
    <t>OI000790</t>
  </si>
  <si>
    <t>O00455</t>
  </si>
  <si>
    <t>OI000791</t>
  </si>
  <si>
    <t>O00456</t>
  </si>
  <si>
    <t>OI000792</t>
  </si>
  <si>
    <t>O00457</t>
  </si>
  <si>
    <t>OI000793</t>
  </si>
  <si>
    <t>OI000794</t>
  </si>
  <si>
    <t>O00458</t>
  </si>
  <si>
    <t>OI000795</t>
  </si>
  <si>
    <t>OI000796</t>
  </si>
  <si>
    <t>O00459</t>
  </si>
  <si>
    <t>OI000797</t>
  </si>
  <si>
    <t>O00460</t>
  </si>
  <si>
    <t>OI000798</t>
  </si>
  <si>
    <t>OI000799</t>
  </si>
  <si>
    <t>O00461</t>
  </si>
  <si>
    <t>OI000800</t>
  </si>
  <si>
    <t>O00462</t>
  </si>
  <si>
    <t>OI000801</t>
  </si>
  <si>
    <t>O00463</t>
  </si>
  <si>
    <t>OI000802</t>
  </si>
  <si>
    <t>O00464</t>
  </si>
  <si>
    <t>OI000803</t>
  </si>
  <si>
    <t>O00465</t>
  </si>
  <si>
    <t>OI000804</t>
  </si>
  <si>
    <t>OI000805</t>
  </si>
  <si>
    <t>O00466</t>
  </si>
  <si>
    <t>OI000806</t>
  </si>
  <si>
    <t>O00467</t>
  </si>
  <si>
    <t>OI000807</t>
  </si>
  <si>
    <t>OI000808</t>
  </si>
  <si>
    <t>O00468</t>
  </si>
  <si>
    <t>OI000809</t>
  </si>
  <si>
    <t>OI000810</t>
  </si>
  <si>
    <t>O00469</t>
  </si>
  <si>
    <t>OI000811</t>
  </si>
  <si>
    <t>OI000812</t>
  </si>
  <si>
    <t>O00470</t>
  </si>
  <si>
    <t>OI000813</t>
  </si>
  <si>
    <t>OI000814</t>
  </si>
  <si>
    <t>O00471</t>
  </si>
  <si>
    <t>OI000815</t>
  </si>
  <si>
    <t>OI000816</t>
  </si>
  <si>
    <t>OI000817</t>
  </si>
  <si>
    <t>O00472</t>
  </si>
  <si>
    <t>OI000818</t>
  </si>
  <si>
    <t>OI000819</t>
  </si>
  <si>
    <t>O00473</t>
  </si>
  <si>
    <t>OI000820</t>
  </si>
  <si>
    <t>O00474</t>
  </si>
  <si>
    <t>OI000821</t>
  </si>
  <si>
    <t>OI000822</t>
  </si>
  <si>
    <t>O00475</t>
  </si>
  <si>
    <t>OI000823</t>
  </si>
  <si>
    <t>OI000824</t>
  </si>
  <si>
    <t>O00476</t>
  </si>
  <si>
    <t>OI000825</t>
  </si>
  <si>
    <t>O00477</t>
  </si>
  <si>
    <t>OI000826</t>
  </si>
  <si>
    <t>O00478</t>
  </si>
  <si>
    <t>OI000827</t>
  </si>
  <si>
    <t>O00479</t>
  </si>
  <si>
    <t>OI000828</t>
  </si>
  <si>
    <t>O00480</t>
  </si>
  <si>
    <t>OI000829</t>
  </si>
  <si>
    <t>OI000830</t>
  </si>
  <si>
    <t>O00481</t>
  </si>
  <si>
    <t>OI000831</t>
  </si>
  <si>
    <t>OI000832</t>
  </si>
  <si>
    <t>OI000833</t>
  </si>
  <si>
    <t>O00482</t>
  </si>
  <si>
    <t>OI000834</t>
  </si>
  <si>
    <t>OI000835</t>
  </si>
  <si>
    <t>O00483</t>
  </si>
  <si>
    <t>OI000836</t>
  </si>
  <si>
    <t>O00484</t>
  </si>
  <si>
    <t>OI000837</t>
  </si>
  <si>
    <t>OI000838</t>
  </si>
  <si>
    <t>O00485</t>
  </si>
  <si>
    <t>OI000839</t>
  </si>
  <si>
    <t>OI000840</t>
  </si>
  <si>
    <t>OI000841</t>
  </si>
  <si>
    <t>O00486</t>
  </si>
  <si>
    <t>OI000842</t>
  </si>
  <si>
    <t>OI000843</t>
  </si>
  <si>
    <t>OI000844</t>
  </si>
  <si>
    <t>O00487</t>
  </si>
  <si>
    <t>OI000845</t>
  </si>
  <si>
    <t>O00488</t>
  </si>
  <si>
    <t>OI000846</t>
  </si>
  <si>
    <t>O00489</t>
  </si>
  <si>
    <t>OI000847</t>
  </si>
  <si>
    <t>OI000848</t>
  </si>
  <si>
    <t>O00490</t>
  </si>
  <si>
    <t>OI000849</t>
  </si>
  <si>
    <t>O00491</t>
  </si>
  <si>
    <t>OI000850</t>
  </si>
  <si>
    <t>OI000851</t>
  </si>
  <si>
    <t>O00492</t>
  </si>
  <si>
    <t>OI000852</t>
  </si>
  <si>
    <t>OI000853</t>
  </si>
  <si>
    <t>OI000854</t>
  </si>
  <si>
    <t>O00493</t>
  </si>
  <si>
    <t>OI000855</t>
  </si>
  <si>
    <t>O00494</t>
  </si>
  <si>
    <t>OI000856</t>
  </si>
  <si>
    <t>OI000857</t>
  </si>
  <si>
    <t>O00495</t>
  </si>
  <si>
    <t>OI000858</t>
  </si>
  <si>
    <t>OI000859</t>
  </si>
  <si>
    <t>O00496</t>
  </si>
  <si>
    <t>OI000860</t>
  </si>
  <si>
    <t>O00497</t>
  </si>
  <si>
    <t>OI000861</t>
  </si>
  <si>
    <t>O00498</t>
  </si>
  <si>
    <t>OI000862</t>
  </si>
  <si>
    <t>O00499</t>
  </si>
  <si>
    <t>OI000863</t>
  </si>
  <si>
    <t>O00500</t>
  </si>
  <si>
    <t>OI000864</t>
  </si>
  <si>
    <t>OI000865</t>
  </si>
  <si>
    <t>OI000866</t>
  </si>
  <si>
    <t>O00501</t>
  </si>
  <si>
    <t>OI000867</t>
  </si>
  <si>
    <t>O00502</t>
  </si>
  <si>
    <t>OI000868</t>
  </si>
  <si>
    <t>OI000869</t>
  </si>
  <si>
    <t>OI000870</t>
  </si>
  <si>
    <t>O00503</t>
  </si>
  <si>
    <t>OI000871</t>
  </si>
  <si>
    <t>OI000872</t>
  </si>
  <si>
    <t>O00504</t>
  </si>
  <si>
    <t>OI000873</t>
  </si>
  <si>
    <t>O00505</t>
  </si>
  <si>
    <t>OI000874</t>
  </si>
  <si>
    <t>OI000875</t>
  </si>
  <si>
    <t>O00506</t>
  </si>
  <si>
    <t>OI000876</t>
  </si>
  <si>
    <t>O00507</t>
  </si>
  <si>
    <t>OI000877</t>
  </si>
  <si>
    <t>OI000878</t>
  </si>
  <si>
    <t>O00508</t>
  </si>
  <si>
    <t>OI000879</t>
  </si>
  <si>
    <t>O00509</t>
  </si>
  <si>
    <t>OI000880</t>
  </si>
  <si>
    <t>OI000881</t>
  </si>
  <si>
    <t>O00510</t>
  </si>
  <si>
    <t>OI000882</t>
  </si>
  <si>
    <t>O00511</t>
  </si>
  <si>
    <t>OI000883</t>
  </si>
  <si>
    <t>O00512</t>
  </si>
  <si>
    <t>OI000884</t>
  </si>
  <si>
    <t>O00513</t>
  </si>
  <si>
    <t>OI000885</t>
  </si>
  <si>
    <t>OI000886</t>
  </si>
  <si>
    <t>O00514</t>
  </si>
  <si>
    <t>OI000887</t>
  </si>
  <si>
    <t>O00515</t>
  </si>
  <si>
    <t>OI000888</t>
  </si>
  <si>
    <t>OI000889</t>
  </si>
  <si>
    <t>OI000890</t>
  </si>
  <si>
    <t>OI000891</t>
  </si>
  <si>
    <t>O00516</t>
  </si>
  <si>
    <t>OI000892</t>
  </si>
  <si>
    <t>O00517</t>
  </si>
  <si>
    <t>OI000893</t>
  </si>
  <si>
    <t>OI000894</t>
  </si>
  <si>
    <t>OI000895</t>
  </si>
  <si>
    <t>O00518</t>
  </si>
  <si>
    <t>OI000896</t>
  </si>
  <si>
    <t>O00519</t>
  </si>
  <si>
    <t>OI000897</t>
  </si>
  <si>
    <t>O00520</t>
  </si>
  <si>
    <t>OI000898</t>
  </si>
  <si>
    <t>OI000899</t>
  </si>
  <si>
    <t>O00521</t>
  </si>
  <si>
    <t>OI000900</t>
  </si>
  <si>
    <t>OI000901</t>
  </si>
  <si>
    <t>OI000902</t>
  </si>
  <si>
    <t>OI000903</t>
  </si>
  <si>
    <t>O00522</t>
  </si>
  <si>
    <t>OI000904</t>
  </si>
  <si>
    <t>O00523</t>
  </si>
  <si>
    <t>OI000905</t>
  </si>
  <si>
    <t>OI000906</t>
  </si>
  <si>
    <t>O00524</t>
  </si>
  <si>
    <t>OI000907</t>
  </si>
  <si>
    <t>OI000908</t>
  </si>
  <si>
    <t>OI000909</t>
  </si>
  <si>
    <t>O00525</t>
  </si>
  <si>
    <t>OI000910</t>
  </si>
  <si>
    <t>OI000911</t>
  </si>
  <si>
    <t>O00526</t>
  </si>
  <si>
    <t>OI000912</t>
  </si>
  <si>
    <t>OI000913</t>
  </si>
  <si>
    <t>OI000914</t>
  </si>
  <si>
    <t>O00527</t>
  </si>
  <si>
    <t>OI000915</t>
  </si>
  <si>
    <t>O00528</t>
  </si>
  <si>
    <t>OI000916</t>
  </si>
  <si>
    <t>OI000917</t>
  </si>
  <si>
    <t>O00529</t>
  </si>
  <si>
    <t>OI000918</t>
  </si>
  <si>
    <t>OI000919</t>
  </si>
  <si>
    <t>O00530</t>
  </si>
  <si>
    <t>OI000920</t>
  </si>
  <si>
    <t>OI000921</t>
  </si>
  <si>
    <t>OI000922</t>
  </si>
  <si>
    <t>O00531</t>
  </si>
  <si>
    <t>OI000923</t>
  </si>
  <si>
    <t>OI000924</t>
  </si>
  <si>
    <t>O00532</t>
  </si>
  <si>
    <t>OI000925</t>
  </si>
  <si>
    <t>O00533</t>
  </si>
  <si>
    <t>OI000926</t>
  </si>
  <si>
    <t>OI000927</t>
  </si>
  <si>
    <t>OI000928</t>
  </si>
  <si>
    <t>O00534</t>
  </si>
  <si>
    <t>OI000929</t>
  </si>
  <si>
    <t>O00535</t>
  </si>
  <si>
    <t>OI000930</t>
  </si>
  <si>
    <t>OI000931</t>
  </si>
  <si>
    <t>OI000932</t>
  </si>
  <si>
    <t>O00536</t>
  </si>
  <si>
    <t>OI000933</t>
  </si>
  <si>
    <t>O00537</t>
  </si>
  <si>
    <t>OI000934</t>
  </si>
  <si>
    <t>O00538</t>
  </si>
  <si>
    <t>OI000935</t>
  </si>
  <si>
    <t>O00539</t>
  </si>
  <si>
    <t>OI000936</t>
  </si>
  <si>
    <t>OI000937</t>
  </si>
  <si>
    <t>O00540</t>
  </si>
  <si>
    <t>OI000938</t>
  </si>
  <si>
    <t>O00541</t>
  </si>
  <si>
    <t>OI000939</t>
  </si>
  <si>
    <t>O00542</t>
  </si>
  <si>
    <t>OI000940</t>
  </si>
  <si>
    <t>O00543</t>
  </si>
  <si>
    <t>OI000941</t>
  </si>
  <si>
    <t>O00544</t>
  </si>
  <si>
    <t>OI000942</t>
  </si>
  <si>
    <t>OI000943</t>
  </si>
  <si>
    <t>OI000944</t>
  </si>
  <si>
    <t>O00545</t>
  </si>
  <si>
    <t>OI000945</t>
  </si>
  <si>
    <t>OI000946</t>
  </si>
  <si>
    <t>OI000947</t>
  </si>
  <si>
    <t>OI000948</t>
  </si>
  <si>
    <t>O00546</t>
  </si>
  <si>
    <t>OI000949</t>
  </si>
  <si>
    <t>O00547</t>
  </si>
  <si>
    <t>OI000950</t>
  </si>
  <si>
    <t>OI000951</t>
  </si>
  <si>
    <t>O00548</t>
  </si>
  <si>
    <t>OI000952</t>
  </si>
  <si>
    <t>OI000953</t>
  </si>
  <si>
    <t>OI000954</t>
  </si>
  <si>
    <t>O00549</t>
  </si>
  <si>
    <t>OI000955</t>
  </si>
  <si>
    <t>OI000956</t>
  </si>
  <si>
    <t>OI000957</t>
  </si>
  <si>
    <t>OI000958</t>
  </si>
  <si>
    <t>O00550</t>
  </si>
  <si>
    <t>OI000959</t>
  </si>
  <si>
    <t>O00551</t>
  </si>
  <si>
    <t>OI000960</t>
  </si>
  <si>
    <t>O00552</t>
  </si>
  <si>
    <t>OI000961</t>
  </si>
  <si>
    <t>O00553</t>
  </si>
  <si>
    <t>OI000962</t>
  </si>
  <si>
    <t>O00554</t>
  </si>
  <si>
    <t>OI000963</t>
  </si>
  <si>
    <t>O00555</t>
  </si>
  <si>
    <t>OI000964</t>
  </si>
  <si>
    <t>O00556</t>
  </si>
  <si>
    <t>OI000965</t>
  </si>
  <si>
    <t>OI000966</t>
  </si>
  <si>
    <t>O00557</t>
  </si>
  <si>
    <t>OI000967</t>
  </si>
  <si>
    <t>O00558</t>
  </si>
  <si>
    <t>OI000968</t>
  </si>
  <si>
    <t>O00559</t>
  </si>
  <si>
    <t>OI000969</t>
  </si>
  <si>
    <t>O00560</t>
  </si>
  <si>
    <t>OI000970</t>
  </si>
  <si>
    <t>O00561</t>
  </si>
  <si>
    <t>OI000971</t>
  </si>
  <si>
    <t>OI000972</t>
  </si>
  <si>
    <t>OI000973</t>
  </si>
  <si>
    <t>O00562</t>
  </si>
  <si>
    <t>OI000974</t>
  </si>
  <si>
    <t>OI000975</t>
  </si>
  <si>
    <t>O00563</t>
  </si>
  <si>
    <t>OI000976</t>
  </si>
  <si>
    <t>O00564</t>
  </si>
  <si>
    <t>OI000977</t>
  </si>
  <si>
    <t>OI000978</t>
  </si>
  <si>
    <t>O00565</t>
  </si>
  <si>
    <t>OI000979</t>
  </si>
  <si>
    <t>OI000980</t>
  </si>
  <si>
    <t>O00566</t>
  </si>
  <si>
    <t>OI000981</t>
  </si>
  <si>
    <t>OI000982</t>
  </si>
  <si>
    <t>O00567</t>
  </si>
  <si>
    <t>OI000983</t>
  </si>
  <si>
    <t>O00568</t>
  </si>
  <si>
    <t>OI000984</t>
  </si>
  <si>
    <t>OI000985</t>
  </si>
  <si>
    <t>O00569</t>
  </si>
  <si>
    <t>OI000986</t>
  </si>
  <si>
    <t>O00570</t>
  </si>
  <si>
    <t>OI000987</t>
  </si>
  <si>
    <t>OI000988</t>
  </si>
  <si>
    <t>O00571</t>
  </si>
  <si>
    <t>OI000989</t>
  </si>
  <si>
    <t>O00572</t>
  </si>
  <si>
    <t>OI000990</t>
  </si>
  <si>
    <t>OI000991</t>
  </si>
  <si>
    <t>O00573</t>
  </si>
  <si>
    <t>OI000992</t>
  </si>
  <si>
    <t>O00574</t>
  </si>
  <si>
    <t>OI000993</t>
  </si>
  <si>
    <t>O00575</t>
  </si>
  <si>
    <t>OI000994</t>
  </si>
  <si>
    <t>O00576</t>
  </si>
  <si>
    <t>OI000995</t>
  </si>
  <si>
    <t>O00577</t>
  </si>
  <si>
    <t>OI000996</t>
  </si>
  <si>
    <t>OI000997</t>
  </si>
  <si>
    <t>O00578</t>
  </si>
  <si>
    <t>OI000998</t>
  </si>
  <si>
    <t>OI000999</t>
  </si>
  <si>
    <t>OI001000</t>
  </si>
  <si>
    <t>O00579</t>
  </si>
  <si>
    <t>OI001001</t>
  </si>
  <si>
    <t>O00580</t>
  </si>
  <si>
    <t>OI001002</t>
  </si>
  <si>
    <t>O00581</t>
  </si>
  <si>
    <t>OI001003</t>
  </si>
  <si>
    <t>OI001004</t>
  </si>
  <si>
    <t>OI001005</t>
  </si>
  <si>
    <t>O00582</t>
  </si>
  <si>
    <t>OI001006</t>
  </si>
  <si>
    <t>OI001007</t>
  </si>
  <si>
    <t>O00583</t>
  </si>
  <si>
    <t>OI001008</t>
  </si>
  <si>
    <t>O00584</t>
  </si>
  <si>
    <t>OI001009</t>
  </si>
  <si>
    <t>O00585</t>
  </si>
  <si>
    <t>OI001010</t>
  </si>
  <si>
    <t>O00586</t>
  </si>
  <si>
    <t>OI001011</t>
  </si>
  <si>
    <t>O00587</t>
  </si>
  <si>
    <t>OI001012</t>
  </si>
  <si>
    <t>OI001013</t>
  </si>
  <si>
    <t>OI001014</t>
  </si>
  <si>
    <t>OI001015</t>
  </si>
  <si>
    <t>O00588</t>
  </si>
  <si>
    <t>OI001016</t>
  </si>
  <si>
    <t>OI001017</t>
  </si>
  <si>
    <t>OI001018</t>
  </si>
  <si>
    <t>OI001019</t>
  </si>
  <si>
    <t>O00589</t>
  </si>
  <si>
    <t>OI001020</t>
  </si>
  <si>
    <t>OI001021</t>
  </si>
  <si>
    <t>O00590</t>
  </si>
  <si>
    <t>OI001022</t>
  </si>
  <si>
    <t>O00591</t>
  </si>
  <si>
    <t>OI001023</t>
  </si>
  <si>
    <t>O00592</t>
  </si>
  <si>
    <t>OI001024</t>
  </si>
  <si>
    <t>OI001025</t>
  </si>
  <si>
    <t>OI001026</t>
  </si>
  <si>
    <t>O00593</t>
  </si>
  <si>
    <t>OI001027</t>
  </si>
  <si>
    <t>O00594</t>
  </si>
  <si>
    <t>OI001028</t>
  </si>
  <si>
    <t>OI001029</t>
  </si>
  <si>
    <t>O00595</t>
  </si>
  <si>
    <t>OI001030</t>
  </si>
  <si>
    <t>O00596</t>
  </si>
  <si>
    <t>OI001031</t>
  </si>
  <si>
    <t>OI001032</t>
  </si>
  <si>
    <t>OI001033</t>
  </si>
  <si>
    <t>O00597</t>
  </si>
  <si>
    <t>OI001034</t>
  </si>
  <si>
    <t>OI001035</t>
  </si>
  <si>
    <t>O00598</t>
  </si>
  <si>
    <t>OI001036</t>
  </si>
  <si>
    <t>O00599</t>
  </si>
  <si>
    <t>OI001037</t>
  </si>
  <si>
    <t>OI001038</t>
  </si>
  <si>
    <t>O00600</t>
  </si>
  <si>
    <t>OI001039</t>
  </si>
  <si>
    <t>O00601</t>
  </si>
  <si>
    <t>OI001040</t>
  </si>
  <si>
    <t>OI001041</t>
  </si>
  <si>
    <t>O00602</t>
  </si>
  <si>
    <t>OI001042</t>
  </si>
  <si>
    <t>O00603</t>
  </si>
  <si>
    <t>OI001043</t>
  </si>
  <si>
    <t>OI001044</t>
  </si>
  <si>
    <t>O00604</t>
  </si>
  <si>
    <t>OI001045</t>
  </si>
  <si>
    <t>O00605</t>
  </si>
  <si>
    <t>OI001046</t>
  </si>
  <si>
    <t>O00606</t>
  </si>
  <si>
    <t>OI001047</t>
  </si>
  <si>
    <t>OI001048</t>
  </si>
  <si>
    <t>O00607</t>
  </si>
  <si>
    <t>OI001049</t>
  </si>
  <si>
    <t>OI001050</t>
  </si>
  <si>
    <t>O00608</t>
  </si>
  <si>
    <t>OI001051</t>
  </si>
  <si>
    <t>OI001052</t>
  </si>
  <si>
    <t>O00609</t>
  </si>
  <si>
    <t>OI001053</t>
  </si>
  <si>
    <t>OI001054</t>
  </si>
  <si>
    <t>O00610</t>
  </si>
  <si>
    <t>OI001055</t>
  </si>
  <si>
    <t>OI001056</t>
  </si>
  <si>
    <t>O00611</t>
  </si>
  <si>
    <t>OI001057</t>
  </si>
  <si>
    <t>O00612</t>
  </si>
  <si>
    <t>OI001058</t>
  </si>
  <si>
    <t>O00613</t>
  </si>
  <si>
    <t>OI001059</t>
  </si>
  <si>
    <t>O00614</t>
  </si>
  <si>
    <t>OI001060</t>
  </si>
  <si>
    <t>OI001061</t>
  </si>
  <si>
    <t>O00615</t>
  </si>
  <si>
    <t>OI001062</t>
  </si>
  <si>
    <t>OI001063</t>
  </si>
  <si>
    <t>O00616</t>
  </si>
  <si>
    <t>OI001064</t>
  </si>
  <si>
    <t>O00617</t>
  </si>
  <si>
    <t>OI001065</t>
  </si>
  <si>
    <t>OI001066</t>
  </si>
  <si>
    <t>O00618</t>
  </si>
  <si>
    <t>OI001067</t>
  </si>
  <si>
    <t>OI001068</t>
  </si>
  <si>
    <t>OI001069</t>
  </si>
  <si>
    <t>OI001070</t>
  </si>
  <si>
    <t>O00619</t>
  </si>
  <si>
    <t>OI001071</t>
  </si>
  <si>
    <t>OI001072</t>
  </si>
  <si>
    <t>O00620</t>
  </si>
  <si>
    <t>OI001073</t>
  </si>
  <si>
    <t>OI001074</t>
  </si>
  <si>
    <t>O00621</t>
  </si>
  <si>
    <t>OI001075</t>
  </si>
  <si>
    <t>OI001076</t>
  </si>
  <si>
    <t>O00622</t>
  </si>
  <si>
    <t>OI001077</t>
  </si>
  <si>
    <t>O00623</t>
  </si>
  <si>
    <t>OI001078</t>
  </si>
  <si>
    <t>OI001079</t>
  </si>
  <si>
    <t>O00624</t>
  </si>
  <si>
    <t>OI001080</t>
  </si>
  <si>
    <t>O00625</t>
  </si>
  <si>
    <t>OI001081</t>
  </si>
  <si>
    <t>OI001082</t>
  </si>
  <si>
    <t>O00626</t>
  </si>
  <si>
    <t>OI001083</t>
  </si>
  <si>
    <t>OI001084</t>
  </si>
  <si>
    <t>OI001085</t>
  </si>
  <si>
    <t>OI001086</t>
  </si>
  <si>
    <t>O00627</t>
  </si>
  <si>
    <t>OI001087</t>
  </si>
  <si>
    <t>O00628</t>
  </si>
  <si>
    <t>OI001088</t>
  </si>
  <si>
    <t>O00629</t>
  </si>
  <si>
    <t>OI001089</t>
  </si>
  <si>
    <t>OI001090</t>
  </si>
  <si>
    <t>OI001091</t>
  </si>
  <si>
    <t>O00630</t>
  </si>
  <si>
    <t>OI001092</t>
  </si>
  <si>
    <t>O00631</t>
  </si>
  <si>
    <t>OI001093</t>
  </si>
  <si>
    <t>O00632</t>
  </si>
  <si>
    <t>OI001094</t>
  </si>
  <si>
    <t>OI001095</t>
  </si>
  <si>
    <t>O00633</t>
  </si>
  <si>
    <t>OI001096</t>
  </si>
  <si>
    <t>O00634</t>
  </si>
  <si>
    <t>OI001097</t>
  </si>
  <si>
    <t>O00635</t>
  </si>
  <si>
    <t>OI001098</t>
  </si>
  <si>
    <t>O00636</t>
  </si>
  <si>
    <t>OI001099</t>
  </si>
  <si>
    <t>OI001100</t>
  </si>
  <si>
    <t>OI001101</t>
  </si>
  <si>
    <t>OI001102</t>
  </si>
  <si>
    <t>O00637</t>
  </si>
  <si>
    <t>OI001103</t>
  </si>
  <si>
    <t>OI001104</t>
  </si>
  <si>
    <t>O00638</t>
  </si>
  <si>
    <t>OI001105</t>
  </si>
  <si>
    <t>OI001106</t>
  </si>
  <si>
    <t>O00639</t>
  </si>
  <si>
    <t>OI001107</t>
  </si>
  <si>
    <t>O00640</t>
  </si>
  <si>
    <t>OI001108</t>
  </si>
  <si>
    <t>OI001109</t>
  </si>
  <si>
    <t>O00641</t>
  </si>
  <si>
    <t>OI001110</t>
  </si>
  <si>
    <t>OI001111</t>
  </si>
  <si>
    <t>OI001112</t>
  </si>
  <si>
    <t>OI001113</t>
  </si>
  <si>
    <t>O00642</t>
  </si>
  <si>
    <t>OI001114</t>
  </si>
  <si>
    <t>O00643</t>
  </si>
  <si>
    <t>OI001115</t>
  </si>
  <si>
    <t>O00644</t>
  </si>
  <si>
    <t>OI001116</t>
  </si>
  <si>
    <t>O00645</t>
  </si>
  <si>
    <t>OI001117</t>
  </si>
  <si>
    <t>O00646</t>
  </si>
  <si>
    <t>OI001118</t>
  </si>
  <si>
    <t>OI001119</t>
  </si>
  <si>
    <t>O00647</t>
  </si>
  <si>
    <t>OI001120</t>
  </si>
  <si>
    <t>O00648</t>
  </si>
  <si>
    <t>OI001121</t>
  </si>
  <si>
    <t>OI001122</t>
  </si>
  <si>
    <t>O00649</t>
  </si>
  <si>
    <t>OI001123</t>
  </si>
  <si>
    <t>O00650</t>
  </si>
  <si>
    <t>OI001124</t>
  </si>
  <si>
    <t>OI001125</t>
  </si>
  <si>
    <t>OI001126</t>
  </si>
  <si>
    <t>O00651</t>
  </si>
  <si>
    <t>OI001127</t>
  </si>
  <si>
    <t>OI001128</t>
  </si>
  <si>
    <t>OI001129</t>
  </si>
  <si>
    <t>O00652</t>
  </si>
  <si>
    <t>OI001130</t>
  </si>
  <si>
    <t>OI001131</t>
  </si>
  <si>
    <t>O00653</t>
  </si>
  <si>
    <t>OI001132</t>
  </si>
  <si>
    <t>OI001133</t>
  </si>
  <si>
    <t>O00654</t>
  </si>
  <si>
    <t>OI001134</t>
  </si>
  <si>
    <t>OI001135</t>
  </si>
  <si>
    <t>O00655</t>
  </si>
  <si>
    <t>OI001136</t>
  </si>
  <si>
    <t>OI001137</t>
  </si>
  <si>
    <t>O00656</t>
  </si>
  <si>
    <t>OI001138</t>
  </si>
  <si>
    <t>O00657</t>
  </si>
  <si>
    <t>OI001139</t>
  </si>
  <si>
    <t>O00658</t>
  </si>
  <si>
    <t>OI001140</t>
  </si>
  <si>
    <t>OI001141</t>
  </si>
  <si>
    <t>O00659</t>
  </si>
  <si>
    <t>OI001142</t>
  </si>
  <si>
    <t>O00660</t>
  </si>
  <si>
    <t>OI001143</t>
  </si>
  <si>
    <t>O00661</t>
  </si>
  <si>
    <t>OI001144</t>
  </si>
  <si>
    <t>OI001145</t>
  </si>
  <si>
    <t>O00662</t>
  </si>
  <si>
    <t>OI001146</t>
  </si>
  <si>
    <t>OI001147</t>
  </si>
  <si>
    <t>O00663</t>
  </si>
  <si>
    <t>OI001148</t>
  </si>
  <si>
    <t>O00664</t>
  </si>
  <si>
    <t>OI001149</t>
  </si>
  <si>
    <t>OI001150</t>
  </si>
  <si>
    <t>OI001151</t>
  </si>
  <si>
    <t>O00665</t>
  </si>
  <si>
    <t>OI001152</t>
  </si>
  <si>
    <t>OI001153</t>
  </si>
  <si>
    <t>O00666</t>
  </si>
  <si>
    <t>OI001154</t>
  </si>
  <si>
    <t>OI001155</t>
  </si>
  <si>
    <t>O00667</t>
  </si>
  <si>
    <t>OI001156</t>
  </si>
  <si>
    <t>O00668</t>
  </si>
  <si>
    <t>OI001157</t>
  </si>
  <si>
    <t>OI001158</t>
  </si>
  <si>
    <t>O00669</t>
  </si>
  <si>
    <t>OI001159</t>
  </si>
  <si>
    <t>OI001160</t>
  </si>
  <si>
    <t>O00670</t>
  </si>
  <si>
    <t>OI001161</t>
  </si>
  <si>
    <t>O00671</t>
  </si>
  <si>
    <t>OI001162</t>
  </si>
  <si>
    <t>O00672</t>
  </si>
  <si>
    <t>OI001163</t>
  </si>
  <si>
    <t>OI001164</t>
  </si>
  <si>
    <t>O00673</t>
  </si>
  <si>
    <t>OI001165</t>
  </si>
  <si>
    <t>O00674</t>
  </si>
  <si>
    <t>OI001166</t>
  </si>
  <si>
    <t>OI001167</t>
  </si>
  <si>
    <t>O00675</t>
  </si>
  <si>
    <t>OI001168</t>
  </si>
  <si>
    <t>O00676</t>
  </si>
  <si>
    <t>OI001169</t>
  </si>
  <si>
    <t>O00677</t>
  </si>
  <si>
    <t>OI001170</t>
  </si>
  <si>
    <t>OI001171</t>
  </si>
  <si>
    <t>O00678</t>
  </si>
  <si>
    <t>OI001172</t>
  </si>
  <si>
    <t>OI001173</t>
  </si>
  <si>
    <t>OI001174</t>
  </si>
  <si>
    <t>O00679</t>
  </si>
  <si>
    <t>OI001175</t>
  </si>
  <si>
    <t>O00680</t>
  </si>
  <si>
    <t>OI001176</t>
  </si>
  <si>
    <t>OI001177</t>
  </si>
  <si>
    <t>O00681</t>
  </si>
  <si>
    <t>OI001178</t>
  </si>
  <si>
    <t>OI001179</t>
  </si>
  <si>
    <t>O00682</t>
  </si>
  <si>
    <t>OI001180</t>
  </si>
  <si>
    <t>O00683</t>
  </si>
  <si>
    <t>OI001181</t>
  </si>
  <si>
    <t>OI001182</t>
  </si>
  <si>
    <t>OI001183</t>
  </si>
  <si>
    <t>OI001184</t>
  </si>
  <si>
    <t>O00684</t>
  </si>
  <si>
    <t>OI001185</t>
  </si>
  <si>
    <t>O00685</t>
  </si>
  <si>
    <t>OI001186</t>
  </si>
  <si>
    <t>OI001187</t>
  </si>
  <si>
    <t>O00686</t>
  </si>
  <si>
    <t>OI001188</t>
  </si>
  <si>
    <t>O00687</t>
  </si>
  <si>
    <t>OI001189</t>
  </si>
  <si>
    <t>O00688</t>
  </si>
  <si>
    <t>OI001190</t>
  </si>
  <si>
    <t>O00689</t>
  </si>
  <si>
    <t>OI001191</t>
  </si>
  <si>
    <t>O00690</t>
  </si>
  <si>
    <t>OI001192</t>
  </si>
  <si>
    <t>OI001193</t>
  </si>
  <si>
    <t>OI001194</t>
  </si>
  <si>
    <t>OI001195</t>
  </si>
  <si>
    <t>O00691</t>
  </si>
  <si>
    <t>OI001196</t>
  </si>
  <si>
    <t>O00692</t>
  </si>
  <si>
    <t>OI001197</t>
  </si>
  <si>
    <t>OI001198</t>
  </si>
  <si>
    <t>O00693</t>
  </si>
  <si>
    <t>OI001199</t>
  </si>
  <si>
    <t>OI001200</t>
  </si>
  <si>
    <t>O00694</t>
  </si>
  <si>
    <t>OI001201</t>
  </si>
  <si>
    <t>O00695</t>
  </si>
  <si>
    <t>OI001202</t>
  </si>
  <si>
    <t>O00696</t>
  </si>
  <si>
    <t>OI001203</t>
  </si>
  <si>
    <t>OI001204</t>
  </si>
  <si>
    <t>O00697</t>
  </si>
  <si>
    <t>OI001205</t>
  </si>
  <si>
    <t>OI001206</t>
  </si>
  <si>
    <t>O00698</t>
  </si>
  <si>
    <t>OI001207</t>
  </si>
  <si>
    <t>O00699</t>
  </si>
  <si>
    <t>OI001208</t>
  </si>
  <si>
    <t>O00700</t>
  </si>
  <si>
    <t>OI001209</t>
  </si>
  <si>
    <t>O00701</t>
  </si>
  <si>
    <t>OI001210</t>
  </si>
  <si>
    <t>O00702</t>
  </si>
  <si>
    <t>OI001211</t>
  </si>
  <si>
    <t>O00703</t>
  </si>
  <si>
    <t>OI001212</t>
  </si>
  <si>
    <t>O00704</t>
  </si>
  <si>
    <t>OI001213</t>
  </si>
  <si>
    <t>O00705</t>
  </si>
  <si>
    <t>OI001214</t>
  </si>
  <si>
    <t>OI001215</t>
  </si>
  <si>
    <t>OI001216</t>
  </si>
  <si>
    <t>O00706</t>
  </si>
  <si>
    <t>OI001217</t>
  </si>
  <si>
    <t>OI001218</t>
  </si>
  <si>
    <t>OI001219</t>
  </si>
  <si>
    <t>O00707</t>
  </si>
  <si>
    <t>OI001220</t>
  </si>
  <si>
    <t>O00708</t>
  </si>
  <si>
    <t>OI001221</t>
  </si>
  <si>
    <t>O00709</t>
  </si>
  <si>
    <t>OI001222</t>
  </si>
  <si>
    <t>OI001223</t>
  </si>
  <si>
    <t>O00710</t>
  </si>
  <si>
    <t>OI001224</t>
  </si>
  <si>
    <t>OI001225</t>
  </si>
  <si>
    <t>O00711</t>
  </si>
  <si>
    <t>OI001226</t>
  </si>
  <si>
    <t>OI001227</t>
  </si>
  <si>
    <t>OI001228</t>
  </si>
  <si>
    <t>O00712</t>
  </si>
  <si>
    <t>OI001229</t>
  </si>
  <si>
    <t>O00713</t>
  </si>
  <si>
    <t>OI001230</t>
  </si>
  <si>
    <t>OI001231</t>
  </si>
  <si>
    <t>OI001232</t>
  </si>
  <si>
    <t>O00714</t>
  </si>
  <si>
    <t>OI001233</t>
  </si>
  <si>
    <t>OI001234</t>
  </si>
  <si>
    <t>O00715</t>
  </si>
  <si>
    <t>OI001235</t>
  </si>
  <si>
    <t>OI001236</t>
  </si>
  <si>
    <t>OI001237</t>
  </si>
  <si>
    <t>O00716</t>
  </si>
  <si>
    <t>OI001238</t>
  </si>
  <si>
    <t>O00717</t>
  </si>
  <si>
    <t>OI001239</t>
  </si>
  <si>
    <t>OI001240</t>
  </si>
  <si>
    <t>O00718</t>
  </si>
  <si>
    <t>OI001241</t>
  </si>
  <si>
    <t>O00719</t>
  </si>
  <si>
    <t>OI001242</t>
  </si>
  <si>
    <t>O00720</t>
  </si>
  <si>
    <t>OI001243</t>
  </si>
  <si>
    <t>O00721</t>
  </si>
  <si>
    <t>OI001244</t>
  </si>
  <si>
    <t>OI001245</t>
  </si>
  <si>
    <t>O00722</t>
  </si>
  <si>
    <t>OI001246</t>
  </si>
  <si>
    <t>OI001247</t>
  </si>
  <si>
    <t>OI001248</t>
  </si>
  <si>
    <t>O00723</t>
  </si>
  <si>
    <t>OI001249</t>
  </si>
  <si>
    <t>O00724</t>
  </si>
  <si>
    <t>OI001250</t>
  </si>
  <si>
    <t>OI001251</t>
  </si>
  <si>
    <t>OI001252</t>
  </si>
  <si>
    <t>O00725</t>
  </si>
  <si>
    <t>OI001253</t>
  </si>
  <si>
    <t>O00726</t>
  </si>
  <si>
    <t>OI001254</t>
  </si>
  <si>
    <t>OI001255</t>
  </si>
  <si>
    <t>O00727</t>
  </si>
  <si>
    <t>OI001256</t>
  </si>
  <si>
    <t>O00728</t>
  </si>
  <si>
    <t>OI001257</t>
  </si>
  <si>
    <t>O00729</t>
  </si>
  <si>
    <t>OI001258</t>
  </si>
  <si>
    <t>OI001259</t>
  </si>
  <si>
    <t>O00730</t>
  </si>
  <si>
    <t>OI001260</t>
  </si>
  <si>
    <t>OI001261</t>
  </si>
  <si>
    <t>OI001262</t>
  </si>
  <si>
    <t>O00731</t>
  </si>
  <si>
    <t>OI001263</t>
  </si>
  <si>
    <t>O00732</t>
  </si>
  <si>
    <t>OI001264</t>
  </si>
  <si>
    <t>O00733</t>
  </si>
  <si>
    <t>OI001265</t>
  </si>
  <si>
    <t>O00734</t>
  </si>
  <si>
    <t>OI001266</t>
  </si>
  <si>
    <t>OI001267</t>
  </si>
  <si>
    <t>O00735</t>
  </si>
  <si>
    <t>OI001268</t>
  </si>
  <si>
    <t>O00736</t>
  </si>
  <si>
    <t>OI001269</t>
  </si>
  <si>
    <t>OI001270</t>
  </si>
  <si>
    <t>OI001271</t>
  </si>
  <si>
    <t>O00737</t>
  </si>
  <si>
    <t>OI001272</t>
  </si>
  <si>
    <t>OI001273</t>
  </si>
  <si>
    <t>O00738</t>
  </si>
  <si>
    <t>OI001274</t>
  </si>
  <si>
    <t>O00739</t>
  </si>
  <si>
    <t>OI001275</t>
  </si>
  <si>
    <t>OI001276</t>
  </si>
  <si>
    <t>OI001277</t>
  </si>
  <si>
    <t>O00740</t>
  </si>
  <si>
    <t>OI001278</t>
  </si>
  <si>
    <t>OI001279</t>
  </si>
  <si>
    <t>O00741</t>
  </si>
  <si>
    <t>OI001280</t>
  </si>
  <si>
    <t>OI001281</t>
  </si>
  <si>
    <t>OI001282</t>
  </si>
  <si>
    <t>O00742</t>
  </si>
  <si>
    <t>OI001283</t>
  </si>
  <si>
    <t>O00743</t>
  </si>
  <si>
    <t>OI001284</t>
  </si>
  <si>
    <t>OI001285</t>
  </si>
  <si>
    <t>O00744</t>
  </si>
  <si>
    <t>OI001286</t>
  </si>
  <si>
    <t>O00745</t>
  </si>
  <si>
    <t>OI001287</t>
  </si>
  <si>
    <t>O00746</t>
  </si>
  <si>
    <t>OI001288</t>
  </si>
  <si>
    <t>O00747</t>
  </si>
  <si>
    <t>OI001289</t>
  </si>
  <si>
    <t>O00748</t>
  </si>
  <si>
    <t>OI001290</t>
  </si>
  <si>
    <t>O00749</t>
  </si>
  <si>
    <t>OI001291</t>
  </si>
  <si>
    <t>OI001292</t>
  </si>
  <si>
    <t>O00750</t>
  </si>
  <si>
    <t>OI001293</t>
  </si>
  <si>
    <t>OI001294</t>
  </si>
  <si>
    <t>O00751</t>
  </si>
  <si>
    <t>OI001295</t>
  </si>
  <si>
    <t>OI001296</t>
  </si>
  <si>
    <t>OI001297</t>
  </si>
  <si>
    <t>OI001298</t>
  </si>
  <si>
    <t>O00752</t>
  </si>
  <si>
    <t>OI001299</t>
  </si>
  <si>
    <t>O00753</t>
  </si>
  <si>
    <t>OI001300</t>
  </si>
  <si>
    <t>O00754</t>
  </si>
  <si>
    <t>OI001301</t>
  </si>
  <si>
    <t>O00755</t>
  </si>
  <si>
    <t>OI001302</t>
  </si>
  <si>
    <t>O00756</t>
  </si>
  <si>
    <t>OI001303</t>
  </si>
  <si>
    <t>O00757</t>
  </si>
  <si>
    <t>OI001304</t>
  </si>
  <si>
    <t>O00758</t>
  </si>
  <si>
    <t>OI001305</t>
  </si>
  <si>
    <t>O00759</t>
  </si>
  <si>
    <t>OI001306</t>
  </si>
  <si>
    <t>O00760</t>
  </si>
  <si>
    <t>OI001307</t>
  </si>
  <si>
    <t>OI001308</t>
  </si>
  <si>
    <t>OI001309</t>
  </si>
  <si>
    <t>O00761</t>
  </si>
  <si>
    <t>OI001310</t>
  </si>
  <si>
    <t>OI001311</t>
  </si>
  <si>
    <t>O00762</t>
  </si>
  <si>
    <t>OI001312</t>
  </si>
  <si>
    <t>O00763</t>
  </si>
  <si>
    <t>OI001313</t>
  </si>
  <si>
    <t>O00764</t>
  </si>
  <si>
    <t>OI001314</t>
  </si>
  <si>
    <t>O00765</t>
  </si>
  <si>
    <t>OI001315</t>
  </si>
  <si>
    <t>OI001316</t>
  </si>
  <si>
    <t>O00766</t>
  </si>
  <si>
    <t>OI001317</t>
  </si>
  <si>
    <t>O00767</t>
  </si>
  <si>
    <t>OI001318</t>
  </si>
  <si>
    <t>OI001319</t>
  </si>
  <si>
    <t>O00768</t>
  </si>
  <si>
    <t>OI001320</t>
  </si>
  <si>
    <t>OI001321</t>
  </si>
  <si>
    <t>O00769</t>
  </si>
  <si>
    <t>OI001322</t>
  </si>
  <si>
    <t>OI001323</t>
  </si>
  <si>
    <t>O00770</t>
  </si>
  <si>
    <t>OI001324</t>
  </si>
  <si>
    <t>O00771</t>
  </si>
  <si>
    <t>OI001325</t>
  </si>
  <si>
    <t>OI001326</t>
  </si>
  <si>
    <t>O00772</t>
  </si>
  <si>
    <t>OI001327</t>
  </si>
  <si>
    <t>OI001328</t>
  </si>
  <si>
    <t>OI001329</t>
  </si>
  <si>
    <t>O00773</t>
  </si>
  <si>
    <t>OI001330</t>
  </si>
  <si>
    <t>O00774</t>
  </si>
  <si>
    <t>OI001331</t>
  </si>
  <si>
    <t>O00775</t>
  </si>
  <si>
    <t>OI001332</t>
  </si>
  <si>
    <t>O00776</t>
  </si>
  <si>
    <t>OI001333</t>
  </si>
  <si>
    <t>OI001334</t>
  </si>
  <si>
    <t>O00777</t>
  </si>
  <si>
    <t>OI001335</t>
  </si>
  <si>
    <t>OI001336</t>
  </si>
  <si>
    <t>OI001337</t>
  </si>
  <si>
    <t>O00778</t>
  </si>
  <si>
    <t>OI001338</t>
  </si>
  <si>
    <t>O00779</t>
  </si>
  <si>
    <t>OI001339</t>
  </si>
  <si>
    <t>O00780</t>
  </si>
  <si>
    <t>OI001340</t>
  </si>
  <si>
    <t>OI001341</t>
  </si>
  <si>
    <t>O00781</t>
  </si>
  <si>
    <t>OI001342</t>
  </si>
  <si>
    <t>OI001343</t>
  </si>
  <si>
    <t>O00782</t>
  </si>
  <si>
    <t>OI001344</t>
  </si>
  <si>
    <t>OI001345</t>
  </si>
  <si>
    <t>OI001346</t>
  </si>
  <si>
    <t>O00783</t>
  </si>
  <si>
    <t>OI001347</t>
  </si>
  <si>
    <t>OI001348</t>
  </si>
  <si>
    <t>O00784</t>
  </si>
  <si>
    <t>OI001349</t>
  </si>
  <si>
    <t>O00785</t>
  </si>
  <si>
    <t>OI001350</t>
  </si>
  <si>
    <t>OI001351</t>
  </si>
  <si>
    <t>O00786</t>
  </si>
  <si>
    <t>OI001352</t>
  </si>
  <si>
    <t>OI001353</t>
  </si>
  <si>
    <t>O00787</t>
  </si>
  <si>
    <t>OI001354</t>
  </si>
  <si>
    <t>O00788</t>
  </si>
  <si>
    <t>OI001355</t>
  </si>
  <si>
    <t>O00789</t>
  </si>
  <si>
    <t>OI001356</t>
  </si>
  <si>
    <t>OI001357</t>
  </si>
  <si>
    <t>O00790</t>
  </si>
  <si>
    <t>OI001358</t>
  </si>
  <si>
    <t>O00791</t>
  </si>
  <si>
    <t>OI001359</t>
  </si>
  <si>
    <t>O00792</t>
  </si>
  <si>
    <t>OI001360</t>
  </si>
  <si>
    <t>O00793</t>
  </si>
  <si>
    <t>OI001361</t>
  </si>
  <si>
    <t>OI001362</t>
  </si>
  <si>
    <t>O00794</t>
  </si>
  <si>
    <t>OI001363</t>
  </si>
  <si>
    <t>OI001364</t>
  </si>
  <si>
    <t>O00795</t>
  </si>
  <si>
    <t>OI001365</t>
  </si>
  <si>
    <t>OI001366</t>
  </si>
  <si>
    <t>O00796</t>
  </si>
  <si>
    <t>OI001367</t>
  </si>
  <si>
    <t>OI001368</t>
  </si>
  <si>
    <t>O00797</t>
  </si>
  <si>
    <t>OI001369</t>
  </si>
  <si>
    <t>OI001370</t>
  </si>
  <si>
    <t>OI001371</t>
  </si>
  <si>
    <t>O00798</t>
  </si>
  <si>
    <t>OI001372</t>
  </si>
  <si>
    <t>O00799</t>
  </si>
  <si>
    <t>OI001373</t>
  </si>
  <si>
    <t>O00800</t>
  </si>
  <si>
    <t>OI001374</t>
  </si>
  <si>
    <t>O00801</t>
  </si>
  <si>
    <t>OI001375</t>
  </si>
  <si>
    <t>OI001376</t>
  </si>
  <si>
    <t>O00802</t>
  </si>
  <si>
    <t>OI001377</t>
  </si>
  <si>
    <t>OI001378</t>
  </si>
  <si>
    <t>O00803</t>
  </si>
  <si>
    <t>OI001379</t>
  </si>
  <si>
    <t>O00804</t>
  </si>
  <si>
    <t>OI001380</t>
  </si>
  <si>
    <t>OI001381</t>
  </si>
  <si>
    <t>O00805</t>
  </si>
  <si>
    <t>OI001382</t>
  </si>
  <si>
    <t>O00806</t>
  </si>
  <si>
    <t>OI001383</t>
  </si>
  <si>
    <t>O00807</t>
  </si>
  <si>
    <t>OI001384</t>
  </si>
  <si>
    <t>OI001385</t>
  </si>
  <si>
    <t>O00808</t>
  </si>
  <si>
    <t>OI001386</t>
  </si>
  <si>
    <t>OI001387</t>
  </si>
  <si>
    <t>O00809</t>
  </si>
  <si>
    <t>OI001388</t>
  </si>
  <si>
    <t>O00810</t>
  </si>
  <si>
    <t>OI001389</t>
  </si>
  <si>
    <t>OI001390</t>
  </si>
  <si>
    <t>O00811</t>
  </si>
  <si>
    <t>OI001391</t>
  </si>
  <si>
    <t>OI001392</t>
  </si>
  <si>
    <t>O00812</t>
  </si>
  <si>
    <t>OI001393</t>
  </si>
  <si>
    <t>O00813</t>
  </si>
  <si>
    <t>OI001394</t>
  </si>
  <si>
    <t>O00814</t>
  </si>
  <si>
    <t>OI001395</t>
  </si>
  <si>
    <t>OI001396</t>
  </si>
  <si>
    <t>O00815</t>
  </si>
  <si>
    <t>OI001397</t>
  </si>
  <si>
    <t>O00816</t>
  </si>
  <si>
    <t>OI001398</t>
  </si>
  <si>
    <t>OI001399</t>
  </si>
  <si>
    <t>OI001400</t>
  </si>
  <si>
    <t>O00817</t>
  </si>
  <si>
    <t>OI001401</t>
  </si>
  <si>
    <t>O00818</t>
  </si>
  <si>
    <t>OI001402</t>
  </si>
  <si>
    <t>O00819</t>
  </si>
  <si>
    <t>OI001403</t>
  </si>
  <si>
    <t>OI001404</t>
  </si>
  <si>
    <t>O00820</t>
  </si>
  <si>
    <t>OI001405</t>
  </si>
  <si>
    <t>OI001406</t>
  </si>
  <si>
    <t>OI001407</t>
  </si>
  <si>
    <t>OI001408</t>
  </si>
  <si>
    <t>O00821</t>
  </si>
  <si>
    <t>OI001409</t>
  </si>
  <si>
    <t>O00822</t>
  </si>
  <si>
    <t>OI001410</t>
  </si>
  <si>
    <t>O00823</t>
  </si>
  <si>
    <t>OI001411</t>
  </si>
  <si>
    <t>O00824</t>
  </si>
  <si>
    <t>OI001412</t>
  </si>
  <si>
    <t>O00825</t>
  </si>
  <si>
    <t>OI001413</t>
  </si>
  <si>
    <t>O00826</t>
  </si>
  <si>
    <t>OI001414</t>
  </si>
  <si>
    <t>OI001415</t>
  </si>
  <si>
    <t>O00827</t>
  </si>
  <si>
    <t>OI001416</t>
  </si>
  <si>
    <t>OI001417</t>
  </si>
  <si>
    <t>O00828</t>
  </si>
  <si>
    <t>OI001418</t>
  </si>
  <si>
    <t>OI001419</t>
  </si>
  <si>
    <t>OI001420</t>
  </si>
  <si>
    <t>O00829</t>
  </si>
  <si>
    <t>OI001421</t>
  </si>
  <si>
    <t>OI001422</t>
  </si>
  <si>
    <t>OI001423</t>
  </si>
  <si>
    <t>OI001424</t>
  </si>
  <si>
    <t>O00830</t>
  </si>
  <si>
    <t>OI001425</t>
  </si>
  <si>
    <t>OI001426</t>
  </si>
  <si>
    <t>OI001427</t>
  </si>
  <si>
    <t>O00831</t>
  </si>
  <si>
    <t>OI001428</t>
  </si>
  <si>
    <t>OI001429</t>
  </si>
  <si>
    <t>OI001430</t>
  </si>
  <si>
    <t>O00832</t>
  </si>
  <si>
    <t>OI001431</t>
  </si>
  <si>
    <t>OI001432</t>
  </si>
  <si>
    <t>O00833</t>
  </si>
  <si>
    <t>OI001433</t>
  </si>
  <si>
    <t>OI001434</t>
  </si>
  <si>
    <t>O00834</t>
  </si>
  <si>
    <t>OI001435</t>
  </si>
  <si>
    <t>O00835</t>
  </si>
  <si>
    <t>OI001436</t>
  </si>
  <si>
    <t>O00836</t>
  </si>
  <si>
    <t>OI001437</t>
  </si>
  <si>
    <t>OI001438</t>
  </si>
  <si>
    <t>OI001439</t>
  </si>
  <si>
    <t>O00837</t>
  </si>
  <si>
    <t>OI001440</t>
  </si>
  <si>
    <t>OI001441</t>
  </si>
  <si>
    <t>OI001442</t>
  </si>
  <si>
    <t>O00838</t>
  </si>
  <si>
    <t>OI001443</t>
  </si>
  <si>
    <t>O00839</t>
  </si>
  <si>
    <t>OI001444</t>
  </si>
  <si>
    <t>O00840</t>
  </si>
  <si>
    <t>OI001445</t>
  </si>
  <si>
    <t>O00841</t>
  </si>
  <si>
    <t>OI001446</t>
  </si>
  <si>
    <t>O00842</t>
  </si>
  <si>
    <t>OI001447</t>
  </si>
  <si>
    <t>OI001448</t>
  </si>
  <si>
    <t>OI001449</t>
  </si>
  <si>
    <t>O00843</t>
  </si>
  <si>
    <t>OI001450</t>
  </si>
  <si>
    <t>OI001451</t>
  </si>
  <si>
    <t>OI001452</t>
  </si>
  <si>
    <t>OI001453</t>
  </si>
  <si>
    <t>O00844</t>
  </si>
  <si>
    <t>OI001454</t>
  </si>
  <si>
    <t>O00845</t>
  </si>
  <si>
    <t>OI001455</t>
  </si>
  <si>
    <t>OI001456</t>
  </si>
  <si>
    <t>O00846</t>
  </si>
  <si>
    <t>OI001457</t>
  </si>
  <si>
    <t>OI001458</t>
  </si>
  <si>
    <t>O00847</t>
  </si>
  <si>
    <t>OI001459</t>
  </si>
  <si>
    <t>OI001460</t>
  </si>
  <si>
    <t>O00848</t>
  </si>
  <si>
    <t>OI001461</t>
  </si>
  <si>
    <t>OI001462</t>
  </si>
  <si>
    <t>O00849</t>
  </si>
  <si>
    <t>OI001463</t>
  </si>
  <si>
    <t>OI001464</t>
  </si>
  <si>
    <t>OI001465</t>
  </si>
  <si>
    <t>O00850</t>
  </si>
  <si>
    <t>OI001466</t>
  </si>
  <si>
    <t>O00851</t>
  </si>
  <si>
    <t>OI001467</t>
  </si>
  <si>
    <t>OI001468</t>
  </si>
  <si>
    <t>OI001469</t>
  </si>
  <si>
    <t>O00852</t>
  </si>
  <si>
    <t>OI001470</t>
  </si>
  <si>
    <t>OI001471</t>
  </si>
  <si>
    <t>OI001472</t>
  </si>
  <si>
    <t>O00853</t>
  </si>
  <si>
    <t>OI001473</t>
  </si>
  <si>
    <t>OI001474</t>
  </si>
  <si>
    <t>O00854</t>
  </si>
  <si>
    <t>OI001475</t>
  </si>
  <si>
    <t>OI001476</t>
  </si>
  <si>
    <t>O00855</t>
  </si>
  <si>
    <t>OI001477</t>
  </si>
  <si>
    <t>OI001478</t>
  </si>
  <si>
    <t>OI001479</t>
  </si>
  <si>
    <t>OI001480</t>
  </si>
  <si>
    <t>O00856</t>
  </si>
  <si>
    <t>OI001481</t>
  </si>
  <si>
    <t>O00857</t>
  </si>
  <si>
    <t>OI001482</t>
  </si>
  <si>
    <t>O00858</t>
  </si>
  <si>
    <t>OI001483</t>
  </si>
  <si>
    <t>OI001484</t>
  </si>
  <si>
    <t>OI001485</t>
  </si>
  <si>
    <t>O00859</t>
  </si>
  <si>
    <t>OI001486</t>
  </si>
  <si>
    <t>O00860</t>
  </si>
  <si>
    <t>OI001487</t>
  </si>
  <si>
    <t>OI001488</t>
  </si>
  <si>
    <t>O00861</t>
  </si>
  <si>
    <t>OI001489</t>
  </si>
  <si>
    <t>O00862</t>
  </si>
  <si>
    <t>OI001490</t>
  </si>
  <si>
    <t>OI001491</t>
  </si>
  <si>
    <t>O00863</t>
  </si>
  <si>
    <t>OI001492</t>
  </si>
  <si>
    <t>O00864</t>
  </si>
  <si>
    <t>OI001493</t>
  </si>
  <si>
    <t>OI001494</t>
  </si>
  <si>
    <t>O00865</t>
  </si>
  <si>
    <t>OI001495</t>
  </si>
  <si>
    <t>O00866</t>
  </si>
  <si>
    <t>OI001496</t>
  </si>
  <si>
    <t>O00867</t>
  </si>
  <si>
    <t>OI001497</t>
  </si>
  <si>
    <t>O00868</t>
  </si>
  <si>
    <t>OI001498</t>
  </si>
  <si>
    <t>OI001499</t>
  </si>
  <si>
    <t>OI001500</t>
  </si>
  <si>
    <t>OI001501</t>
  </si>
  <si>
    <t>O00869</t>
  </si>
  <si>
    <t>OI001502</t>
  </si>
  <si>
    <t>OI001503</t>
  </si>
  <si>
    <t>OI001504</t>
  </si>
  <si>
    <t>OI001505</t>
  </si>
  <si>
    <t>O00870</t>
  </si>
  <si>
    <t>OI001506</t>
  </si>
  <si>
    <t>O00871</t>
  </si>
  <si>
    <t>OI001507</t>
  </si>
  <si>
    <t>O00872</t>
  </si>
  <si>
    <t>OI001508</t>
  </si>
  <si>
    <t>OI001509</t>
  </si>
  <si>
    <t>O00873</t>
  </si>
  <si>
    <t>OI001510</t>
  </si>
  <si>
    <t>OI001511</t>
  </si>
  <si>
    <t>OI001512</t>
  </si>
  <si>
    <t>OI001513</t>
  </si>
  <si>
    <t>O00874</t>
  </si>
  <si>
    <t>OI001514</t>
  </si>
  <si>
    <t>O00875</t>
  </si>
  <si>
    <t>OI001515</t>
  </si>
  <si>
    <t>O00876</t>
  </si>
  <si>
    <t>OI001516</t>
  </si>
  <si>
    <t>OI001517</t>
  </si>
  <si>
    <t>O00877</t>
  </si>
  <si>
    <t>OI001518</t>
  </si>
  <si>
    <t>O00878</t>
  </si>
  <si>
    <t>OI001519</t>
  </si>
  <si>
    <t>O00879</t>
  </si>
  <si>
    <t>OI001520</t>
  </si>
  <si>
    <t>OI001521</t>
  </si>
  <si>
    <t>O00880</t>
  </si>
  <si>
    <t>OI001522</t>
  </si>
  <si>
    <t>O00881</t>
  </si>
  <si>
    <t>OI001523</t>
  </si>
  <si>
    <t>OI001524</t>
  </si>
  <si>
    <t>OI001525</t>
  </si>
  <si>
    <t>O00882</t>
  </si>
  <si>
    <t>OI001526</t>
  </si>
  <si>
    <t>OI001527</t>
  </si>
  <si>
    <t>OI001528</t>
  </si>
  <si>
    <t>O00883</t>
  </si>
  <si>
    <t>OI001529</t>
  </si>
  <si>
    <t>O00884</t>
  </si>
  <si>
    <t>OI001530</t>
  </si>
  <si>
    <t>OI001531</t>
  </si>
  <si>
    <t>OI001532</t>
  </si>
  <si>
    <t>OI001533</t>
  </si>
  <si>
    <t>O00885</t>
  </si>
  <si>
    <t>OI001534</t>
  </si>
  <si>
    <t>O00886</t>
  </si>
  <si>
    <t>OI001535</t>
  </si>
  <si>
    <t>O00887</t>
  </si>
  <si>
    <t>OI001536</t>
  </si>
  <si>
    <t>O00888</t>
  </si>
  <si>
    <t>OI001537</t>
  </si>
  <si>
    <t>O00889</t>
  </si>
  <si>
    <t>OI001538</t>
  </si>
  <si>
    <t>OI001539</t>
  </si>
  <si>
    <t>O00890</t>
  </si>
  <si>
    <t>OI001540</t>
  </si>
  <si>
    <t>O00891</t>
  </si>
  <si>
    <t>OI001541</t>
  </si>
  <si>
    <t>O00892</t>
  </si>
  <si>
    <t>OI001542</t>
  </si>
  <si>
    <t>O00893</t>
  </si>
  <si>
    <t>OI001543</t>
  </si>
  <si>
    <t>OI001544</t>
  </si>
  <si>
    <t>O00894</t>
  </si>
  <si>
    <t>OI001545</t>
  </si>
  <si>
    <t>OI001546</t>
  </si>
  <si>
    <t>O00895</t>
  </si>
  <si>
    <t>OI001547</t>
  </si>
  <si>
    <t>OI001548</t>
  </si>
  <si>
    <t>OI001549</t>
  </si>
  <si>
    <t>O00896</t>
  </si>
  <si>
    <t>OI001550</t>
  </si>
  <si>
    <t>OI001551</t>
  </si>
  <si>
    <t>O00897</t>
  </si>
  <si>
    <t>OI001552</t>
  </si>
  <si>
    <t>O00898</t>
  </si>
  <si>
    <t>OI001553</t>
  </si>
  <si>
    <t>OI001554</t>
  </si>
  <si>
    <t>O00899</t>
  </si>
  <si>
    <t>OI001555</t>
  </si>
  <si>
    <t>OI001556</t>
  </si>
  <si>
    <t>OI001557</t>
  </si>
  <si>
    <t>O00900</t>
  </si>
  <si>
    <t>OI001558</t>
  </si>
  <si>
    <t>OI001559</t>
  </si>
  <si>
    <t>order_date</t>
  </si>
  <si>
    <t>status</t>
  </si>
  <si>
    <t>payment_method</t>
  </si>
  <si>
    <t>Returned</t>
  </si>
  <si>
    <t>Net Banking</t>
  </si>
  <si>
    <t>Cancelled</t>
  </si>
  <si>
    <t>COD</t>
  </si>
  <si>
    <t>Delivered</t>
  </si>
  <si>
    <t>UPI</t>
  </si>
  <si>
    <t>Wallet</t>
  </si>
  <si>
    <t>Credit Card</t>
  </si>
  <si>
    <t>Shipped</t>
  </si>
  <si>
    <t>Unknown</t>
  </si>
  <si>
    <t>O00029</t>
  </si>
  <si>
    <t>Processing</t>
  </si>
  <si>
    <t>product_name</t>
  </si>
  <si>
    <t>category</t>
  </si>
  <si>
    <t>unit_price</t>
  </si>
  <si>
    <t>unit_cost</t>
  </si>
  <si>
    <t>stock_qty</t>
  </si>
  <si>
    <t>price_was_imputed</t>
  </si>
  <si>
    <t>Radio Max</t>
  </si>
  <si>
    <t>Electronics</t>
  </si>
  <si>
    <t>Technology Classic</t>
  </si>
  <si>
    <t>Beauty</t>
  </si>
  <si>
    <t>Yard Max</t>
  </si>
  <si>
    <t>Away Plus</t>
  </si>
  <si>
    <t>Skin Classic</t>
  </si>
  <si>
    <t>Rich Classic</t>
  </si>
  <si>
    <t>Books</t>
  </si>
  <si>
    <t>Class Pro</t>
  </si>
  <si>
    <t>Home &amp; Kitchen</t>
  </si>
  <si>
    <t>Agent Plus</t>
  </si>
  <si>
    <t>Machine Plus</t>
  </si>
  <si>
    <t>Series Pro</t>
  </si>
  <si>
    <t>Sports</t>
  </si>
  <si>
    <t>Glass Pro</t>
  </si>
  <si>
    <t>Apparel</t>
  </si>
  <si>
    <t>Always Max</t>
  </si>
  <si>
    <t>Begin Plus</t>
  </si>
  <si>
    <t>Back Lite</t>
  </si>
  <si>
    <t>Arm Lite</t>
  </si>
  <si>
    <t>Could Classic</t>
  </si>
  <si>
    <t>Study Max</t>
  </si>
  <si>
    <t>Enter Classic</t>
  </si>
  <si>
    <t>Open Plus</t>
  </si>
  <si>
    <t>Avoid Lite</t>
  </si>
  <si>
    <t>Paper Classic</t>
  </si>
  <si>
    <t>Term Pro</t>
  </si>
  <si>
    <t>Drive Classic</t>
  </si>
  <si>
    <t>Whether Classic</t>
  </si>
  <si>
    <t>Evening Plus</t>
  </si>
  <si>
    <t>Involve Plus</t>
  </si>
  <si>
    <t>Important Plus</t>
  </si>
  <si>
    <t>Little Max</t>
  </si>
  <si>
    <t>Professor Plus</t>
  </si>
  <si>
    <t>Interview Lite</t>
  </si>
  <si>
    <t>Lead Plus</t>
  </si>
  <si>
    <t>Four Classic</t>
  </si>
  <si>
    <t>Adult Lite</t>
  </si>
  <si>
    <t>Improve Max</t>
  </si>
  <si>
    <t>Report Plus</t>
  </si>
  <si>
    <t>By Classic</t>
  </si>
  <si>
    <t>Nor Classic</t>
  </si>
  <si>
    <t>According Pro</t>
  </si>
  <si>
    <t>Put Plus</t>
  </si>
  <si>
    <t>Service Lite</t>
  </si>
  <si>
    <t>Present Classic</t>
  </si>
  <si>
    <t>At Classic</t>
  </si>
  <si>
    <t>Something Plus</t>
  </si>
  <si>
    <t>Skill Lite</t>
  </si>
  <si>
    <t>Pay Plus</t>
  </si>
  <si>
    <t>Answer Lite</t>
  </si>
  <si>
    <t>School Lite</t>
  </si>
  <si>
    <t>Thus Plus</t>
  </si>
  <si>
    <t>Baby Plus</t>
  </si>
  <si>
    <t>Help Max</t>
  </si>
  <si>
    <t>Without Classic</t>
  </si>
  <si>
    <t>Morning Plus</t>
  </si>
  <si>
    <t>Born Max</t>
  </si>
  <si>
    <t>Figure Plus</t>
  </si>
  <si>
    <t>Stop Classic</t>
  </si>
  <si>
    <t>Rich Plus</t>
  </si>
  <si>
    <t>Fish Max</t>
  </si>
  <si>
    <t>Policy Pro</t>
  </si>
  <si>
    <t>Before Pro</t>
  </si>
  <si>
    <t>Father Pro</t>
  </si>
  <si>
    <t>Southern Lite</t>
  </si>
  <si>
    <t>With Classic</t>
  </si>
  <si>
    <t>Left Classic</t>
  </si>
  <si>
    <t>I Classic</t>
  </si>
  <si>
    <t>Indicate Plus</t>
  </si>
  <si>
    <t>Term Plus</t>
  </si>
  <si>
    <t>Recent Pro</t>
  </si>
  <si>
    <t>Allow Plus</t>
  </si>
  <si>
    <t>Matter Max</t>
  </si>
  <si>
    <t>Close Classic</t>
  </si>
  <si>
    <t>None Lite</t>
  </si>
  <si>
    <t>Discussion Classic</t>
  </si>
  <si>
    <t>Century Plus</t>
  </si>
  <si>
    <t>Skin Lite</t>
  </si>
  <si>
    <t>Include Max</t>
  </si>
  <si>
    <t>Style Lite</t>
  </si>
  <si>
    <t>Subject Max</t>
  </si>
  <si>
    <t>Time Max</t>
  </si>
  <si>
    <t>Offer Lite</t>
  </si>
  <si>
    <t>Find Lite</t>
  </si>
  <si>
    <t>recency</t>
  </si>
  <si>
    <t>frequency</t>
  </si>
  <si>
    <t>monetary</t>
  </si>
  <si>
    <t>R_score</t>
  </si>
  <si>
    <t>F_score</t>
  </si>
  <si>
    <t>M_score</t>
  </si>
  <si>
    <t>RFM_score</t>
  </si>
  <si>
    <t>New Customers</t>
  </si>
  <si>
    <t>Lost</t>
  </si>
  <si>
    <t>Champions</t>
  </si>
  <si>
    <t>Potential Loyalists</t>
  </si>
  <si>
    <t>At Risk</t>
  </si>
  <si>
    <t>line_total</t>
  </si>
  <si>
    <t>Row Labels</t>
  </si>
  <si>
    <t>Grand Total</t>
  </si>
  <si>
    <t>Sum of line_total</t>
  </si>
  <si>
    <t>Count of customer_id</t>
  </si>
  <si>
    <t>2025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</si>
  <si>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</si>
  <si>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</si>
  <si>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</si>
  <si>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</si>
  <si>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</si>
  <si>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</si>
  <si>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</si>
  <si>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</si>
  <si>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</si>
  <si>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</si>
  <si>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2026</t>
  </si>
  <si>
    <t>Jan</t>
  </si>
  <si>
    <t>Feb</t>
  </si>
  <si>
    <t>E-commerce Sales &amp; Customer Performance Summary</t>
  </si>
  <si>
    <t>Total Revenue: ₹76,51,938</t>
  </si>
  <si>
    <t>Total Orders: 899</t>
  </si>
  <si>
    <t>Delivered Rate: 56%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</si>
</sst>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28"/>
      <color theme="9" tint="-0.499984740745262"/>
      <name val="Calibri"/>
      <family val="2"/>
      <scheme val="minor"/>
    </font>
    <font>
      <sz val="20"/>
      <color theme="8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/>
    <xf numFmtId="0" fontId="0" fillId="3" borderId="0" xfId="0" applyNumberFormat="1" applyFill="1"/>
    <xf numFmtId="14" fontId="0" fillId="5" borderId="0" xfId="0" applyNumberFormat="1" applyFill="1" applyAlignment="1">
      <alignment horizontal="left" indent="1"/>
    </xf>
    <xf numFmtId="0" fontId="0" fillId="5" borderId="0" xfId="0" applyNumberFormat="1" applyFill="1"/>
    <xf numFmtId="0" fontId="0" fillId="5" borderId="0" xfId="0" applyFill="1" applyAlignment="1">
      <alignment horizontal="left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69"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Excel Dashboard.xlsx]Pivot_Category!PivotTable1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" lastClr="FFFFFF"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800" b="0" i="0" baseline="0">
                <a:effectLst/>
              </a:rPr>
              <a:t>Revenue by Category</a:t>
            </a:r>
            <a:endParaRPr lang="en-IN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" lastClr="FFFFFF"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>
              <a:solidFill>
                <a:schemeClr val="bg1">
                  <a:lumMod val="65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" lastClr="FFFFFF">
                  <a:lumMod val="6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Pivot_Category!$A$4:$A$10</c:f>
              <c:strCache>
                <c:ptCount val="6"/>
                <c:pt idx="0">
                  <c:v>Apparel</c:v>
                </c:pt>
                <c:pt idx="1">
                  <c:v>Beauty</c:v>
                </c:pt>
                <c:pt idx="2">
                  <c:v>Books</c:v>
                </c:pt>
                <c:pt idx="3">
                  <c:v>Electronics</c:v>
                </c:pt>
                <c:pt idx="4">
                  <c:v>Home &amp; Kitchen</c:v>
                </c:pt>
                <c:pt idx="5">
                  <c:v>Sports</c:v>
                </c:pt>
              </c:strCache>
            </c:strRef>
          </c:cat>
          <c:val>
            <c:numRef>
              <c:f>Pivot_Category!$B$4:$B$10</c:f>
              <c:numCache>
                <c:formatCode>General</c:formatCode>
                <c:ptCount val="6"/>
                <c:pt idx="0">
                  <c:v>1092678.5</c:v>
                </c:pt>
                <c:pt idx="1">
                  <c:v>1481006.0000000002</c:v>
                </c:pt>
                <c:pt idx="2">
                  <c:v>978156.75</c:v>
                </c:pt>
                <c:pt idx="3">
                  <c:v>1367944.2000000002</c:v>
                </c:pt>
                <c:pt idx="4">
                  <c:v>1693539.5</c:v>
                </c:pt>
                <c:pt idx="5">
                  <c:v>1038613.0499999998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FC-45E4-AEEC-51E8B34AC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0509040"/>
        <c:axId val="1940509456"/>
      </c:barChart>
      <c:catAx>
        <c:axId val="194050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509456"/>
        <c:crosses val="autoZero"/>
        <c:auto val="1"/>
        <c:lblAlgn val="ctr"/>
        <c:lblOffset val="100"/>
        <c:noMultiLvlLbl val="0"/>
      </c:catAx>
      <c:valAx>
        <c:axId val="1940509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50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637029746281712"/>
          <c:y val="6.5890930300379125E-2"/>
          <c:w val="0.1941852580927384"/>
          <c:h val="0.174190361621463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6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00206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Excel Dashboard.xlsx]Pivot_TopCustomers!PivotTable2</c:name>
    <c:fmtId val="15"/>
  </c:pivotSource>
  <c:chart>
    <c:autoTitleDeleted val="1"/>
    <c:pivotFmts>
      <c:pivotFmt>
        <c:idx val="0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Pivot_TopCustomers!$B$3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Pivot_TopCustomers!$A$4:$A$14</c:f>
              <c:strCache>
                <c:ptCount val="10"/>
                <c:pt idx="0">
                  <c:v>C0009</c:v>
                </c:pt>
                <c:pt idx="1">
                  <c:v>C0192</c:v>
                </c:pt>
                <c:pt idx="2">
                  <c:v>C0053</c:v>
                </c:pt>
                <c:pt idx="3">
                  <c:v>C0122</c:v>
                </c:pt>
                <c:pt idx="4">
                  <c:v>C0263</c:v>
                </c:pt>
                <c:pt idx="5">
                  <c:v>C0167</c:v>
                </c:pt>
                <c:pt idx="6">
                  <c:v>C0185</c:v>
                </c:pt>
                <c:pt idx="7">
                  <c:v>C0204</c:v>
                </c:pt>
                <c:pt idx="8">
                  <c:v>C0052</c:v>
                </c:pt>
                <c:pt idx="9">
                  <c:v>C0155</c:v>
                </c:pt>
              </c:strCache>
            </c:strRef>
          </c:cat>
          <c:val>
            <c:numRef>
              <c:f>Pivot_TopCustomers!$B$4:$B$14</c:f>
              <c:numCache>
                <c:formatCode>General</c:formatCode>
                <c:ptCount val="10"/>
                <c:pt idx="0">
                  <c:v>103834.3</c:v>
                </c:pt>
                <c:pt idx="1">
                  <c:v>93445.9</c:v>
                </c:pt>
                <c:pt idx="2">
                  <c:v>76791.5</c:v>
                </c:pt>
                <c:pt idx="3">
                  <c:v>76273.2</c:v>
                </c:pt>
                <c:pt idx="4">
                  <c:v>76140.399999999994</c:v>
                </c:pt>
                <c:pt idx="5">
                  <c:v>70155.5</c:v>
                </c:pt>
                <c:pt idx="6">
                  <c:v>69856.5</c:v>
                </c:pt>
                <c:pt idx="7">
                  <c:v>68005.05</c:v>
                </c:pt>
                <c:pt idx="8">
                  <c:v>67353</c:v>
                </c:pt>
                <c:pt idx="9">
                  <c:v>66569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A2-45CA-A2BF-6D2FC085B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2040208"/>
        <c:axId val="282039376"/>
      </c:barChart>
      <c:catAx>
        <c:axId val="2820402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039376"/>
        <c:crosses val="autoZero"/>
        <c:auto val="1"/>
        <c:lblAlgn val="ctr"/>
        <c:lblOffset val="100"/>
        <c:noMultiLvlLbl val="0"/>
      </c:catAx>
      <c:valAx>
        <c:axId val="28203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04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6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00206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6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Excel Dashboard.xlsx]Pivot_RFM!PivotTable3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Customer Segments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"/>
        <c:spPr>
          <a:solidFill>
            <a:schemeClr val="accent1">
              <a:lumMod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tx2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4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4">
              <a:lumMod val="60000"/>
              <a:lumOff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>
              <a:lumMod val="40000"/>
              <a:lumOff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Pivot_RFM!$B$3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888E-41EB-B5F6-4ADA6A59A84D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E-888E-41EB-B5F6-4ADA6A59A84D}"/>
              </c:ext>
            </c:extLst>
          </c:dPt>
          <c:dPt>
            <c:idx val="2"/>
            <c:bubble3D val="0"/>
            <c:spPr>
              <a:solidFill>
                <a:schemeClr val="accent4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888E-41EB-B5F6-4ADA6A59A84D}"/>
              </c:ext>
            </c:extLst>
          </c:dPt>
          <c:dPt>
            <c:idx val="3"/>
            <c:bubble3D val="0"/>
            <c:spPr>
              <a:solidFill>
                <a:schemeClr val="tx2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88E-41EB-B5F6-4ADA6A59A84D}"/>
              </c:ext>
            </c:extLst>
          </c:dPt>
          <c:dPt>
            <c:idx val="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888E-41EB-B5F6-4ADA6A59A84D}"/>
              </c:ext>
            </c:extLst>
          </c:dPt>
          <c:cat>
            <c:strRef>
              <c:f>Pivot_RFM!$A$4:$A$9</c:f>
              <c:strCache>
                <c:ptCount val="5"/>
                <c:pt idx="0">
                  <c:v>At Risk</c:v>
                </c:pt>
                <c:pt idx="1">
                  <c:v>Champions</c:v>
                </c:pt>
                <c:pt idx="2">
                  <c:v>Lost</c:v>
                </c:pt>
                <c:pt idx="3">
                  <c:v>New Customers</c:v>
                </c:pt>
                <c:pt idx="4">
                  <c:v>Potential Loyalists</c:v>
                </c:pt>
              </c:strCache>
            </c:strRef>
          </c:cat>
          <c:val>
            <c:numRef>
              <c:f>Pivot_RFM!$B$4:$B$9</c:f>
              <c:numCache>
                <c:formatCode>General</c:formatCode>
                <c:ptCount val="5"/>
                <c:pt idx="0">
                  <c:v>23</c:v>
                </c:pt>
                <c:pt idx="1">
                  <c:v>55</c:v>
                </c:pt>
                <c:pt idx="2">
                  <c:v>72</c:v>
                </c:pt>
                <c:pt idx="3">
                  <c:v>30</c:v>
                </c:pt>
                <c:pt idx="4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E-41EB-B5F6-4ADA6A59A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6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Excel Dashboard.xlsx]Pivot_MonthlyRevenue!PivotTable4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baseline="0">
                <a:effectLst/>
              </a:rPr>
              <a:t>Monthly Revenue Trend</a:t>
            </a:r>
            <a:endParaRPr lang="en-IN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>
        <c:manualLayout>
          <c:xMode val="edge"/>
          <c:yMode val="edge"/>
          <c:x val="0.28741098093269007"/>
          <c:y val="3.024942021944581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cap="none" baseline="0">
              <a:solidFill>
                <a:sysClr val="window" lastClr="FFFFFF">
                  <a:lumMod val="8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Pivot_MonthlyRevenue!$B$3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Pivot_MonthlyRevenue!$A$4:$A$25</c:f>
              <c:multiLvlStrCache>
                <c:ptCount val="19"/>
                <c:lvl>
                  <c:pt idx="0">
                    <c:v>Mar</c:v>
                  </c:pt>
                  <c:pt idx="1">
                    <c:v>Apr</c:v>
                  </c:pt>
                  <c:pt idx="2">
                    <c:v>May</c:v>
                  </c:pt>
                  <c:pt idx="3">
                    <c:v>Jun</c:v>
                  </c:pt>
                  <c:pt idx="4">
                    <c:v>Jul</c:v>
                  </c:pt>
                  <c:pt idx="5">
                    <c:v>Aug</c:v>
                  </c:pt>
                  <c:pt idx="6">
                    <c:v>Sep</c:v>
                  </c:pt>
                  <c:pt idx="7">
                    <c:v>Oct</c:v>
                  </c:pt>
                  <c:pt idx="8">
                    <c:v>Nov</c:v>
                  </c:pt>
                  <c:pt idx="9">
                    <c:v>Dec</c:v>
                  </c:pt>
                  <c:pt idx="10">
                    <c:v>Jan</c:v>
                  </c:pt>
                  <c:pt idx="11">
                    <c:v>Feb</c:v>
                  </c:pt>
                  <c:pt idx="12">
                    <c:v>Mar</c:v>
                  </c:pt>
                  <c:pt idx="13">
                    <c:v>Apr</c:v>
                  </c:pt>
                  <c:pt idx="14">
                    <c:v>May</c:v>
                  </c:pt>
                  <c:pt idx="15">
                    <c:v>Jun</c:v>
                  </c:pt>
                  <c:pt idx="16">
                    <c:v>Jul</c:v>
                  </c:pt>
                  <c:pt idx="17">
                    <c:v>Aug</c:v>
                  </c:pt>
                  <c:pt idx="18">
                    <c:v>Sep</c:v>
                  </c:pt>
                </c:lvl>
                <c:lvl>
                  <c:pt idx="0">
                    <c:v>2025</c:v>
                  </c:pt>
                  <c:pt idx="10">
                    <c:v>2026</c:v>
                  </c:pt>
                </c:lvl>
              </c:multiLvlStrCache>
            </c:multiLvlStrRef>
          </c:cat>
          <c:val>
            <c:numRef>
              <c:f>Pivot_MonthlyRevenue!$B$4:$B$25</c:f>
              <c:numCache>
                <c:formatCode>General</c:formatCode>
                <c:ptCount val="19"/>
                <c:pt idx="0">
                  <c:v>203770.5</c:v>
                </c:pt>
                <c:pt idx="1">
                  <c:v>416421</c:v>
                </c:pt>
                <c:pt idx="2">
                  <c:v>402497.6</c:v>
                </c:pt>
                <c:pt idx="3">
                  <c:v>454569.4</c:v>
                </c:pt>
                <c:pt idx="4">
                  <c:v>467131</c:v>
                </c:pt>
                <c:pt idx="5">
                  <c:v>579476.85</c:v>
                </c:pt>
                <c:pt idx="6">
                  <c:v>411700.8</c:v>
                </c:pt>
                <c:pt idx="7">
                  <c:v>517817.7</c:v>
                </c:pt>
                <c:pt idx="8">
                  <c:v>296917.3</c:v>
                </c:pt>
                <c:pt idx="9">
                  <c:v>568416.75</c:v>
                </c:pt>
                <c:pt idx="10">
                  <c:v>444987.14999999991</c:v>
                </c:pt>
                <c:pt idx="11">
                  <c:v>380897.5</c:v>
                </c:pt>
                <c:pt idx="12">
                  <c:v>518985.54999999993</c:v>
                </c:pt>
                <c:pt idx="13">
                  <c:v>413045.1</c:v>
                </c:pt>
                <c:pt idx="14">
                  <c:v>409956.8</c:v>
                </c:pt>
                <c:pt idx="15">
                  <c:v>383199.9</c:v>
                </c:pt>
                <c:pt idx="16">
                  <c:v>323977.3</c:v>
                </c:pt>
                <c:pt idx="17">
                  <c:v>348412.10000000003</c:v>
                </c:pt>
                <c:pt idx="18">
                  <c:v>109757.7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82-4724-AD10-D5C82B33D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8144400"/>
        <c:axId val="1298141904"/>
      </c:lineChart>
      <c:catAx>
        <c:axId val="12981444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141904"/>
        <c:crosses val="autoZero"/>
        <c:auto val="1"/>
        <c:lblAlgn val="ctr"/>
        <c:lblOffset val="100"/>
        <c:noMultiLvlLbl val="0"/>
      </c:catAx>
      <c:valAx>
        <c:axId val="12981419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14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Excel Dashboard.xlsx]Pivot_MonthlyRevenue!PivotTable4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none" baseline="0"/>
              <a:t>Monthly Revenue Trend</a:t>
            </a:r>
          </a:p>
          <a:p>
            <a:pPr>
              <a:defRPr/>
            </a:pPr>
            <a:endParaRPr lang="en-US" b="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Pivot_MonthlyRevenue!$B$3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Pivot_MonthlyRevenue!$A$4:$A$25</c:f>
              <c:multiLvlStrCache>
                <c:ptCount val="19"/>
                <c:lvl>
                  <c:pt idx="0">
                    <c:v>Mar</c:v>
                  </c:pt>
                  <c:pt idx="1">
                    <c:v>Apr</c:v>
                  </c:pt>
                  <c:pt idx="2">
                    <c:v>May</c:v>
                  </c:pt>
                  <c:pt idx="3">
                    <c:v>Jun</c:v>
                  </c:pt>
                  <c:pt idx="4">
                    <c:v>Jul</c:v>
                  </c:pt>
                  <c:pt idx="5">
                    <c:v>Aug</c:v>
                  </c:pt>
                  <c:pt idx="6">
                    <c:v>Sep</c:v>
                  </c:pt>
                  <c:pt idx="7">
                    <c:v>Oct</c:v>
                  </c:pt>
                  <c:pt idx="8">
                    <c:v>Nov</c:v>
                  </c:pt>
                  <c:pt idx="9">
                    <c:v>Dec</c:v>
                  </c:pt>
                  <c:pt idx="10">
                    <c:v>Jan</c:v>
                  </c:pt>
                  <c:pt idx="11">
                    <c:v>Feb</c:v>
                  </c:pt>
                  <c:pt idx="12">
                    <c:v>Mar</c:v>
                  </c:pt>
                  <c:pt idx="13">
                    <c:v>Apr</c:v>
                  </c:pt>
                  <c:pt idx="14">
                    <c:v>May</c:v>
                  </c:pt>
                  <c:pt idx="15">
                    <c:v>Jun</c:v>
                  </c:pt>
                  <c:pt idx="16">
                    <c:v>Jul</c:v>
                  </c:pt>
                  <c:pt idx="17">
                    <c:v>Aug</c:v>
                  </c:pt>
                  <c:pt idx="18">
                    <c:v>Sep</c:v>
                  </c:pt>
                </c:lvl>
                <c:lvl>
                  <c:pt idx="0">
                    <c:v>2025</c:v>
                  </c:pt>
                  <c:pt idx="10">
                    <c:v>2026</c:v>
                  </c:pt>
                </c:lvl>
              </c:multiLvlStrCache>
            </c:multiLvlStrRef>
          </c:cat>
          <c:val>
            <c:numRef>
              <c:f>Pivot_MonthlyRevenue!$B$4:$B$25</c:f>
              <c:numCache>
                <c:formatCode>General</c:formatCode>
                <c:ptCount val="19"/>
                <c:pt idx="0">
                  <c:v>203770.5</c:v>
                </c:pt>
                <c:pt idx="1">
                  <c:v>416421</c:v>
                </c:pt>
                <c:pt idx="2">
                  <c:v>402497.6</c:v>
                </c:pt>
                <c:pt idx="3">
                  <c:v>454569.4</c:v>
                </c:pt>
                <c:pt idx="4">
                  <c:v>467131</c:v>
                </c:pt>
                <c:pt idx="5">
                  <c:v>579476.85</c:v>
                </c:pt>
                <c:pt idx="6">
                  <c:v>411700.8</c:v>
                </c:pt>
                <c:pt idx="7">
                  <c:v>517817.7</c:v>
                </c:pt>
                <c:pt idx="8">
                  <c:v>296917.3</c:v>
                </c:pt>
                <c:pt idx="9">
                  <c:v>568416.75</c:v>
                </c:pt>
                <c:pt idx="10">
                  <c:v>444987.14999999991</c:v>
                </c:pt>
                <c:pt idx="11">
                  <c:v>380897.5</c:v>
                </c:pt>
                <c:pt idx="12">
                  <c:v>518985.54999999993</c:v>
                </c:pt>
                <c:pt idx="13">
                  <c:v>413045.1</c:v>
                </c:pt>
                <c:pt idx="14">
                  <c:v>409956.8</c:v>
                </c:pt>
                <c:pt idx="15">
                  <c:v>383199.9</c:v>
                </c:pt>
                <c:pt idx="16">
                  <c:v>323977.3</c:v>
                </c:pt>
                <c:pt idx="17">
                  <c:v>348412.10000000003</c:v>
                </c:pt>
                <c:pt idx="18">
                  <c:v>109757.7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47-4810-810A-FBBDDFF32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8144400"/>
        <c:axId val="1298141904"/>
      </c:lineChart>
      <c:catAx>
        <c:axId val="12981444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141904"/>
        <c:crosses val="autoZero"/>
        <c:auto val="1"/>
        <c:lblAlgn val="ctr"/>
        <c:lblOffset val="100"/>
        <c:noMultiLvlLbl val="0"/>
      </c:catAx>
      <c:valAx>
        <c:axId val="12981419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14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Excel Dashboard.xlsx]Pivot_RFM!PivotTable3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0" i="0" u="none" strike="noStrike" baseline="0"/>
              <a:t>Customer Segments</a:t>
            </a:r>
            <a:endParaRPr lang="en-US" sz="18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"/>
        <c:spPr>
          <a:solidFill>
            <a:schemeClr val="accent1">
              <a:lumMod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tx2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4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4">
              <a:lumMod val="60000"/>
              <a:lumOff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>
              <a:lumMod val="40000"/>
              <a:lumOff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7"/>
        <c:spPr>
          <a:solidFill>
            <a:schemeClr val="accent1">
              <a:lumMod val="40000"/>
              <a:lumOff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4">
              <a:lumMod val="60000"/>
              <a:lumOff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4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tx2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>
              <a:lumMod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3"/>
        <c:spPr>
          <a:solidFill>
            <a:schemeClr val="accent1">
              <a:lumMod val="40000"/>
              <a:lumOff val="6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4">
              <a:lumMod val="60000"/>
              <a:lumOff val="4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4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tx2">
              <a:lumMod val="7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>
              <a:lumMod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Pivot_RFM!$B$3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2BE-44D2-8E73-39C62DDDD7AD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2BE-44D2-8E73-39C62DDDD7AD}"/>
              </c:ext>
            </c:extLst>
          </c:dPt>
          <c:dPt>
            <c:idx val="2"/>
            <c:bubble3D val="0"/>
            <c:spPr>
              <a:solidFill>
                <a:schemeClr val="accent4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2BE-44D2-8E73-39C62DDDD7AD}"/>
              </c:ext>
            </c:extLst>
          </c:dPt>
          <c:dPt>
            <c:idx val="3"/>
            <c:bubble3D val="0"/>
            <c:spPr>
              <a:solidFill>
                <a:schemeClr val="tx2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2BE-44D2-8E73-39C62DDDD7AD}"/>
              </c:ext>
            </c:extLst>
          </c:dPt>
          <c:dPt>
            <c:idx val="4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2BE-44D2-8E73-39C62DDDD7AD}"/>
              </c:ext>
            </c:extLst>
          </c:dPt>
          <c:cat>
            <c:strRef>
              <c:f>Pivot_RFM!$A$4:$A$9</c:f>
              <c:strCache>
                <c:ptCount val="5"/>
                <c:pt idx="0">
                  <c:v>At Risk</c:v>
                </c:pt>
                <c:pt idx="1">
                  <c:v>Champions</c:v>
                </c:pt>
                <c:pt idx="2">
                  <c:v>Lost</c:v>
                </c:pt>
                <c:pt idx="3">
                  <c:v>New Customers</c:v>
                </c:pt>
                <c:pt idx="4">
                  <c:v>Potential Loyalists</c:v>
                </c:pt>
              </c:strCache>
            </c:strRef>
          </c:cat>
          <c:val>
            <c:numRef>
              <c:f>Pivot_RFM!$B$4:$B$9</c:f>
              <c:numCache>
                <c:formatCode>General</c:formatCode>
                <c:ptCount val="5"/>
                <c:pt idx="0">
                  <c:v>23</c:v>
                </c:pt>
                <c:pt idx="1">
                  <c:v>55</c:v>
                </c:pt>
                <c:pt idx="2">
                  <c:v>72</c:v>
                </c:pt>
                <c:pt idx="3">
                  <c:v>30</c:v>
                </c:pt>
                <c:pt idx="4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2BE-44D2-8E73-39C62DDDD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6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Excel Dashboard.xlsx]Pivot_TopCustomers!PivotTable2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Customers by Spend </a:t>
            </a:r>
            <a:endParaRPr lang="en-US"/>
          </a:p>
        </c:rich>
      </c:tx>
      <c:layout>
        <c:manualLayout>
          <c:xMode val="edge"/>
          <c:yMode val="edge"/>
          <c:x val="0.29117145309086151"/>
          <c:y val="6.55751426205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6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Pivot_TopCustomers!$B$3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Pivot_TopCustomers!$A$4:$A$14</c:f>
              <c:strCache>
                <c:ptCount val="10"/>
                <c:pt idx="0">
                  <c:v>C0009</c:v>
                </c:pt>
                <c:pt idx="1">
                  <c:v>C0192</c:v>
                </c:pt>
                <c:pt idx="2">
                  <c:v>C0053</c:v>
                </c:pt>
                <c:pt idx="3">
                  <c:v>C0122</c:v>
                </c:pt>
                <c:pt idx="4">
                  <c:v>C0263</c:v>
                </c:pt>
                <c:pt idx="5">
                  <c:v>C0167</c:v>
                </c:pt>
                <c:pt idx="6">
                  <c:v>C0185</c:v>
                </c:pt>
                <c:pt idx="7">
                  <c:v>C0204</c:v>
                </c:pt>
                <c:pt idx="8">
                  <c:v>C0052</c:v>
                </c:pt>
                <c:pt idx="9">
                  <c:v>C0155</c:v>
                </c:pt>
              </c:strCache>
            </c:strRef>
          </c:cat>
          <c:val>
            <c:numRef>
              <c:f>Pivot_TopCustomers!$B$4:$B$14</c:f>
              <c:numCache>
                <c:formatCode>General</c:formatCode>
                <c:ptCount val="10"/>
                <c:pt idx="0">
                  <c:v>103834.3</c:v>
                </c:pt>
                <c:pt idx="1">
                  <c:v>93445.9</c:v>
                </c:pt>
                <c:pt idx="2">
                  <c:v>76791.5</c:v>
                </c:pt>
                <c:pt idx="3">
                  <c:v>76273.2</c:v>
                </c:pt>
                <c:pt idx="4">
                  <c:v>76140.399999999994</c:v>
                </c:pt>
                <c:pt idx="5">
                  <c:v>70155.5</c:v>
                </c:pt>
                <c:pt idx="6">
                  <c:v>69856.5</c:v>
                </c:pt>
                <c:pt idx="7">
                  <c:v>68005.05</c:v>
                </c:pt>
                <c:pt idx="8">
                  <c:v>67353</c:v>
                </c:pt>
                <c:pt idx="9">
                  <c:v>66569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D7-4446-A13B-11A4C5EB8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2040208"/>
        <c:axId val="282039376"/>
      </c:barChart>
      <c:catAx>
        <c:axId val="2820402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039376"/>
        <c:crosses val="autoZero"/>
        <c:auto val="1"/>
        <c:lblAlgn val="ctr"/>
        <c:lblOffset val="100"/>
        <c:noMultiLvlLbl val="0"/>
      </c:catAx>
      <c:valAx>
        <c:axId val="28203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04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6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00206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6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Excel Dashboard.xlsx]Pivot_Category!PivotTable1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6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Pivot_Category!$A$4:$A$10</c:f>
              <c:strCache>
                <c:ptCount val="6"/>
                <c:pt idx="0">
                  <c:v>Apparel</c:v>
                </c:pt>
                <c:pt idx="1">
                  <c:v>Beauty</c:v>
                </c:pt>
                <c:pt idx="2">
                  <c:v>Books</c:v>
                </c:pt>
                <c:pt idx="3">
                  <c:v>Electronics</c:v>
                </c:pt>
                <c:pt idx="4">
                  <c:v>Home &amp; Kitchen</c:v>
                </c:pt>
                <c:pt idx="5">
                  <c:v>Sports</c:v>
                </c:pt>
              </c:strCache>
            </c:strRef>
          </c:cat>
          <c:val>
            <c:numRef>
              <c:f>Pivot_Category!$B$4:$B$10</c:f>
              <c:numCache>
                <c:formatCode>General</c:formatCode>
                <c:ptCount val="6"/>
                <c:pt idx="0">
                  <c:v>1092678.5</c:v>
                </c:pt>
                <c:pt idx="1">
                  <c:v>1481006.0000000002</c:v>
                </c:pt>
                <c:pt idx="2">
                  <c:v>978156.75</c:v>
                </c:pt>
                <c:pt idx="3">
                  <c:v>1367944.2000000002</c:v>
                </c:pt>
                <c:pt idx="4">
                  <c:v>1693539.5</c:v>
                </c:pt>
                <c:pt idx="5">
                  <c:v>1038613.0499999998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D1-4E31-9BD5-B59C95E73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0509040"/>
        <c:axId val="1940509456"/>
      </c:barChart>
      <c:catAx>
        <c:axId val="194050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509456"/>
        <c:crosses val="autoZero"/>
        <c:auto val="1"/>
        <c:lblAlgn val="ctr"/>
        <c:lblOffset val="100"/>
        <c:noMultiLvlLbl val="0"/>
      </c:catAx>
      <c:valAx>
        <c:axId val="1940509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50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637029746281712"/>
          <c:y val="6.5890930300379125E-2"/>
          <c:w val="0.1941852580927384"/>
          <c:h val="0.174190361621463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6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00206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</xdr:colOff>
      <xdr:row>0</xdr:row>
      <xdr:rowOff>57150</xdr:rowOff>
    </xdr:from>
    <xdr:to>
      <xdr:col>10</xdr:col>
      <xdr:colOff>167640</xdr:colOff>
      <xdr:row>16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487680</xdr:colOff>
      <xdr:row>1</xdr:row>
      <xdr:rowOff>57150</xdr:rowOff>
    </xdr:from>
    <xdr:to>
      <xdr:col>10</xdr:col>
      <xdr:colOff>182880</xdr:colOff>
      <xdr:row>16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0.27833</cdr:x>
      <cdr:y>0.03056</cdr:y>
    </cdr:from>
    <cdr:to>
      <cdr:x>0.82505</cdr:x>
      <cdr:y>0.16168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272540" y="83820"/>
          <a:ext cx="2499577" cy="359695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72390</xdr:colOff>
      <xdr:row>0</xdr:row>
      <xdr:rowOff>49530</xdr:rowOff>
    </xdr:from>
    <xdr:to>
      <xdr:col>9</xdr:col>
      <xdr:colOff>377190</xdr:colOff>
      <xdr:row>15</xdr:row>
      <xdr:rowOff>49530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194310</xdr:colOff>
      <xdr:row>0</xdr:row>
      <xdr:rowOff>95250</xdr:rowOff>
    </xdr:from>
    <xdr:to>
      <xdr:col>11</xdr:col>
      <xdr:colOff>236220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583602</xdr:colOff>
      <xdr:row>27</xdr:row>
      <xdr:rowOff>36307</xdr:rowOff>
    </xdr:from>
    <xdr:to>
      <xdr:col>19</xdr:col>
      <xdr:colOff>20395</xdr:colOff>
      <xdr:row>45</xdr:row>
      <xdr:rowOff>17257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67235</xdr:colOff>
      <xdr:row>10</xdr:row>
      <xdr:rowOff>44823</xdr:rowOff>
    </xdr:from>
    <xdr:to>
      <xdr:col>19</xdr:col>
      <xdr:colOff>11205</xdr:colOff>
      <xdr:row>25</xdr:row>
      <xdr:rowOff>98611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112058</xdr:colOff>
      <xdr:row>27</xdr:row>
      <xdr:rowOff>44823</xdr:rowOff>
    </xdr:from>
    <xdr:to>
      <xdr:col>9</xdr:col>
      <xdr:colOff>44823</xdr:colOff>
      <xdr:row>45</xdr:row>
      <xdr:rowOff>67236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100853</xdr:colOff>
      <xdr:row>10</xdr:row>
      <xdr:rowOff>33618</xdr:rowOff>
    </xdr:from>
    <xdr:to>
      <xdr:col>9</xdr:col>
      <xdr:colOff>22411</xdr:colOff>
      <xdr:row>25</xdr:row>
      <xdr:rowOff>89647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286.100330324072" createdVersion="6" refreshedVersion="6" minRefreshableVersion="3" recordCount="1556">
  <cacheSource type="worksheet">
    <worksheetSource name="order_items_clean"/>
  </cacheSource>
  <cacheFields count="12">
    <cacheField name="order_item_id" numFmtId="0">
      <sharedItems/>
    </cacheField>
    <cacheField name="order_id" numFmtId="0">
      <sharedItems/>
    </cacheField>
    <cacheField name="product_id" numFmtId="0">
      <sharedItems/>
    </cacheField>
    <cacheField name="quantity" numFmtId="0">
      <sharedItems containsSemiMixedTypes="0" containsString="0" containsNumber="1" containsInteger="1" minValue="1" maxValue="5"/>
    </cacheField>
    <cacheField name="discount_pct" numFmtId="0">
      <sharedItems containsSemiMixedTypes="0" containsString="0" containsNumber="1" minValue="0" maxValue="0.2"/>
    </cacheField>
    <cacheField name="quantity_was_imputed" numFmtId="0">
      <sharedItems/>
    </cacheField>
    <cacheField name="unit_price" numFmtId="0">
      <sharedItems containsSemiMixedTypes="0" containsString="0" containsNumber="1" containsInteger="1" minValue="99" maxValue="5550"/>
    </cacheField>
    <cacheField name="category" numFmtId="0">
      <sharedItems count="6">
        <s v="Books"/>
        <s v="Sports"/>
        <s v="Apparel"/>
        <s v="Home &amp; Kitchen"/>
        <s v="Electronics"/>
        <s v="Beauty"/>
      </sharedItems>
    </cacheField>
    <cacheField name="line_total" numFmtId="0">
      <sharedItems containsSemiMixedTypes="0" containsString="0" containsNumber="1" minValue="79.2" maxValue="27750"/>
    </cacheField>
    <cacheField name="order_date" numFmtId="14">
      <sharedItems containsSemiMixedTypes="0" containsNonDate="0" containsDate="1" containsString="0" minDate="2025-03-18T00:00:00" maxDate="2026-09-17T00:00:00" count="448">
        <d v="2026-08-26T00:00:00"/>
        <d v="2025-06-04T00:00:00"/>
        <d v="2026-03-24T00:00:00"/>
        <d v="2026-07-31T00:00:00"/>
        <d v="2026-05-27T00:00:00"/>
        <d v="2026-04-21T00:00:00"/>
        <d v="2025-10-08T00:00:00"/>
        <d v="2026-08-20T00:00:00"/>
        <d v="2026-01-15T00:00:00"/>
        <d v="2026-01-16T00:00:00"/>
        <d v="2025-05-24T00:00:00"/>
        <d v="2025-03-20T00:00:00"/>
        <d v="2026-02-07T00:00:00"/>
        <d v="2026-01-06T00:00:00"/>
        <d v="2026-08-18T00:00:00"/>
        <d v="2025-08-31T00:00:00"/>
        <d v="2026-05-02T00:00:00"/>
        <d v="2026-07-26T00:00:00"/>
        <d v="2025-09-22T00:00:00"/>
        <d v="2025-10-30T00:00:00"/>
        <d v="2026-03-06T00:00:00"/>
        <d v="2025-12-23T00:00:00"/>
        <d v="2025-06-14T00:00:00"/>
        <d v="2025-07-16T00:00:00"/>
        <d v="2026-06-18T00:00:00"/>
        <d v="2025-07-02T00:00:00"/>
        <d v="2025-06-25T00:00:00"/>
        <d v="2026-05-30T00:00:00"/>
        <d v="2026-06-27T00:00:00"/>
        <d v="2026-08-10T00:00:00"/>
        <d v="2026-09-13T00:00:00"/>
        <d v="2025-11-25T00:00:00"/>
        <d v="2026-01-13T00:00:00"/>
        <d v="2025-08-24T00:00:00"/>
        <d v="2025-04-23T00:00:00"/>
        <d v="2025-05-10T00:00:00"/>
        <d v="2026-04-19T00:00:00"/>
        <d v="2025-12-09T00:00:00"/>
        <d v="2025-09-15T00:00:00"/>
        <d v="2025-05-27T00:00:00"/>
        <d v="2026-03-12T00:00:00"/>
        <d v="2025-05-11T00:00:00"/>
        <d v="2026-02-20T00:00:00"/>
        <d v="2026-07-24T00:00:00"/>
        <d v="2025-09-08T00:00:00"/>
        <d v="2025-11-19T00:00:00"/>
        <d v="2026-02-18T00:00:00"/>
        <d v="2025-09-01T00:00:00"/>
        <d v="2026-02-01T00:00:00"/>
        <d v="2026-01-21T00:00:00"/>
        <d v="2025-10-03T00:00:00"/>
        <d v="2025-09-07T00:00:00"/>
        <d v="2025-11-07T00:00:00"/>
        <d v="2025-07-30T00:00:00"/>
        <d v="2025-07-17T00:00:00"/>
        <d v="2026-04-27T00:00:00"/>
        <d v="2025-11-11T00:00:00"/>
        <d v="2026-06-21T00:00:00"/>
        <d v="2025-05-30T00:00:00"/>
        <d v="2026-04-23T00:00:00"/>
        <d v="2026-07-12T00:00:00"/>
        <d v="2025-11-26T00:00:00"/>
        <d v="2025-09-30T00:00:00"/>
        <d v="2026-01-14T00:00:00"/>
        <d v="2025-06-22T00:00:00"/>
        <d v="2026-02-13T00:00:00"/>
        <d v="2026-06-22T00:00:00"/>
        <d v="2026-07-01T00:00:00"/>
        <d v="2025-06-02T00:00:00"/>
        <d v="2026-01-07T00:00:00"/>
        <d v="2025-08-09T00:00:00"/>
        <d v="2026-07-16T00:00:00"/>
        <d v="2025-04-28T00:00:00"/>
        <d v="2025-03-28T00:00:00"/>
        <d v="2025-12-20T00:00:00"/>
        <d v="2025-04-04T00:00:00"/>
        <d v="2026-01-30T00:00:00"/>
        <d v="2025-10-26T00:00:00"/>
        <d v="2026-02-04T00:00:00"/>
        <d v="2026-07-27T00:00:00"/>
        <d v="2026-01-09T00:00:00"/>
        <d v="2026-09-16T00:00:00"/>
        <d v="2025-12-01T00:00:00"/>
        <d v="2026-05-16T00:00:00"/>
        <d v="2025-10-04T00:00:00"/>
        <d v="2025-07-18T00:00:00"/>
        <d v="2026-05-15T00:00:00"/>
        <d v="2025-11-27T00:00:00"/>
        <d v="2025-12-22T00:00:00"/>
        <d v="2025-10-21T00:00:00"/>
        <d v="2025-12-18T00:00:00"/>
        <d v="2026-03-16T00:00:00"/>
        <d v="2026-06-25T00:00:00"/>
        <d v="2026-02-17T00:00:00"/>
        <d v="2025-06-16T00:00:00"/>
        <d v="2025-12-24T00:00:00"/>
        <d v="2025-11-17T00:00:00"/>
        <d v="2025-06-24T00:00:00"/>
        <d v="2026-08-19T00:00:00"/>
        <d v="2026-03-14T00:00:00"/>
        <d v="2026-08-30T00:00:00"/>
        <d v="2026-04-25T00:00:00"/>
        <d v="2025-12-07T00:00:00"/>
        <d v="2025-07-15T00:00:00"/>
        <d v="2025-12-10T00:00:00"/>
        <d v="2025-04-21T00:00:00"/>
        <d v="2025-10-06T00:00:00"/>
        <d v="2025-04-10T00:00:00"/>
        <d v="2025-07-09T00:00:00"/>
        <d v="2026-07-28T00:00:00"/>
        <d v="2025-10-01T00:00:00"/>
        <d v="2025-11-30T00:00:00"/>
        <d v="2025-11-22T00:00:00"/>
        <d v="2025-04-12T00:00:00"/>
        <d v="2026-09-06T00:00:00"/>
        <d v="2025-09-11T00:00:00"/>
        <d v="2026-04-07T00:00:00"/>
        <d v="2025-12-28T00:00:00"/>
        <d v="2026-06-15T00:00:00"/>
        <d v="2026-01-10T00:00:00"/>
        <d v="2025-06-21T00:00:00"/>
        <d v="2026-03-11T00:00:00"/>
        <d v="2025-12-26T00:00:00"/>
        <d v="2025-10-10T00:00:00"/>
        <d v="2025-12-25T00:00:00"/>
        <d v="2025-09-27T00:00:00"/>
        <d v="2026-07-06T00:00:00"/>
        <d v="2026-02-12T00:00:00"/>
        <d v="2025-04-29T00:00:00"/>
        <d v="2026-03-05T00:00:00"/>
        <d v="2025-07-11T00:00:00"/>
        <d v="2025-06-28T00:00:00"/>
        <d v="2025-10-02T00:00:00"/>
        <d v="2026-04-15T00:00:00"/>
        <d v="2025-05-21T00:00:00"/>
        <d v="2025-07-22T00:00:00"/>
        <d v="2026-06-05T00:00:00"/>
        <d v="2026-04-16T00:00:00"/>
        <d v="2025-12-06T00:00:00"/>
        <d v="2025-12-05T00:00:00"/>
        <d v="2026-06-17T00:00:00"/>
        <d v="2025-03-30T00:00:00"/>
        <d v="2026-01-26T00:00:00"/>
        <d v="2026-02-25T00:00:00"/>
        <d v="2025-04-08T00:00:00"/>
        <d v="2026-01-25T00:00:00"/>
        <d v="2025-04-17T00:00:00"/>
        <d v="2025-08-06T00:00:00"/>
        <d v="2026-08-25T00:00:00"/>
        <d v="2026-02-09T00:00:00"/>
        <d v="2026-01-20T00:00:00"/>
        <d v="2026-03-15T00:00:00"/>
        <d v="2025-08-20T00:00:00"/>
        <d v="2025-05-03T00:00:00"/>
        <d v="2025-06-19T00:00:00"/>
        <d v="2026-06-16T00:00:00"/>
        <d v="2026-02-10T00:00:00"/>
        <d v="2026-06-10T00:00:00"/>
        <d v="2026-04-18T00:00:00"/>
        <d v="2025-09-21T00:00:00"/>
        <d v="2025-11-21T00:00:00"/>
        <d v="2025-07-21T00:00:00"/>
        <d v="2025-10-15T00:00:00"/>
        <d v="2025-05-16T00:00:00"/>
        <d v="2025-07-06T00:00:00"/>
        <d v="2026-07-02T00:00:00"/>
        <d v="2025-12-19T00:00:00"/>
        <d v="2025-11-03T00:00:00"/>
        <d v="2025-06-07T00:00:00"/>
        <d v="2025-05-09T00:00:00"/>
        <d v="2025-12-03T00:00:00"/>
        <d v="2026-05-21T00:00:00"/>
        <d v="2025-05-28T00:00:00"/>
        <d v="2026-02-11T00:00:00"/>
        <d v="2026-06-14T00:00:00"/>
        <d v="2026-07-22T00:00:00"/>
        <d v="2026-03-08T00:00:00"/>
        <d v="2025-12-29T00:00:00"/>
        <d v="2026-01-02T00:00:00"/>
        <d v="2026-05-31T00:00:00"/>
        <d v="2026-05-24T00:00:00"/>
        <d v="2025-10-12T00:00:00"/>
        <d v="2026-02-03T00:00:00"/>
        <d v="2026-04-28T00:00:00"/>
        <d v="2026-05-09T00:00:00"/>
        <d v="2026-04-03T00:00:00"/>
        <d v="2025-12-04T00:00:00"/>
        <d v="2025-07-23T00:00:00"/>
        <d v="2026-07-11T00:00:00"/>
        <d v="2025-10-27T00:00:00"/>
        <d v="2025-06-29T00:00:00"/>
        <d v="2026-04-10T00:00:00"/>
        <d v="2026-01-28T00:00:00"/>
        <d v="2025-03-21T00:00:00"/>
        <d v="2026-03-29T00:00:00"/>
        <d v="2025-06-10T00:00:00"/>
        <d v="2026-03-10T00:00:00"/>
        <d v="2025-08-03T00:00:00"/>
        <d v="2026-06-29T00:00:00"/>
        <d v="2025-11-05T00:00:00"/>
        <d v="2025-08-16T00:00:00"/>
        <d v="2026-03-25T00:00:00"/>
        <d v="2026-05-05T00:00:00"/>
        <d v="2025-08-04T00:00:00"/>
        <d v="2025-09-02T00:00:00"/>
        <d v="2026-04-08T00:00:00"/>
        <d v="2026-05-01T00:00:00"/>
        <d v="2026-04-05T00:00:00"/>
        <d v="2025-07-13T00:00:00"/>
        <d v="2025-10-23T00:00:00"/>
        <d v="2025-09-19T00:00:00"/>
        <d v="2026-04-09T00:00:00"/>
        <d v="2026-08-28T00:00:00"/>
        <d v="2025-05-06T00:00:00"/>
        <d v="2025-06-05T00:00:00"/>
        <d v="2026-08-07T00:00:00"/>
        <d v="2025-04-22T00:00:00"/>
        <d v="2025-04-30T00:00:00"/>
        <d v="2025-04-07T00:00:00"/>
        <d v="2025-10-14T00:00:00"/>
        <d v="2026-09-08T00:00:00"/>
        <d v="2026-04-11T00:00:00"/>
        <d v="2026-02-08T00:00:00"/>
        <d v="2026-03-03T00:00:00"/>
        <d v="2025-11-13T00:00:00"/>
        <d v="2026-06-01T00:00:00"/>
        <d v="2025-08-21T00:00:00"/>
        <d v="2025-04-05T00:00:00"/>
        <d v="2025-06-18T00:00:00"/>
        <d v="2025-04-06T00:00:00"/>
        <d v="2025-07-27T00:00:00"/>
        <d v="2025-03-18T00:00:00"/>
        <d v="2025-06-12T00:00:00"/>
        <d v="2026-09-15T00:00:00"/>
        <d v="2026-05-19T00:00:00"/>
        <d v="2025-10-20T00:00:00"/>
        <d v="2026-02-02T00:00:00"/>
        <d v="2025-04-24T00:00:00"/>
        <d v="2026-08-01T00:00:00"/>
        <d v="2025-09-24T00:00:00"/>
        <d v="2026-08-27T00:00:00"/>
        <d v="2026-08-09T00:00:00"/>
        <d v="2026-01-27T00:00:00"/>
        <d v="2025-08-08T00:00:00"/>
        <d v="2025-05-15T00:00:00"/>
        <d v="2025-04-26T00:00:00"/>
        <d v="2025-08-26T00:00:00"/>
        <d v="2026-08-24T00:00:00"/>
        <d v="2026-06-06T00:00:00"/>
        <d v="2026-04-02T00:00:00"/>
        <d v="2026-08-29T00:00:00"/>
        <d v="2026-05-13T00:00:00"/>
        <d v="2026-05-07T00:00:00"/>
        <d v="2025-11-24T00:00:00"/>
        <d v="2025-04-01T00:00:00"/>
        <d v="2025-05-20T00:00:00"/>
        <d v="2026-02-28T00:00:00"/>
        <d v="2026-03-23T00:00:00"/>
        <d v="2026-08-23T00:00:00"/>
        <d v="2025-03-23T00:00:00"/>
        <d v="2025-08-01T00:00:00"/>
        <d v="2025-05-07T00:00:00"/>
        <d v="2026-03-22T00:00:00"/>
        <d v="2026-07-21T00:00:00"/>
        <d v="2025-08-12T00:00:00"/>
        <d v="2026-03-27T00:00:00"/>
        <d v="2026-07-29T00:00:00"/>
        <d v="2025-12-16T00:00:00"/>
        <d v="2025-07-05T00:00:00"/>
        <d v="2026-07-09T00:00:00"/>
        <d v="2025-07-07T00:00:00"/>
        <d v="2026-02-19T00:00:00"/>
        <d v="2025-06-11T00:00:00"/>
        <d v="2026-08-04T00:00:00"/>
        <d v="2026-05-10T00:00:00"/>
        <d v="2026-01-08T00:00:00"/>
        <d v="2026-02-21T00:00:00"/>
        <d v="2025-12-12T00:00:00"/>
        <d v="2026-07-07T00:00:00"/>
        <d v="2025-12-11T00:00:00"/>
        <d v="2025-08-18T00:00:00"/>
        <d v="2025-04-16T00:00:00"/>
        <d v="2026-05-29T00:00:00"/>
        <d v="2025-10-19T00:00:00"/>
        <d v="2026-09-04T00:00:00"/>
        <d v="2026-04-04T00:00:00"/>
        <d v="2026-03-30T00:00:00"/>
        <d v="2025-03-24T00:00:00"/>
        <d v="2025-09-12T00:00:00"/>
        <d v="2026-02-16T00:00:00"/>
        <d v="2025-08-07T00:00:00"/>
        <d v="2026-01-12T00:00:00"/>
        <d v="2025-07-25T00:00:00"/>
        <d v="2025-11-09T00:00:00"/>
        <d v="2026-06-02T00:00:00"/>
        <d v="2026-09-14T00:00:00"/>
        <d v="2026-06-26T00:00:00"/>
        <d v="2026-05-22T00:00:00"/>
        <d v="2025-08-29T00:00:00"/>
        <d v="2026-01-23T00:00:00"/>
        <d v="2025-10-22T00:00:00"/>
        <d v="2026-03-31T00:00:00"/>
        <d v="2025-04-19T00:00:00"/>
        <d v="2026-02-26T00:00:00"/>
        <d v="2025-09-17T00:00:00"/>
        <d v="2026-01-19T00:00:00"/>
        <d v="2025-05-23T00:00:00"/>
        <d v="2025-09-28T00:00:00"/>
        <d v="2026-03-21T00:00:00"/>
        <d v="2026-07-18T00:00:00"/>
        <d v="2025-08-22T00:00:00"/>
        <d v="2026-02-27T00:00:00"/>
        <d v="2025-06-17T00:00:00"/>
        <d v="2026-06-03T00:00:00"/>
        <d v="2025-09-18T00:00:00"/>
        <d v="2025-08-11T00:00:00"/>
        <d v="2025-08-13T00:00:00"/>
        <d v="2025-11-16T00:00:00"/>
        <d v="2026-07-03T00:00:00"/>
        <d v="2025-06-26T00:00:00"/>
        <d v="2026-04-20T00:00:00"/>
        <d v="2026-08-15T00:00:00"/>
        <d v="2025-05-13T00:00:00"/>
        <d v="2026-05-11T00:00:00"/>
        <d v="2025-05-02T00:00:00"/>
        <d v="2025-09-03T00:00:00"/>
        <d v="2025-07-31T00:00:00"/>
        <d v="2026-02-24T00:00:00"/>
        <d v="2026-06-20T00:00:00"/>
        <d v="2025-04-02T00:00:00"/>
        <d v="2026-09-03T00:00:00"/>
        <d v="2025-08-14T00:00:00"/>
        <d v="2026-08-31T00:00:00"/>
        <d v="2025-06-23T00:00:00"/>
        <d v="2026-03-01T00:00:00"/>
        <d v="2025-11-15T00:00:00"/>
        <d v="2026-06-07T00:00:00"/>
        <d v="2025-03-22T00:00:00"/>
        <d v="2026-08-05T00:00:00"/>
        <d v="2025-11-08T00:00:00"/>
        <d v="2025-08-25T00:00:00"/>
        <d v="2025-10-29T00:00:00"/>
        <d v="2025-06-15T00:00:00"/>
        <d v="2025-10-17T00:00:00"/>
        <d v="2025-10-11T00:00:00"/>
        <d v="2025-11-04T00:00:00"/>
        <d v="2026-03-28T00:00:00"/>
        <d v="2026-04-29T00:00:00"/>
        <d v="2026-06-04T00:00:00"/>
        <d v="2026-06-28T00:00:00"/>
        <d v="2025-08-23T00:00:00"/>
        <d v="2026-03-02T00:00:00"/>
        <d v="2026-02-22T00:00:00"/>
        <d v="2025-04-14T00:00:00"/>
        <d v="2026-01-05T00:00:00"/>
        <d v="2025-06-27T00:00:00"/>
        <d v="2026-04-13T00:00:00"/>
        <d v="2025-06-08T00:00:00"/>
        <d v="2025-12-13T00:00:00"/>
        <d v="2025-09-04T00:00:00"/>
        <d v="2026-05-25T00:00:00"/>
        <d v="2025-09-14T00:00:00"/>
        <d v="2026-06-23T00:00:00"/>
        <d v="2026-08-21T00:00:00"/>
        <d v="2026-05-17T00:00:00"/>
        <d v="2025-07-01T00:00:00"/>
        <d v="2026-06-08T00:00:00"/>
        <d v="2026-05-12T00:00:00"/>
        <d v="2026-05-14T00:00:00"/>
        <d v="2026-04-26T00:00:00"/>
        <d v="2026-09-07T00:00:00"/>
        <d v="2025-12-02T00:00:00"/>
        <d v="2026-03-26T00:00:00"/>
        <d v="2025-09-05T00:00:00"/>
        <d v="2026-08-13T00:00:00"/>
        <d v="2025-07-04T00:00:00"/>
        <d v="2026-07-17T00:00:00"/>
        <d v="2026-07-04T00:00:00"/>
        <d v="2025-05-18T00:00:00"/>
        <d v="2025-05-22T00:00:00"/>
        <d v="2025-10-07T00:00:00"/>
        <d v="2026-02-23T00:00:00"/>
        <d v="2026-04-06T00:00:00"/>
        <d v="2025-05-25T00:00:00"/>
        <d v="2026-05-06T00:00:00"/>
        <d v="2026-07-23T00:00:00"/>
        <d v="2025-12-08T00:00:00"/>
        <d v="2025-11-12T00:00:00"/>
        <d v="2025-08-15T00:00:00"/>
        <d v="2025-08-27T00:00:00"/>
        <d v="2025-10-05T00:00:00"/>
        <d v="2026-06-30T00:00:00"/>
        <d v="2025-07-26T00:00:00"/>
        <d v="2026-04-17T00:00:00"/>
        <d v="2026-03-13T00:00:00"/>
        <d v="2025-10-16T00:00:00"/>
        <d v="2025-12-30T00:00:00"/>
        <d v="2025-12-15T00:00:00"/>
        <d v="2025-09-10T00:00:00"/>
        <d v="2026-03-04T00:00:00"/>
        <d v="2025-05-17T00:00:00"/>
        <d v="2026-01-24T00:00:00"/>
        <d v="2026-06-19T00:00:00"/>
        <d v="2025-12-31T00:00:00"/>
        <d v="2025-08-05T00:00:00"/>
        <d v="2025-04-25T00:00:00"/>
        <d v="2025-07-10T00:00:00"/>
        <d v="2025-04-20T00:00:00"/>
        <d v="2026-01-17T00:00:00"/>
        <d v="2026-08-14T00:00:00"/>
        <d v="2025-10-31T00:00:00"/>
        <d v="2026-06-12T00:00:00"/>
        <d v="2025-08-10T00:00:00"/>
        <d v="2025-04-09T00:00:00"/>
        <d v="2026-08-17T00:00:00"/>
        <d v="2026-01-03T00:00:00"/>
        <d v="2025-05-14T00:00:00"/>
        <d v="2026-03-17T00:00:00"/>
        <d v="2026-07-14T00:00:00"/>
        <d v="2025-10-24T00:00:00"/>
        <d v="2025-09-06T00:00:00"/>
        <d v="2026-09-12T00:00:00"/>
        <d v="2026-02-14T00:00:00"/>
        <d v="2025-11-18T00:00:00"/>
        <d v="2025-08-30T00:00:00"/>
        <d v="2025-03-29T00:00:00"/>
        <d v="2026-06-11T00:00:00"/>
        <d v="2025-06-01T00:00:00"/>
        <d v="2026-01-31T00:00:00"/>
        <d v="2026-08-02T00:00:00"/>
        <d v="2026-04-24T00:00:00"/>
        <d v="2026-05-26T00:00:00"/>
        <d v="2025-06-20T00:00:00"/>
        <d v="2026-06-13T00:00:00"/>
        <d v="2026-04-22T00:00:00"/>
        <d v="2025-11-01T00:00:00"/>
        <d v="2025-07-20T00:00:00"/>
        <d v="2026-05-18T00:00:00"/>
        <d v="2025-10-13T00:00:00"/>
        <d v="2025-05-29T00:00:00"/>
        <d v="2025-12-17T00:00:00"/>
        <d v="2026-01-18T00:00:00"/>
        <d v="2025-07-03T00:00:00"/>
        <d v="2026-08-06T00:00:00"/>
        <d v="2025-09-09T00:00:00"/>
        <d v="2026-02-06T00:00:00"/>
        <d v="2025-03-31T00:00:00"/>
        <d v="2026-09-10T00:00:00"/>
      </sharedItems>
      <fieldGroup par="11" base="9">
        <rangePr groupBy="months" startDate="2025-03-18T00:00:00" endDate="2026-09-17T00:00:00"/>
        <groupItems count="14">
          <s v="&lt;18-03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7-09-2026"/>
        </groupItems>
      </fieldGroup>
    </cacheField>
    <cacheField name="customer_id" numFmtId="0">
      <sharedItems count="289">
        <s v="C0247"/>
        <s v="C0174"/>
        <s v="C0039"/>
        <s v="C0204"/>
        <s v="C0188"/>
        <s v="C0008"/>
        <s v="C0233"/>
        <s v="C0300"/>
        <s v="C0056"/>
        <s v="C0013"/>
        <s v="C0168"/>
        <s v="C0033"/>
        <s v="C0155"/>
        <s v="C0072"/>
        <s v="C0156"/>
        <s v="C0050"/>
        <s v="C0070"/>
        <s v="C0277"/>
        <s v="C0080"/>
        <s v="C0251"/>
        <s v="C0017"/>
        <s v="C0228"/>
        <s v="C0186"/>
        <s v="C0279"/>
        <s v="C0032"/>
        <s v="C0063"/>
        <s v="C0047"/>
        <s v="C0011"/>
        <s v="C0106"/>
        <s v="C0107"/>
        <s v="C0169"/>
        <s v="C0002"/>
        <s v="C0067"/>
        <s v="C0057"/>
        <s v="C0068"/>
        <s v="C0122"/>
        <s v="C0090"/>
        <s v="C0216"/>
        <s v="C0244"/>
        <s v="C0263"/>
        <s v="C0258"/>
        <s v="C0023"/>
        <s v="C0219"/>
        <s v="C0165"/>
        <s v="C0065"/>
        <s v="C0281"/>
        <s v="C0272"/>
        <s v="C0221"/>
        <s v="C0283"/>
        <s v="C0117"/>
        <s v="C0205"/>
        <s v="C0161"/>
        <s v="C0192"/>
        <s v="C0035"/>
        <s v="C0048"/>
        <s v="C0288"/>
        <s v="C0211"/>
        <s v="C0027"/>
        <s v="C0160"/>
        <s v="C0260"/>
        <s v="C0115"/>
        <s v="C0285"/>
        <s v="C0294"/>
        <s v="C0286"/>
        <s v="C0015"/>
        <s v="C0159"/>
        <s v="C0004"/>
        <s v="C0290"/>
        <s v="C0073"/>
        <s v="C0193"/>
        <s v="C0081"/>
        <s v="C0291"/>
        <s v="C0026"/>
        <s v="C0227"/>
        <s v="C0250"/>
        <s v="C0024"/>
        <s v="C0029"/>
        <s v="C0109"/>
        <s v="C0131"/>
        <s v="C0118"/>
        <s v="C0037"/>
        <s v="C0224"/>
        <s v="C0208"/>
        <s v="C0149"/>
        <s v="C0167"/>
        <s v="C0046"/>
        <s v="C0125"/>
        <s v="C0269"/>
        <s v="C0040"/>
        <s v="C0180"/>
        <s v="C0076"/>
        <s v="C0132"/>
        <s v="C0079"/>
        <s v="C0091"/>
        <s v="C0238"/>
        <s v="C0230"/>
        <s v="C0166"/>
        <s v="C0078"/>
        <s v="C0030"/>
        <s v="C0284"/>
        <s v="C0231"/>
        <s v="C0097"/>
        <s v="C0257"/>
        <s v="C0044"/>
        <s v="C0021"/>
        <s v="C0225"/>
        <s v="C0082"/>
        <s v="C0199"/>
        <s v="C0034"/>
        <s v="C0198"/>
        <s v="C0077"/>
        <s v="C0201"/>
        <s v="C0066"/>
        <s v="C0261"/>
        <s v="C0175"/>
        <s v="C0249"/>
        <s v="C0020"/>
        <s v="C0084"/>
        <s v="C0085"/>
        <s v="C0120"/>
        <s v="C0241"/>
        <s v="C0189"/>
        <s v="C0226"/>
        <s v="C0196"/>
        <s v="C0083"/>
        <s v="C0071"/>
        <s v="C0053"/>
        <s v="C0265"/>
        <s v="C0043"/>
        <s v="C0213"/>
        <s v="C0051"/>
        <s v="C0075"/>
        <s v="C0242"/>
        <s v="C0041"/>
        <s v="C0271"/>
        <s v="C0123"/>
        <s v="C0235"/>
        <s v="C0256"/>
        <s v="C0264"/>
        <s v="C0150"/>
        <s v="C0181"/>
        <s v="C0096"/>
        <s v="C0270"/>
        <s v="C0130"/>
        <s v="C0298"/>
        <s v="C0069"/>
        <s v="C0094"/>
        <s v="C0022"/>
        <s v="C0243"/>
        <s v="C0147"/>
        <s v="C0170"/>
        <s v="C0255"/>
        <s v="C0266"/>
        <s v="C0218"/>
        <s v="C0093"/>
        <s v="C0157"/>
        <s v="C0086"/>
        <s v="C0229"/>
        <s v="C0223"/>
        <s v="C0187"/>
        <s v="C0121"/>
        <s v="C0190"/>
        <s v="C0128"/>
        <s v="C0103"/>
        <s v="C0232"/>
        <s v="C0045"/>
        <s v="C0178"/>
        <s v="C0278"/>
        <s v="C0154"/>
        <s v="C0253"/>
        <s v="C0295"/>
        <s v="C0038"/>
        <s v="C0177"/>
        <s v="C0009"/>
        <s v="C0222"/>
        <s v="C0064"/>
        <s v="C0146"/>
        <s v="C0101"/>
        <s v="C0274"/>
        <s v="C0173"/>
        <s v="C0042"/>
        <s v="C0136"/>
        <s v="C0214"/>
        <s v="C0248"/>
        <s v="C0153"/>
        <s v="C0074"/>
        <s v="C0164"/>
        <s v="C0197"/>
        <s v="C0098"/>
        <s v="C0259"/>
        <s v="C0111"/>
        <s v="C0148"/>
        <s v="C0144"/>
        <s v="C0061"/>
        <s v="C0202"/>
        <s v="C0102"/>
        <s v="C0296"/>
        <s v="C0299"/>
        <s v="C0195"/>
        <s v="C0215"/>
        <s v="C0236"/>
        <s v="C0280"/>
        <s v="C0143"/>
        <s v="C0287"/>
        <s v="C0246"/>
        <s v="C0139"/>
        <s v="C0116"/>
        <s v="C0052"/>
        <s v="C0003"/>
        <s v="C0209"/>
        <s v="C0245"/>
        <s v="C0172"/>
        <s v="C0058"/>
        <s v="C0099"/>
        <s v="C0206"/>
        <s v="C0006"/>
        <s v="C0185"/>
        <s v="C0127"/>
        <s v="C0234"/>
        <s v="C0237"/>
        <s v="C0012"/>
        <s v="C0112"/>
        <s v="C0217"/>
        <s v="C0025"/>
        <s v="C0267"/>
        <s v="C0141"/>
        <s v="C0276"/>
        <s v="C0212"/>
        <s v="C0275"/>
        <s v="C0105"/>
        <s v="C0184"/>
        <s v="C0114"/>
        <s v="C0134"/>
        <s v="C0297"/>
        <s v="C0252"/>
        <s v="C0087"/>
        <s v="C0031"/>
        <s v="C0119"/>
        <s v="C0005"/>
        <s v="C0007"/>
        <s v="C0092"/>
        <s v="C0137"/>
        <s v="C0194"/>
        <s v="C0124"/>
        <s v="C0028"/>
        <s v="C0016"/>
        <s v="C0138"/>
        <s v="C0200"/>
        <s v="C0293"/>
        <s v="C0254"/>
        <s v="C0014"/>
        <s v="C0108"/>
        <s v="C0210"/>
        <s v="C0289"/>
        <s v="C0055"/>
        <s v="C0060"/>
        <s v="C0179"/>
        <s v="C0059"/>
        <s v="C0095"/>
        <s v="C0203"/>
        <s v="C0089"/>
        <s v="C0262"/>
        <s v="C0282"/>
        <s v="C0220"/>
        <s v="C0049"/>
        <s v="C0176"/>
        <s v="C0104"/>
        <s v="C0162"/>
        <s v="C0142"/>
        <s v="C0152"/>
        <s v="C0135"/>
        <s v="C0268"/>
        <s v="C0126"/>
        <s v="C0019"/>
        <s v="C0239"/>
        <s v="C0054"/>
        <s v="C0163"/>
        <s v="C0191"/>
        <s v="C0010"/>
        <s v="C0113"/>
        <s v="C0183"/>
        <s v="C0001"/>
        <s v="C0018"/>
        <s v="C0133"/>
        <s v="C0207"/>
        <s v="C0292"/>
        <s v="C0110"/>
        <s v="C0145"/>
        <s v="C0182"/>
      </sharedItems>
    </cacheField>
    <cacheField name="Years" numFmtId="0" databaseField="0">
      <fieldGroup base="9">
        <rangePr groupBy="years" startDate="2025-03-18T00:00:00" endDate="2026-09-17T00:00:00"/>
        <groupItems count="4">
          <s v="&lt;18-03-2025"/>
          <s v="2025"/>
          <s v="2026"/>
          <s v="&gt;17-09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hor" refreshedDate="46286.102762731483" createdVersion="6" refreshedVersion="6" minRefreshableVersion="3" recordCount="289">
  <cacheSource type="worksheet">
    <worksheetSource name="rfm_segments"/>
  </cacheSource>
  <cacheFields count="9">
    <cacheField name="customer_id" numFmtId="0">
      <sharedItems/>
    </cacheField>
    <cacheField name="recency" numFmtId="0">
      <sharedItems containsSemiMixedTypes="0" containsString="0" containsNumber="1" containsInteger="1" minValue="1" maxValue="545"/>
    </cacheField>
    <cacheField name="frequency" numFmtId="0">
      <sharedItems containsSemiMixedTypes="0" containsString="0" containsNumber="1" containsInteger="1" minValue="1" maxValue="8"/>
    </cacheField>
    <cacheField name="monetary" numFmtId="0">
      <sharedItems containsSemiMixedTypes="0" containsString="0" containsNumber="1" minValue="267.3" maxValue="103834.3"/>
    </cacheField>
    <cacheField name="R_score" numFmtId="0">
      <sharedItems containsSemiMixedTypes="0" containsString="0" containsNumber="1" containsInteger="1" minValue="1" maxValue="5"/>
    </cacheField>
    <cacheField name="F_score" numFmtId="0">
      <sharedItems containsSemiMixedTypes="0" containsString="0" containsNumber="1" containsInteger="1" minValue="1" maxValue="5"/>
    </cacheField>
    <cacheField name="M_score" numFmtId="0">
      <sharedItems containsSemiMixedTypes="0" containsString="0" containsNumber="1" containsInteger="1" minValue="1" maxValue="5"/>
    </cacheField>
    <cacheField name="RFM_score" numFmtId="0">
      <sharedItems containsSemiMixedTypes="0" containsString="0" containsNumber="1" containsInteger="1" minValue="111" maxValue="555"/>
    </cacheField>
    <cacheField name="segment" numFmtId="0">
      <sharedItems count="5">
        <s v="New Customers"/>
        <s v="Lost"/>
        <s v="Champions"/>
        <s v="Potential Loyalists"/>
        <s v="At Ris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56">
  <r>
    <s v="OI000001"/>
    <s v="O00001"/>
    <s v="PR016"/>
    <n v="4"/>
    <n v="0"/>
    <b v="0"/>
    <n v="1130"/>
    <x v="0"/>
    <n v="4520"/>
    <x v="0"/>
    <x v="0"/>
  </r>
  <r>
    <s v="OI000002"/>
    <s v="O00002"/>
    <s v="PR075"/>
    <n v="5"/>
    <n v="0.1"/>
    <b v="0"/>
    <n v="1475"/>
    <x v="0"/>
    <n v="6637.5"/>
    <x v="1"/>
    <x v="1"/>
  </r>
  <r>
    <s v="OI000003"/>
    <s v="O00002"/>
    <s v="PR010"/>
    <n v="4"/>
    <n v="0"/>
    <b v="0"/>
    <n v="2450"/>
    <x v="1"/>
    <n v="9800"/>
    <x v="1"/>
    <x v="1"/>
  </r>
  <r>
    <s v="OI000004"/>
    <s v="O00002"/>
    <s v="PR065"/>
    <n v="1"/>
    <n v="0.2"/>
    <b v="0"/>
    <n v="2780"/>
    <x v="2"/>
    <n v="2224"/>
    <x v="1"/>
    <x v="1"/>
  </r>
  <r>
    <s v="OI000005"/>
    <s v="O00003"/>
    <s v="PR068"/>
    <n v="3"/>
    <n v="0.05"/>
    <b v="0"/>
    <n v="3000"/>
    <x v="3"/>
    <n v="8550"/>
    <x v="2"/>
    <x v="2"/>
  </r>
  <r>
    <s v="OI000006"/>
    <s v="O00003"/>
    <s v="PR007"/>
    <n v="2"/>
    <n v="0"/>
    <b v="0"/>
    <n v="5550"/>
    <x v="3"/>
    <n v="11100"/>
    <x v="2"/>
    <x v="2"/>
  </r>
  <r>
    <s v="OI000007"/>
    <s v="O00004"/>
    <s v="PR044"/>
    <n v="4"/>
    <n v="0.1"/>
    <b v="0"/>
    <n v="1440"/>
    <x v="1"/>
    <n v="5184"/>
    <x v="3"/>
    <x v="3"/>
  </r>
  <r>
    <s v="OI000008"/>
    <s v="O00004"/>
    <s v="PR059"/>
    <n v="2"/>
    <n v="0"/>
    <b v="0"/>
    <n v="2200"/>
    <x v="4"/>
    <n v="4400"/>
    <x v="3"/>
    <x v="3"/>
  </r>
  <r>
    <s v="OI000009"/>
    <s v="O00004"/>
    <s v="PR024"/>
    <n v="1"/>
    <n v="0.05"/>
    <b v="0"/>
    <n v="99"/>
    <x v="4"/>
    <n v="94.05"/>
    <x v="3"/>
    <x v="3"/>
  </r>
  <r>
    <s v="OI000010"/>
    <s v="O00004"/>
    <s v="PR043"/>
    <n v="2"/>
    <n v="0"/>
    <b v="0"/>
    <n v="1660"/>
    <x v="2"/>
    <n v="3320"/>
    <x v="3"/>
    <x v="3"/>
  </r>
  <r>
    <s v="OI000011"/>
    <s v="O00005"/>
    <s v="PR001"/>
    <n v="4"/>
    <n v="0"/>
    <b v="0"/>
    <n v="2400"/>
    <x v="4"/>
    <n v="9600"/>
    <x v="4"/>
    <x v="4"/>
  </r>
  <r>
    <s v="OI000012"/>
    <s v="O00005"/>
    <s v="PR027"/>
    <n v="2"/>
    <n v="0.1"/>
    <b v="0"/>
    <n v="420"/>
    <x v="5"/>
    <n v="756"/>
    <x v="4"/>
    <x v="4"/>
  </r>
  <r>
    <s v="OI000013"/>
    <s v="O00006"/>
    <s v="PR063"/>
    <n v="1"/>
    <n v="0"/>
    <b v="0"/>
    <n v="470"/>
    <x v="2"/>
    <n v="470"/>
    <x v="5"/>
    <x v="5"/>
  </r>
  <r>
    <s v="OI000014"/>
    <s v="O00006"/>
    <s v="PR079"/>
    <n v="4"/>
    <n v="0.15"/>
    <b v="0"/>
    <n v="1910"/>
    <x v="2"/>
    <n v="6494"/>
    <x v="5"/>
    <x v="5"/>
  </r>
  <r>
    <s v="OI000015"/>
    <s v="O00007"/>
    <s v="PR055"/>
    <n v="4"/>
    <n v="0.05"/>
    <b v="0"/>
    <n v="3040"/>
    <x v="4"/>
    <n v="11552"/>
    <x v="6"/>
    <x v="6"/>
  </r>
  <r>
    <s v="OI000016"/>
    <s v="O00008"/>
    <s v="PR069"/>
    <n v="2"/>
    <n v="0.15"/>
    <b v="0"/>
    <n v="2230"/>
    <x v="3"/>
    <n v="3791"/>
    <x v="7"/>
    <x v="7"/>
  </r>
  <r>
    <s v="OI000017"/>
    <s v="O00009"/>
    <s v="PR002"/>
    <n v="3"/>
    <n v="0.2"/>
    <b v="0"/>
    <n v="1630"/>
    <x v="5"/>
    <n v="3912"/>
    <x v="8"/>
    <x v="8"/>
  </r>
  <r>
    <s v="OI000018"/>
    <s v="O00010"/>
    <s v="PR025"/>
    <n v="1"/>
    <n v="0.15"/>
    <b v="0"/>
    <n v="1150"/>
    <x v="2"/>
    <n v="977.5"/>
    <x v="9"/>
    <x v="9"/>
  </r>
  <r>
    <s v="OI000019"/>
    <s v="O00010"/>
    <s v="PR001"/>
    <n v="2"/>
    <n v="0"/>
    <b v="0"/>
    <n v="2400"/>
    <x v="4"/>
    <n v="4800"/>
    <x v="9"/>
    <x v="9"/>
  </r>
  <r>
    <s v="OI000020"/>
    <s v="O00010"/>
    <s v="PR045"/>
    <n v="3"/>
    <n v="0"/>
    <b v="0"/>
    <n v="2250"/>
    <x v="3"/>
    <n v="6750"/>
    <x v="9"/>
    <x v="9"/>
  </r>
  <r>
    <s v="OI000021"/>
    <s v="O00011"/>
    <s v="PR065"/>
    <n v="5"/>
    <n v="0"/>
    <b v="0"/>
    <n v="2780"/>
    <x v="2"/>
    <n v="13900"/>
    <x v="10"/>
    <x v="10"/>
  </r>
  <r>
    <s v="OI000022"/>
    <s v="O00012"/>
    <s v="PR006"/>
    <n v="3"/>
    <n v="0"/>
    <b v="0"/>
    <n v="1520"/>
    <x v="0"/>
    <n v="4560"/>
    <x v="11"/>
    <x v="11"/>
  </r>
  <r>
    <s v="OI000023"/>
    <s v="O00013"/>
    <s v="PR067"/>
    <n v="5"/>
    <n v="0.1"/>
    <b v="0"/>
    <n v="1710"/>
    <x v="3"/>
    <n v="7695"/>
    <x v="12"/>
    <x v="12"/>
  </r>
  <r>
    <s v="OI000024"/>
    <s v="O00014"/>
    <s v="PR018"/>
    <n v="3"/>
    <n v="0.05"/>
    <b v="0"/>
    <n v="2180"/>
    <x v="4"/>
    <n v="6213"/>
    <x v="13"/>
    <x v="13"/>
  </r>
  <r>
    <s v="OI000025"/>
    <s v="O00015"/>
    <s v="PR025"/>
    <n v="2"/>
    <n v="0.2"/>
    <b v="0"/>
    <n v="1150"/>
    <x v="2"/>
    <n v="1840"/>
    <x v="14"/>
    <x v="14"/>
  </r>
  <r>
    <s v="OI000026"/>
    <s v="O00016"/>
    <s v="PR030"/>
    <n v="2"/>
    <n v="0.15"/>
    <b v="0"/>
    <n v="1440"/>
    <x v="1"/>
    <n v="2448"/>
    <x v="15"/>
    <x v="15"/>
  </r>
  <r>
    <s v="OI000027"/>
    <s v="O00017"/>
    <s v="PR028"/>
    <n v="1"/>
    <n v="0.1"/>
    <b v="0"/>
    <n v="2250"/>
    <x v="3"/>
    <n v="2025"/>
    <x v="16"/>
    <x v="16"/>
  </r>
  <r>
    <s v="OI000028"/>
    <s v="O00017"/>
    <s v="PR065"/>
    <n v="2"/>
    <n v="0"/>
    <b v="0"/>
    <n v="2780"/>
    <x v="2"/>
    <n v="5560"/>
    <x v="16"/>
    <x v="16"/>
  </r>
  <r>
    <s v="OI000029"/>
    <s v="O00017"/>
    <s v="PR047"/>
    <n v="1"/>
    <n v="0.05"/>
    <b v="0"/>
    <n v="1250"/>
    <x v="1"/>
    <n v="1187.5"/>
    <x v="16"/>
    <x v="16"/>
  </r>
  <r>
    <s v="OI000030"/>
    <s v="O00017"/>
    <s v="PR033"/>
    <n v="5"/>
    <n v="0.1"/>
    <b v="0"/>
    <n v="2670"/>
    <x v="5"/>
    <n v="12015"/>
    <x v="16"/>
    <x v="16"/>
  </r>
  <r>
    <s v="OI000031"/>
    <s v="O00018"/>
    <s v="PR007"/>
    <n v="1"/>
    <n v="0.15"/>
    <b v="0"/>
    <n v="5550"/>
    <x v="3"/>
    <n v="4717.5"/>
    <x v="17"/>
    <x v="17"/>
  </r>
  <r>
    <s v="OI000032"/>
    <s v="O00019"/>
    <s v="PR007"/>
    <n v="1"/>
    <n v="0.05"/>
    <b v="0"/>
    <n v="5550"/>
    <x v="3"/>
    <n v="5272.5"/>
    <x v="18"/>
    <x v="18"/>
  </r>
  <r>
    <s v="OI000033"/>
    <s v="O00019"/>
    <s v="PR057"/>
    <n v="4"/>
    <n v="0"/>
    <b v="0"/>
    <n v="790"/>
    <x v="1"/>
    <n v="3160"/>
    <x v="18"/>
    <x v="18"/>
  </r>
  <r>
    <s v="OI000034"/>
    <s v="O00019"/>
    <s v="PR071"/>
    <n v="3"/>
    <n v="0.05"/>
    <b v="0"/>
    <n v="2230"/>
    <x v="1"/>
    <n v="6355.5"/>
    <x v="18"/>
    <x v="18"/>
  </r>
  <r>
    <s v="OI000035"/>
    <s v="O00020"/>
    <s v="PR027"/>
    <n v="1"/>
    <n v="0"/>
    <b v="0"/>
    <n v="420"/>
    <x v="5"/>
    <n v="420"/>
    <x v="19"/>
    <x v="19"/>
  </r>
  <r>
    <s v="OI000036"/>
    <s v="O00020"/>
    <s v="PR054"/>
    <n v="1"/>
    <n v="0.15"/>
    <b v="0"/>
    <n v="2530"/>
    <x v="5"/>
    <n v="2150.5"/>
    <x v="19"/>
    <x v="19"/>
  </r>
  <r>
    <s v="OI000037"/>
    <s v="O00021"/>
    <s v="PR080"/>
    <n v="5"/>
    <n v="0.15"/>
    <b v="0"/>
    <n v="99"/>
    <x v="1"/>
    <n v="420.75"/>
    <x v="20"/>
    <x v="20"/>
  </r>
  <r>
    <s v="OI000038"/>
    <s v="O00021"/>
    <s v="PR018"/>
    <n v="4"/>
    <n v="0.2"/>
    <b v="0"/>
    <n v="2180"/>
    <x v="4"/>
    <n v="6976"/>
    <x v="20"/>
    <x v="20"/>
  </r>
  <r>
    <s v="OI000039"/>
    <s v="O00022"/>
    <s v="PR066"/>
    <n v="5"/>
    <n v="0"/>
    <b v="0"/>
    <n v="3430"/>
    <x v="0"/>
    <n v="17150"/>
    <x v="21"/>
    <x v="21"/>
  </r>
  <r>
    <s v="OI000040"/>
    <s v="O00022"/>
    <s v="PR037"/>
    <n v="1"/>
    <n v="0.2"/>
    <b v="0"/>
    <n v="2050"/>
    <x v="2"/>
    <n v="1640"/>
    <x v="21"/>
    <x v="21"/>
  </r>
  <r>
    <s v="OI000041"/>
    <s v="O00022"/>
    <s v="PR014"/>
    <n v="4"/>
    <n v="0"/>
    <b v="0"/>
    <n v="99"/>
    <x v="4"/>
    <n v="396"/>
    <x v="21"/>
    <x v="21"/>
  </r>
  <r>
    <s v="OI000042"/>
    <s v="O00023"/>
    <s v="PR034"/>
    <n v="5"/>
    <n v="0"/>
    <b v="0"/>
    <n v="530"/>
    <x v="5"/>
    <n v="2650"/>
    <x v="22"/>
    <x v="22"/>
  </r>
  <r>
    <s v="OI000043"/>
    <s v="O00023"/>
    <s v="PR046"/>
    <n v="4"/>
    <n v="0"/>
    <b v="0"/>
    <n v="940"/>
    <x v="2"/>
    <n v="3760"/>
    <x v="22"/>
    <x v="22"/>
  </r>
  <r>
    <s v="OI000044"/>
    <s v="O00024"/>
    <s v="PR071"/>
    <n v="4"/>
    <n v="0"/>
    <b v="0"/>
    <n v="2230"/>
    <x v="1"/>
    <n v="8920"/>
    <x v="23"/>
    <x v="23"/>
  </r>
  <r>
    <s v="OI000045"/>
    <s v="O00025"/>
    <s v="PR062"/>
    <n v="3"/>
    <n v="0"/>
    <b v="0"/>
    <n v="1580"/>
    <x v="2"/>
    <n v="4740"/>
    <x v="24"/>
    <x v="24"/>
  </r>
  <r>
    <s v="OI000046"/>
    <s v="O00025"/>
    <s v="PR001"/>
    <n v="1"/>
    <n v="0.15"/>
    <b v="0"/>
    <n v="2400"/>
    <x v="4"/>
    <n v="2040"/>
    <x v="24"/>
    <x v="24"/>
  </r>
  <r>
    <s v="OI000047"/>
    <s v="O00026"/>
    <s v="PR015"/>
    <n v="5"/>
    <n v="0.15"/>
    <b v="0"/>
    <n v="1765"/>
    <x v="5"/>
    <n v="7501.25"/>
    <x v="25"/>
    <x v="25"/>
  </r>
  <r>
    <s v="OI000048"/>
    <s v="O00027"/>
    <s v="PR012"/>
    <n v="5"/>
    <n v="0"/>
    <b v="0"/>
    <n v="1240"/>
    <x v="2"/>
    <n v="6200"/>
    <x v="26"/>
    <x v="26"/>
  </r>
  <r>
    <s v="OI000049"/>
    <s v="O00028"/>
    <s v="PR013"/>
    <n v="3"/>
    <n v="0.15"/>
    <b v="0"/>
    <n v="2090"/>
    <x v="5"/>
    <n v="5329.5"/>
    <x v="27"/>
    <x v="27"/>
  </r>
  <r>
    <s v="OI000050"/>
    <s v="O00028"/>
    <s v="PR030"/>
    <n v="3"/>
    <n v="0"/>
    <b v="1"/>
    <n v="1440"/>
    <x v="1"/>
    <n v="4320"/>
    <x v="27"/>
    <x v="27"/>
  </r>
  <r>
    <s v="OI000052"/>
    <s v="O00030"/>
    <s v="PR006"/>
    <n v="3"/>
    <n v="0"/>
    <b v="0"/>
    <n v="1520"/>
    <x v="0"/>
    <n v="4560"/>
    <x v="28"/>
    <x v="28"/>
  </r>
  <r>
    <s v="OI000053"/>
    <s v="O00031"/>
    <s v="PR041"/>
    <n v="4"/>
    <n v="0.15"/>
    <b v="0"/>
    <n v="2690"/>
    <x v="5"/>
    <n v="9146"/>
    <x v="29"/>
    <x v="29"/>
  </r>
  <r>
    <s v="OI000054"/>
    <s v="O00031"/>
    <s v="PR015"/>
    <n v="1"/>
    <n v="0.2"/>
    <b v="0"/>
    <n v="1765"/>
    <x v="5"/>
    <n v="1412"/>
    <x v="29"/>
    <x v="29"/>
  </r>
  <r>
    <s v="OI000055"/>
    <s v="O00031"/>
    <s v="PR006"/>
    <n v="1"/>
    <n v="0.2"/>
    <b v="0"/>
    <n v="1520"/>
    <x v="0"/>
    <n v="1216"/>
    <x v="29"/>
    <x v="29"/>
  </r>
  <r>
    <s v="OI000056"/>
    <s v="O00032"/>
    <s v="PR022"/>
    <n v="3"/>
    <n v="0"/>
    <b v="0"/>
    <n v="1530"/>
    <x v="5"/>
    <n v="4590"/>
    <x v="30"/>
    <x v="30"/>
  </r>
  <r>
    <s v="OI000057"/>
    <s v="O00033"/>
    <s v="PR080"/>
    <n v="3"/>
    <n v="0.15"/>
    <b v="0"/>
    <n v="99"/>
    <x v="1"/>
    <n v="252.45"/>
    <x v="31"/>
    <x v="31"/>
  </r>
  <r>
    <s v="OI000058"/>
    <s v="O00033"/>
    <s v="PR012"/>
    <n v="3"/>
    <n v="0.2"/>
    <b v="0"/>
    <n v="1240"/>
    <x v="2"/>
    <n v="2976"/>
    <x v="31"/>
    <x v="31"/>
  </r>
  <r>
    <s v="OI000059"/>
    <s v="O00033"/>
    <s v="PR044"/>
    <n v="2"/>
    <n v="0"/>
    <b v="0"/>
    <n v="1440"/>
    <x v="1"/>
    <n v="2880"/>
    <x v="31"/>
    <x v="31"/>
  </r>
  <r>
    <s v="OI000060"/>
    <s v="O00034"/>
    <s v="PR059"/>
    <n v="3"/>
    <n v="0.2"/>
    <b v="0"/>
    <n v="2200"/>
    <x v="4"/>
    <n v="5280"/>
    <x v="32"/>
    <x v="32"/>
  </r>
  <r>
    <s v="OI000061"/>
    <s v="O00035"/>
    <s v="PR062"/>
    <n v="4"/>
    <n v="0.15"/>
    <b v="0"/>
    <n v="1580"/>
    <x v="2"/>
    <n v="5372"/>
    <x v="33"/>
    <x v="33"/>
  </r>
  <r>
    <s v="OI000062"/>
    <s v="O00036"/>
    <s v="PR022"/>
    <n v="1"/>
    <n v="0"/>
    <b v="0"/>
    <n v="1530"/>
    <x v="5"/>
    <n v="1530"/>
    <x v="34"/>
    <x v="34"/>
  </r>
  <r>
    <s v="OI000063"/>
    <s v="O00036"/>
    <s v="PR008"/>
    <n v="2"/>
    <n v="0"/>
    <b v="0"/>
    <n v="2720"/>
    <x v="5"/>
    <n v="5440"/>
    <x v="34"/>
    <x v="34"/>
  </r>
  <r>
    <s v="OI000064"/>
    <s v="O00036"/>
    <s v="PR054"/>
    <n v="5"/>
    <n v="0.05"/>
    <b v="0"/>
    <n v="2530"/>
    <x v="5"/>
    <n v="12017.5"/>
    <x v="34"/>
    <x v="34"/>
  </r>
  <r>
    <s v="OI000065"/>
    <s v="O00037"/>
    <s v="PR057"/>
    <n v="2"/>
    <n v="0.1"/>
    <b v="0"/>
    <n v="790"/>
    <x v="1"/>
    <n v="1422"/>
    <x v="35"/>
    <x v="35"/>
  </r>
  <r>
    <s v="OI000066"/>
    <s v="O00037"/>
    <s v="PR049"/>
    <n v="3"/>
    <n v="0.1"/>
    <b v="0"/>
    <n v="2210"/>
    <x v="5"/>
    <n v="5967"/>
    <x v="35"/>
    <x v="35"/>
  </r>
  <r>
    <s v="OI000067"/>
    <s v="O00037"/>
    <s v="PR004"/>
    <n v="2"/>
    <n v="0.05"/>
    <b v="0"/>
    <n v="3630"/>
    <x v="4"/>
    <n v="6897"/>
    <x v="35"/>
    <x v="35"/>
  </r>
  <r>
    <s v="OI000068"/>
    <s v="O00038"/>
    <s v="PR015"/>
    <n v="4"/>
    <n v="0.05"/>
    <b v="0"/>
    <n v="1765"/>
    <x v="5"/>
    <n v="6707"/>
    <x v="36"/>
    <x v="36"/>
  </r>
  <r>
    <s v="OI000069"/>
    <s v="O00038"/>
    <s v="PR006"/>
    <n v="1"/>
    <n v="0"/>
    <b v="0"/>
    <n v="1520"/>
    <x v="0"/>
    <n v="1520"/>
    <x v="36"/>
    <x v="36"/>
  </r>
  <r>
    <s v="OI000070"/>
    <s v="O00038"/>
    <s v="PR041"/>
    <n v="1"/>
    <n v="0.15"/>
    <b v="0"/>
    <n v="2690"/>
    <x v="5"/>
    <n v="2286.5"/>
    <x v="36"/>
    <x v="36"/>
  </r>
  <r>
    <s v="OI000071"/>
    <s v="O00039"/>
    <s v="PR068"/>
    <n v="5"/>
    <n v="0.15"/>
    <b v="0"/>
    <n v="3000"/>
    <x v="3"/>
    <n v="12750"/>
    <x v="37"/>
    <x v="37"/>
  </r>
  <r>
    <s v="OI000072"/>
    <s v="O00039"/>
    <s v="PR073"/>
    <n v="2"/>
    <n v="0.15"/>
    <b v="0"/>
    <n v="1760"/>
    <x v="0"/>
    <n v="2992"/>
    <x v="37"/>
    <x v="37"/>
  </r>
  <r>
    <s v="OI000073"/>
    <s v="O00039"/>
    <s v="PR044"/>
    <n v="5"/>
    <n v="0.1"/>
    <b v="0"/>
    <n v="1440"/>
    <x v="1"/>
    <n v="6480"/>
    <x v="37"/>
    <x v="37"/>
  </r>
  <r>
    <s v="OI000074"/>
    <s v="O00040"/>
    <s v="PR080"/>
    <n v="1"/>
    <n v="0.05"/>
    <b v="0"/>
    <n v="99"/>
    <x v="1"/>
    <n v="94.05"/>
    <x v="38"/>
    <x v="38"/>
  </r>
  <r>
    <s v="OI000075"/>
    <s v="O00040"/>
    <s v="PR032"/>
    <n v="4"/>
    <n v="0"/>
    <b v="0"/>
    <n v="4020"/>
    <x v="1"/>
    <n v="16080"/>
    <x v="38"/>
    <x v="38"/>
  </r>
  <r>
    <s v="OI000076"/>
    <s v="O00041"/>
    <s v="PR050"/>
    <n v="2"/>
    <n v="0.2"/>
    <b v="0"/>
    <n v="99"/>
    <x v="5"/>
    <n v="158.4"/>
    <x v="39"/>
    <x v="39"/>
  </r>
  <r>
    <s v="OI000077"/>
    <s v="O00041"/>
    <s v="PR072"/>
    <n v="5"/>
    <n v="0"/>
    <b v="0"/>
    <n v="3650"/>
    <x v="0"/>
    <n v="18250"/>
    <x v="39"/>
    <x v="39"/>
  </r>
  <r>
    <s v="OI000078"/>
    <s v="O00042"/>
    <s v="PR021"/>
    <n v="5"/>
    <n v="0.2"/>
    <b v="0"/>
    <n v="3560"/>
    <x v="1"/>
    <n v="14240"/>
    <x v="40"/>
    <x v="40"/>
  </r>
  <r>
    <s v="OI000079"/>
    <s v="O00043"/>
    <s v="PR064"/>
    <n v="2"/>
    <n v="0"/>
    <b v="0"/>
    <n v="360"/>
    <x v="5"/>
    <n v="720"/>
    <x v="41"/>
    <x v="41"/>
  </r>
  <r>
    <s v="OI000080"/>
    <s v="O00044"/>
    <s v="PR042"/>
    <n v="2"/>
    <n v="0"/>
    <b v="0"/>
    <n v="2010"/>
    <x v="5"/>
    <n v="4020"/>
    <x v="42"/>
    <x v="12"/>
  </r>
  <r>
    <s v="OI000081"/>
    <s v="O00044"/>
    <s v="PR036"/>
    <n v="1"/>
    <n v="0.1"/>
    <b v="0"/>
    <n v="330"/>
    <x v="0"/>
    <n v="297"/>
    <x v="42"/>
    <x v="12"/>
  </r>
  <r>
    <s v="OI000082"/>
    <s v="O00045"/>
    <s v="PR049"/>
    <n v="4"/>
    <n v="0.2"/>
    <b v="0"/>
    <n v="2210"/>
    <x v="5"/>
    <n v="7072"/>
    <x v="43"/>
    <x v="24"/>
  </r>
  <r>
    <s v="OI000083"/>
    <s v="O00046"/>
    <s v="PR059"/>
    <n v="4"/>
    <n v="0.2"/>
    <b v="0"/>
    <n v="2200"/>
    <x v="4"/>
    <n v="7040"/>
    <x v="44"/>
    <x v="42"/>
  </r>
  <r>
    <s v="OI000084"/>
    <s v="O00047"/>
    <s v="PR012"/>
    <n v="4"/>
    <n v="0.05"/>
    <b v="0"/>
    <n v="1240"/>
    <x v="2"/>
    <n v="4712"/>
    <x v="45"/>
    <x v="21"/>
  </r>
  <r>
    <s v="OI000085"/>
    <s v="O00047"/>
    <s v="PR041"/>
    <n v="1"/>
    <n v="0.05"/>
    <b v="0"/>
    <n v="2690"/>
    <x v="5"/>
    <n v="2555.5"/>
    <x v="45"/>
    <x v="21"/>
  </r>
  <r>
    <s v="OI000086"/>
    <s v="O00048"/>
    <s v="PR003"/>
    <n v="1"/>
    <n v="0.05"/>
    <b v="0"/>
    <n v="2580"/>
    <x v="5"/>
    <n v="2451"/>
    <x v="46"/>
    <x v="43"/>
  </r>
  <r>
    <s v="OI000087"/>
    <s v="O00048"/>
    <s v="PR053"/>
    <n v="1"/>
    <n v="0.1"/>
    <b v="0"/>
    <n v="990"/>
    <x v="0"/>
    <n v="891"/>
    <x v="46"/>
    <x v="43"/>
  </r>
  <r>
    <s v="OI000088"/>
    <s v="O00049"/>
    <s v="PR012"/>
    <n v="5"/>
    <n v="0.1"/>
    <b v="0"/>
    <n v="1240"/>
    <x v="2"/>
    <n v="5580"/>
    <x v="47"/>
    <x v="44"/>
  </r>
  <r>
    <s v="OI000089"/>
    <s v="O00049"/>
    <s v="PR039"/>
    <n v="5"/>
    <n v="0.1"/>
    <b v="0"/>
    <n v="210"/>
    <x v="4"/>
    <n v="945"/>
    <x v="47"/>
    <x v="44"/>
  </r>
  <r>
    <s v="OI000090"/>
    <s v="O00050"/>
    <s v="PR059"/>
    <n v="3"/>
    <n v="0"/>
    <b v="0"/>
    <n v="2200"/>
    <x v="4"/>
    <n v="6600"/>
    <x v="48"/>
    <x v="45"/>
  </r>
  <r>
    <s v="OI000091"/>
    <s v="O00051"/>
    <s v="PR029"/>
    <n v="4"/>
    <n v="0"/>
    <b v="0"/>
    <n v="1080"/>
    <x v="5"/>
    <n v="4320"/>
    <x v="49"/>
    <x v="46"/>
  </r>
  <r>
    <s v="OI000092"/>
    <s v="O00051"/>
    <s v="PR072"/>
    <n v="5"/>
    <n v="0.1"/>
    <b v="0"/>
    <n v="3650"/>
    <x v="0"/>
    <n v="16425"/>
    <x v="49"/>
    <x v="46"/>
  </r>
  <r>
    <s v="OI000093"/>
    <s v="O00051"/>
    <s v="PR061"/>
    <n v="3"/>
    <n v="0.15"/>
    <b v="0"/>
    <n v="1220"/>
    <x v="3"/>
    <n v="3111"/>
    <x v="49"/>
    <x v="46"/>
  </r>
  <r>
    <s v="OI000094"/>
    <s v="O00052"/>
    <s v="PR013"/>
    <n v="2"/>
    <n v="0"/>
    <b v="0"/>
    <n v="2090"/>
    <x v="5"/>
    <n v="4180"/>
    <x v="50"/>
    <x v="47"/>
  </r>
  <r>
    <s v="OI000095"/>
    <s v="O00053"/>
    <s v="PR038"/>
    <n v="5"/>
    <n v="0.1"/>
    <b v="0"/>
    <n v="99"/>
    <x v="1"/>
    <n v="445.5"/>
    <x v="51"/>
    <x v="48"/>
  </r>
  <r>
    <s v="OI000096"/>
    <s v="O00054"/>
    <s v="PR014"/>
    <n v="1"/>
    <n v="0"/>
    <b v="0"/>
    <n v="99"/>
    <x v="4"/>
    <n v="99"/>
    <x v="52"/>
    <x v="47"/>
  </r>
  <r>
    <s v="OI000097"/>
    <s v="O00055"/>
    <s v="PR053"/>
    <n v="1"/>
    <n v="0"/>
    <b v="0"/>
    <n v="990"/>
    <x v="0"/>
    <n v="990"/>
    <x v="11"/>
    <x v="49"/>
  </r>
  <r>
    <s v="OI000098"/>
    <s v="O00056"/>
    <s v="PR025"/>
    <n v="1"/>
    <n v="0.2"/>
    <b v="0"/>
    <n v="1150"/>
    <x v="2"/>
    <n v="920"/>
    <x v="53"/>
    <x v="50"/>
  </r>
  <r>
    <s v="OI000099"/>
    <s v="O00056"/>
    <s v="PR051"/>
    <n v="2"/>
    <n v="0.05"/>
    <b v="0"/>
    <n v="2190"/>
    <x v="4"/>
    <n v="4161"/>
    <x v="53"/>
    <x v="50"/>
  </r>
  <r>
    <s v="OI000100"/>
    <s v="O00057"/>
    <s v="PR025"/>
    <n v="3"/>
    <n v="0"/>
    <b v="1"/>
    <n v="1150"/>
    <x v="2"/>
    <n v="3450"/>
    <x v="54"/>
    <x v="51"/>
  </r>
  <r>
    <s v="OI000101"/>
    <s v="O00057"/>
    <s v="PR054"/>
    <n v="1"/>
    <n v="0.15"/>
    <b v="0"/>
    <n v="2530"/>
    <x v="5"/>
    <n v="2150.5"/>
    <x v="54"/>
    <x v="51"/>
  </r>
  <r>
    <s v="OI000102"/>
    <s v="O00057"/>
    <s v="PR076"/>
    <n v="1"/>
    <n v="0.2"/>
    <b v="0"/>
    <n v="2790"/>
    <x v="4"/>
    <n v="2232"/>
    <x v="54"/>
    <x v="51"/>
  </r>
  <r>
    <s v="OI000103"/>
    <s v="O00058"/>
    <s v="PR059"/>
    <n v="5"/>
    <n v="0.1"/>
    <b v="0"/>
    <n v="2200"/>
    <x v="4"/>
    <n v="9900"/>
    <x v="55"/>
    <x v="52"/>
  </r>
  <r>
    <s v="OI000104"/>
    <s v="O00058"/>
    <s v="PR018"/>
    <n v="4"/>
    <n v="0"/>
    <b v="0"/>
    <n v="2180"/>
    <x v="4"/>
    <n v="8720"/>
    <x v="55"/>
    <x v="52"/>
  </r>
  <r>
    <s v="OI000105"/>
    <s v="O00058"/>
    <s v="PR068"/>
    <n v="1"/>
    <n v="0.1"/>
    <b v="0"/>
    <n v="3000"/>
    <x v="3"/>
    <n v="2700"/>
    <x v="55"/>
    <x v="52"/>
  </r>
  <r>
    <s v="OI000106"/>
    <s v="O00059"/>
    <s v="PR075"/>
    <n v="4"/>
    <n v="0.1"/>
    <b v="0"/>
    <n v="1475"/>
    <x v="0"/>
    <n v="5310"/>
    <x v="56"/>
    <x v="53"/>
  </r>
  <r>
    <s v="OI000107"/>
    <s v="O00059"/>
    <s v="PR023"/>
    <n v="5"/>
    <n v="0"/>
    <b v="0"/>
    <n v="1880"/>
    <x v="2"/>
    <n v="9400"/>
    <x v="56"/>
    <x v="53"/>
  </r>
  <r>
    <s v="OI000108"/>
    <s v="O00059"/>
    <s v="PR017"/>
    <n v="1"/>
    <n v="0.05"/>
    <b v="0"/>
    <n v="580"/>
    <x v="0"/>
    <n v="551"/>
    <x v="56"/>
    <x v="53"/>
  </r>
  <r>
    <s v="OI000109"/>
    <s v="O00060"/>
    <s v="PR078"/>
    <n v="3"/>
    <n v="0.1"/>
    <b v="0"/>
    <n v="1440"/>
    <x v="3"/>
    <n v="3888"/>
    <x v="57"/>
    <x v="54"/>
  </r>
  <r>
    <s v="OI000110"/>
    <s v="O00060"/>
    <s v="PR050"/>
    <n v="4"/>
    <n v="0.1"/>
    <b v="0"/>
    <n v="99"/>
    <x v="5"/>
    <n v="356.40000000000003"/>
    <x v="57"/>
    <x v="54"/>
  </r>
  <r>
    <s v="OI000111"/>
    <s v="O00061"/>
    <s v="PR032"/>
    <n v="3"/>
    <n v="0.05"/>
    <b v="0"/>
    <n v="4020"/>
    <x v="1"/>
    <n v="11457"/>
    <x v="58"/>
    <x v="32"/>
  </r>
  <r>
    <s v="OI000112"/>
    <s v="O00061"/>
    <s v="PR044"/>
    <n v="3"/>
    <n v="0.05"/>
    <b v="0"/>
    <n v="1440"/>
    <x v="1"/>
    <n v="4104"/>
    <x v="58"/>
    <x v="32"/>
  </r>
  <r>
    <s v="OI000113"/>
    <s v="O00061"/>
    <s v="PR018"/>
    <n v="2"/>
    <n v="0.05"/>
    <b v="0"/>
    <n v="2180"/>
    <x v="4"/>
    <n v="4142"/>
    <x v="58"/>
    <x v="32"/>
  </r>
  <r>
    <s v="OI000114"/>
    <s v="O00062"/>
    <s v="PR066"/>
    <n v="3"/>
    <n v="0.2"/>
    <b v="0"/>
    <n v="3430"/>
    <x v="0"/>
    <n v="8232"/>
    <x v="59"/>
    <x v="55"/>
  </r>
  <r>
    <s v="OI000115"/>
    <s v="O00062"/>
    <s v="PR071"/>
    <n v="3"/>
    <n v="0.15"/>
    <b v="0"/>
    <n v="2230"/>
    <x v="1"/>
    <n v="5686.5"/>
    <x v="59"/>
    <x v="55"/>
  </r>
  <r>
    <s v="OI000116"/>
    <s v="O00063"/>
    <s v="PR071"/>
    <n v="2"/>
    <n v="0"/>
    <b v="0"/>
    <n v="2230"/>
    <x v="1"/>
    <n v="4460"/>
    <x v="60"/>
    <x v="56"/>
  </r>
  <r>
    <s v="OI000117"/>
    <s v="O00063"/>
    <s v="PR027"/>
    <n v="5"/>
    <n v="0.15"/>
    <b v="0"/>
    <n v="420"/>
    <x v="5"/>
    <n v="1785"/>
    <x v="60"/>
    <x v="56"/>
  </r>
  <r>
    <s v="OI000118"/>
    <s v="O00064"/>
    <s v="PR045"/>
    <n v="2"/>
    <n v="0.15"/>
    <b v="0"/>
    <n v="2250"/>
    <x v="3"/>
    <n v="3825"/>
    <x v="61"/>
    <x v="57"/>
  </r>
  <r>
    <s v="OI000119"/>
    <s v="O00065"/>
    <s v="PR023"/>
    <n v="5"/>
    <n v="0.1"/>
    <b v="0"/>
    <n v="1880"/>
    <x v="2"/>
    <n v="8460"/>
    <x v="62"/>
    <x v="58"/>
  </r>
  <r>
    <s v="OI000120"/>
    <s v="O00065"/>
    <s v="PR042"/>
    <n v="1"/>
    <n v="0.2"/>
    <b v="0"/>
    <n v="2010"/>
    <x v="5"/>
    <n v="1608"/>
    <x v="62"/>
    <x v="58"/>
  </r>
  <r>
    <s v="OI000121"/>
    <s v="O00066"/>
    <s v="PR062"/>
    <n v="5"/>
    <n v="0.1"/>
    <b v="0"/>
    <n v="1580"/>
    <x v="2"/>
    <n v="7110"/>
    <x v="47"/>
    <x v="59"/>
  </r>
  <r>
    <s v="OI000122"/>
    <s v="O00067"/>
    <s v="PR054"/>
    <n v="5"/>
    <n v="0"/>
    <b v="0"/>
    <n v="2530"/>
    <x v="5"/>
    <n v="12650"/>
    <x v="63"/>
    <x v="60"/>
  </r>
  <r>
    <s v="OI000123"/>
    <s v="O00067"/>
    <s v="PR055"/>
    <n v="1"/>
    <n v="0.1"/>
    <b v="0"/>
    <n v="3040"/>
    <x v="4"/>
    <n v="2736"/>
    <x v="63"/>
    <x v="60"/>
  </r>
  <r>
    <s v="OI000124"/>
    <s v="O00067"/>
    <s v="PR014"/>
    <n v="1"/>
    <n v="0.05"/>
    <b v="0"/>
    <n v="99"/>
    <x v="4"/>
    <n v="94.05"/>
    <x v="63"/>
    <x v="60"/>
  </r>
  <r>
    <s v="OI000125"/>
    <s v="O00068"/>
    <s v="PR008"/>
    <n v="2"/>
    <n v="0"/>
    <b v="0"/>
    <n v="2720"/>
    <x v="5"/>
    <n v="5440"/>
    <x v="64"/>
    <x v="61"/>
  </r>
  <r>
    <s v="OI000126"/>
    <s v="O00069"/>
    <s v="PR021"/>
    <n v="3"/>
    <n v="0.15"/>
    <b v="0"/>
    <n v="3560"/>
    <x v="1"/>
    <n v="9078"/>
    <x v="65"/>
    <x v="62"/>
  </r>
  <r>
    <s v="OI000127"/>
    <s v="O00069"/>
    <s v="PR033"/>
    <n v="2"/>
    <n v="0.2"/>
    <b v="0"/>
    <n v="2670"/>
    <x v="5"/>
    <n v="4272"/>
    <x v="65"/>
    <x v="62"/>
  </r>
  <r>
    <s v="OI000128"/>
    <s v="O00070"/>
    <s v="PR038"/>
    <n v="2"/>
    <n v="0.2"/>
    <b v="0"/>
    <n v="99"/>
    <x v="1"/>
    <n v="158.4"/>
    <x v="66"/>
    <x v="55"/>
  </r>
  <r>
    <s v="OI000129"/>
    <s v="O00071"/>
    <s v="PR046"/>
    <n v="4"/>
    <n v="0"/>
    <b v="0"/>
    <n v="940"/>
    <x v="2"/>
    <n v="3760"/>
    <x v="67"/>
    <x v="63"/>
  </r>
  <r>
    <s v="OI000130"/>
    <s v="O00071"/>
    <s v="PR079"/>
    <n v="5"/>
    <n v="0.2"/>
    <b v="0"/>
    <n v="1910"/>
    <x v="2"/>
    <n v="7640"/>
    <x v="67"/>
    <x v="63"/>
  </r>
  <r>
    <s v="OI000131"/>
    <s v="O00072"/>
    <s v="PR072"/>
    <n v="4"/>
    <n v="0"/>
    <b v="0"/>
    <n v="3650"/>
    <x v="0"/>
    <n v="14600"/>
    <x v="68"/>
    <x v="64"/>
  </r>
  <r>
    <s v="OI000132"/>
    <s v="O00073"/>
    <s v="PR037"/>
    <n v="1"/>
    <n v="0.05"/>
    <b v="0"/>
    <n v="2050"/>
    <x v="2"/>
    <n v="1947.5"/>
    <x v="69"/>
    <x v="65"/>
  </r>
  <r>
    <s v="OI000133"/>
    <s v="O00073"/>
    <s v="PR050"/>
    <n v="4"/>
    <n v="0.2"/>
    <b v="0"/>
    <n v="99"/>
    <x v="5"/>
    <n v="316.8"/>
    <x v="69"/>
    <x v="65"/>
  </r>
  <r>
    <s v="OI000134"/>
    <s v="O00074"/>
    <s v="PR041"/>
    <n v="5"/>
    <n v="0"/>
    <b v="0"/>
    <n v="2690"/>
    <x v="5"/>
    <n v="13450"/>
    <x v="70"/>
    <x v="66"/>
  </r>
  <r>
    <s v="OI000135"/>
    <s v="O00074"/>
    <s v="PR002"/>
    <n v="3"/>
    <n v="0"/>
    <b v="0"/>
    <n v="1630"/>
    <x v="5"/>
    <n v="4890"/>
    <x v="70"/>
    <x v="66"/>
  </r>
  <r>
    <s v="OI000136"/>
    <s v="O00074"/>
    <s v="PR080"/>
    <n v="4"/>
    <n v="0.2"/>
    <b v="0"/>
    <n v="99"/>
    <x v="1"/>
    <n v="316.8"/>
    <x v="70"/>
    <x v="66"/>
  </r>
  <r>
    <s v="OI000137"/>
    <s v="O00074"/>
    <s v="PR029"/>
    <n v="3"/>
    <n v="0.2"/>
    <b v="0"/>
    <n v="1080"/>
    <x v="5"/>
    <n v="2592"/>
    <x v="70"/>
    <x v="66"/>
  </r>
  <r>
    <s v="OI000138"/>
    <s v="O00075"/>
    <s v="PR078"/>
    <n v="2"/>
    <n v="0.2"/>
    <b v="0"/>
    <n v="1440"/>
    <x v="3"/>
    <n v="2304"/>
    <x v="71"/>
    <x v="67"/>
  </r>
  <r>
    <s v="OI000139"/>
    <s v="O00075"/>
    <s v="PR025"/>
    <n v="3"/>
    <n v="0.05"/>
    <b v="0"/>
    <n v="1150"/>
    <x v="2"/>
    <n v="3277.5"/>
    <x v="71"/>
    <x v="67"/>
  </r>
  <r>
    <s v="OI000140"/>
    <s v="O00076"/>
    <s v="PR010"/>
    <n v="2"/>
    <n v="0"/>
    <b v="0"/>
    <n v="2450"/>
    <x v="1"/>
    <n v="4900"/>
    <x v="72"/>
    <x v="68"/>
  </r>
  <r>
    <s v="OI000141"/>
    <s v="O00077"/>
    <s v="PR016"/>
    <n v="4"/>
    <n v="0"/>
    <b v="0"/>
    <n v="1130"/>
    <x v="0"/>
    <n v="4520"/>
    <x v="72"/>
    <x v="26"/>
  </r>
  <r>
    <s v="OI000142"/>
    <s v="O00077"/>
    <s v="PR055"/>
    <n v="3"/>
    <n v="0.1"/>
    <b v="0"/>
    <n v="3040"/>
    <x v="4"/>
    <n v="8208"/>
    <x v="72"/>
    <x v="26"/>
  </r>
  <r>
    <s v="OI000143"/>
    <s v="O00078"/>
    <s v="PR021"/>
    <n v="5"/>
    <n v="0.2"/>
    <b v="0"/>
    <n v="3560"/>
    <x v="1"/>
    <n v="14240"/>
    <x v="73"/>
    <x v="69"/>
  </r>
  <r>
    <s v="OI000144"/>
    <s v="O00079"/>
    <s v="PR043"/>
    <n v="4"/>
    <n v="0.15"/>
    <b v="0"/>
    <n v="1660"/>
    <x v="2"/>
    <n v="5644"/>
    <x v="74"/>
    <x v="70"/>
  </r>
  <r>
    <s v="OI000145"/>
    <s v="O00080"/>
    <s v="PR006"/>
    <n v="2"/>
    <n v="0"/>
    <b v="0"/>
    <n v="1520"/>
    <x v="0"/>
    <n v="3040"/>
    <x v="75"/>
    <x v="71"/>
  </r>
  <r>
    <s v="OI000146"/>
    <s v="O00080"/>
    <s v="PR077"/>
    <n v="1"/>
    <n v="0.2"/>
    <b v="0"/>
    <n v="1900"/>
    <x v="5"/>
    <n v="1520"/>
    <x v="75"/>
    <x v="71"/>
  </r>
  <r>
    <s v="OI000147"/>
    <s v="O00080"/>
    <s v="PR005"/>
    <n v="5"/>
    <n v="0.2"/>
    <b v="0"/>
    <n v="1520"/>
    <x v="4"/>
    <n v="6080"/>
    <x v="75"/>
    <x v="71"/>
  </r>
  <r>
    <s v="OI000148"/>
    <s v="O00081"/>
    <s v="PR063"/>
    <n v="5"/>
    <n v="0.1"/>
    <b v="0"/>
    <n v="470"/>
    <x v="2"/>
    <n v="2115"/>
    <x v="76"/>
    <x v="18"/>
  </r>
  <r>
    <s v="OI000149"/>
    <s v="O00081"/>
    <s v="PR046"/>
    <n v="1"/>
    <n v="0.2"/>
    <b v="0"/>
    <n v="940"/>
    <x v="2"/>
    <n v="752"/>
    <x v="76"/>
    <x v="18"/>
  </r>
  <r>
    <s v="OI000150"/>
    <s v="O00082"/>
    <s v="PR068"/>
    <n v="3"/>
    <n v="0"/>
    <b v="1"/>
    <n v="3000"/>
    <x v="3"/>
    <n v="9000"/>
    <x v="77"/>
    <x v="72"/>
  </r>
  <r>
    <s v="OI000151"/>
    <s v="O00082"/>
    <s v="PR067"/>
    <n v="1"/>
    <n v="0.2"/>
    <b v="0"/>
    <n v="1710"/>
    <x v="3"/>
    <n v="1368"/>
    <x v="77"/>
    <x v="72"/>
  </r>
  <r>
    <s v="OI000152"/>
    <s v="O00083"/>
    <s v="PR054"/>
    <n v="5"/>
    <n v="0.1"/>
    <b v="0"/>
    <n v="2530"/>
    <x v="5"/>
    <n v="11385"/>
    <x v="78"/>
    <x v="73"/>
  </r>
  <r>
    <s v="OI000153"/>
    <s v="O00083"/>
    <s v="PR052"/>
    <n v="1"/>
    <n v="0"/>
    <b v="0"/>
    <n v="1340"/>
    <x v="4"/>
    <n v="1340"/>
    <x v="78"/>
    <x v="73"/>
  </r>
  <r>
    <s v="OI000154"/>
    <s v="O00084"/>
    <s v="PR028"/>
    <n v="3"/>
    <n v="0"/>
    <b v="0"/>
    <n v="2250"/>
    <x v="3"/>
    <n v="6750"/>
    <x v="79"/>
    <x v="73"/>
  </r>
  <r>
    <s v="OI000155"/>
    <s v="O00085"/>
    <s v="PR028"/>
    <n v="5"/>
    <n v="0.1"/>
    <b v="0"/>
    <n v="2250"/>
    <x v="3"/>
    <n v="10125"/>
    <x v="63"/>
    <x v="39"/>
  </r>
  <r>
    <s v="OI000156"/>
    <s v="O00086"/>
    <s v="PR072"/>
    <n v="1"/>
    <n v="0"/>
    <b v="0"/>
    <n v="3650"/>
    <x v="0"/>
    <n v="3650"/>
    <x v="80"/>
    <x v="33"/>
  </r>
  <r>
    <s v="OI000157"/>
    <s v="O00087"/>
    <s v="PR058"/>
    <n v="2"/>
    <n v="0.15"/>
    <b v="0"/>
    <n v="1430"/>
    <x v="0"/>
    <n v="2431"/>
    <x v="81"/>
    <x v="74"/>
  </r>
  <r>
    <s v="OI000158"/>
    <s v="O00087"/>
    <s v="PR079"/>
    <n v="5"/>
    <n v="0"/>
    <b v="0"/>
    <n v="1910"/>
    <x v="2"/>
    <n v="9550"/>
    <x v="81"/>
    <x v="74"/>
  </r>
  <r>
    <s v="OI000159"/>
    <s v="O00088"/>
    <s v="PR042"/>
    <n v="4"/>
    <n v="0.2"/>
    <b v="0"/>
    <n v="2010"/>
    <x v="5"/>
    <n v="6432"/>
    <x v="82"/>
    <x v="75"/>
  </r>
  <r>
    <s v="OI000160"/>
    <s v="O00088"/>
    <s v="PR015"/>
    <n v="4"/>
    <n v="0"/>
    <b v="0"/>
    <n v="1765"/>
    <x v="5"/>
    <n v="7060"/>
    <x v="82"/>
    <x v="75"/>
  </r>
  <r>
    <s v="OI000161"/>
    <s v="O00088"/>
    <s v="PR070"/>
    <n v="3"/>
    <n v="0"/>
    <b v="0"/>
    <n v="1030"/>
    <x v="5"/>
    <n v="3090"/>
    <x v="82"/>
    <x v="75"/>
  </r>
  <r>
    <s v="OI000162"/>
    <s v="O00088"/>
    <s v="PR067"/>
    <n v="3"/>
    <n v="0.1"/>
    <b v="0"/>
    <n v="1710"/>
    <x v="3"/>
    <n v="4617"/>
    <x v="82"/>
    <x v="75"/>
  </r>
  <r>
    <s v="OI000163"/>
    <s v="O00089"/>
    <s v="PR058"/>
    <n v="4"/>
    <n v="0"/>
    <b v="0"/>
    <n v="1430"/>
    <x v="0"/>
    <n v="5720"/>
    <x v="83"/>
    <x v="76"/>
  </r>
  <r>
    <s v="OI000164"/>
    <s v="O00089"/>
    <s v="PR038"/>
    <n v="2"/>
    <n v="0"/>
    <b v="0"/>
    <n v="99"/>
    <x v="1"/>
    <n v="198"/>
    <x v="83"/>
    <x v="76"/>
  </r>
  <r>
    <s v="OI000165"/>
    <s v="O00089"/>
    <s v="PR066"/>
    <n v="1"/>
    <n v="0"/>
    <b v="0"/>
    <n v="3430"/>
    <x v="0"/>
    <n v="3430"/>
    <x v="83"/>
    <x v="76"/>
  </r>
  <r>
    <s v="OI000166"/>
    <s v="O00090"/>
    <s v="PR069"/>
    <n v="5"/>
    <n v="0"/>
    <b v="0"/>
    <n v="2230"/>
    <x v="3"/>
    <n v="11150"/>
    <x v="84"/>
    <x v="77"/>
  </r>
  <r>
    <s v="OI000167"/>
    <s v="O00091"/>
    <s v="PR027"/>
    <n v="2"/>
    <n v="0.2"/>
    <b v="0"/>
    <n v="420"/>
    <x v="5"/>
    <n v="672"/>
    <x v="85"/>
    <x v="78"/>
  </r>
  <r>
    <s v="OI000168"/>
    <s v="O00091"/>
    <s v="PR055"/>
    <n v="1"/>
    <n v="0"/>
    <b v="0"/>
    <n v="3040"/>
    <x v="4"/>
    <n v="3040"/>
    <x v="85"/>
    <x v="78"/>
  </r>
  <r>
    <s v="OI000169"/>
    <s v="O00092"/>
    <s v="PR056"/>
    <n v="1"/>
    <n v="0.15"/>
    <b v="0"/>
    <n v="2920"/>
    <x v="3"/>
    <n v="2482"/>
    <x v="86"/>
    <x v="66"/>
  </r>
  <r>
    <s v="OI000170"/>
    <s v="O00092"/>
    <s v="PR020"/>
    <n v="1"/>
    <n v="0.05"/>
    <b v="0"/>
    <n v="110"/>
    <x v="3"/>
    <n v="104.5"/>
    <x v="86"/>
    <x v="66"/>
  </r>
  <r>
    <s v="OI000171"/>
    <s v="O00093"/>
    <s v="PR005"/>
    <n v="1"/>
    <n v="0"/>
    <b v="0"/>
    <n v="1520"/>
    <x v="4"/>
    <n v="1520"/>
    <x v="59"/>
    <x v="36"/>
  </r>
  <r>
    <s v="OI000172"/>
    <s v="O00093"/>
    <s v="PR007"/>
    <n v="2"/>
    <n v="0.2"/>
    <b v="0"/>
    <n v="5550"/>
    <x v="3"/>
    <n v="8880"/>
    <x v="59"/>
    <x v="36"/>
  </r>
  <r>
    <s v="OI000173"/>
    <s v="O00094"/>
    <s v="PR010"/>
    <n v="5"/>
    <n v="0.2"/>
    <b v="0"/>
    <n v="2450"/>
    <x v="1"/>
    <n v="9800"/>
    <x v="33"/>
    <x v="79"/>
  </r>
  <r>
    <s v="OI000174"/>
    <s v="O00095"/>
    <s v="PR034"/>
    <n v="4"/>
    <n v="0.05"/>
    <b v="0"/>
    <n v="530"/>
    <x v="5"/>
    <n v="2014"/>
    <x v="87"/>
    <x v="80"/>
  </r>
  <r>
    <s v="OI000175"/>
    <s v="O00096"/>
    <s v="PR052"/>
    <n v="4"/>
    <n v="0"/>
    <b v="0"/>
    <n v="1340"/>
    <x v="4"/>
    <n v="5360"/>
    <x v="88"/>
    <x v="81"/>
  </r>
  <r>
    <s v="OI000176"/>
    <s v="O00097"/>
    <s v="PR016"/>
    <n v="5"/>
    <n v="0"/>
    <b v="0"/>
    <n v="1130"/>
    <x v="0"/>
    <n v="5650"/>
    <x v="89"/>
    <x v="51"/>
  </r>
  <r>
    <s v="OI000177"/>
    <s v="O00098"/>
    <s v="PR080"/>
    <n v="1"/>
    <n v="0.2"/>
    <b v="0"/>
    <n v="99"/>
    <x v="1"/>
    <n v="79.2"/>
    <x v="90"/>
    <x v="82"/>
  </r>
  <r>
    <s v="OI000178"/>
    <s v="O00098"/>
    <s v="PR075"/>
    <n v="1"/>
    <n v="0.15"/>
    <b v="0"/>
    <n v="1475"/>
    <x v="0"/>
    <n v="1253.75"/>
    <x v="90"/>
    <x v="82"/>
  </r>
  <r>
    <s v="OI000179"/>
    <s v="O00099"/>
    <s v="PR046"/>
    <n v="5"/>
    <n v="0"/>
    <b v="0"/>
    <n v="940"/>
    <x v="2"/>
    <n v="4700"/>
    <x v="91"/>
    <x v="83"/>
  </r>
  <r>
    <s v="OI000180"/>
    <s v="O00099"/>
    <s v="PR038"/>
    <n v="3"/>
    <n v="0.1"/>
    <b v="0"/>
    <n v="99"/>
    <x v="1"/>
    <n v="267.3"/>
    <x v="91"/>
    <x v="83"/>
  </r>
  <r>
    <s v="OI000181"/>
    <s v="O00099"/>
    <s v="PR012"/>
    <n v="3"/>
    <n v="0.2"/>
    <b v="0"/>
    <n v="1240"/>
    <x v="2"/>
    <n v="2976"/>
    <x v="91"/>
    <x v="83"/>
  </r>
  <r>
    <s v="OI000182"/>
    <s v="O00100"/>
    <s v="PR049"/>
    <n v="4"/>
    <n v="0.2"/>
    <b v="0"/>
    <n v="2210"/>
    <x v="5"/>
    <n v="7072"/>
    <x v="92"/>
    <x v="84"/>
  </r>
  <r>
    <s v="OI000183"/>
    <s v="O00100"/>
    <s v="PR004"/>
    <n v="4"/>
    <n v="0"/>
    <b v="0"/>
    <n v="3630"/>
    <x v="4"/>
    <n v="14520"/>
    <x v="92"/>
    <x v="84"/>
  </r>
  <r>
    <s v="OI000184"/>
    <s v="O00100"/>
    <s v="PR069"/>
    <n v="2"/>
    <n v="0"/>
    <b v="0"/>
    <n v="2230"/>
    <x v="3"/>
    <n v="4460"/>
    <x v="92"/>
    <x v="84"/>
  </r>
  <r>
    <s v="OI000187"/>
    <s v="O00102"/>
    <s v="PR048"/>
    <n v="1"/>
    <n v="0.1"/>
    <b v="0"/>
    <n v="3070"/>
    <x v="2"/>
    <n v="2763"/>
    <x v="93"/>
    <x v="85"/>
  </r>
  <r>
    <s v="OI000188"/>
    <s v="O00102"/>
    <s v="PR072"/>
    <n v="2"/>
    <n v="0"/>
    <b v="0"/>
    <n v="3650"/>
    <x v="0"/>
    <n v="7300"/>
    <x v="93"/>
    <x v="85"/>
  </r>
  <r>
    <s v="OI000189"/>
    <s v="O00102"/>
    <s v="PR006"/>
    <n v="1"/>
    <n v="0.1"/>
    <b v="0"/>
    <n v="1520"/>
    <x v="0"/>
    <n v="1368"/>
    <x v="93"/>
    <x v="85"/>
  </r>
  <r>
    <s v="OI000190"/>
    <s v="O00103"/>
    <s v="PR069"/>
    <n v="5"/>
    <n v="0"/>
    <b v="0"/>
    <n v="2230"/>
    <x v="3"/>
    <n v="11150"/>
    <x v="94"/>
    <x v="86"/>
  </r>
  <r>
    <s v="OI000191"/>
    <s v="O00103"/>
    <s v="PR040"/>
    <n v="2"/>
    <n v="0.15"/>
    <b v="0"/>
    <n v="2040"/>
    <x v="0"/>
    <n v="3468"/>
    <x v="94"/>
    <x v="86"/>
  </r>
  <r>
    <s v="OI000192"/>
    <s v="O00104"/>
    <s v="PR045"/>
    <n v="2"/>
    <n v="0.05"/>
    <b v="0"/>
    <n v="2250"/>
    <x v="3"/>
    <n v="4275"/>
    <x v="95"/>
    <x v="87"/>
  </r>
  <r>
    <s v="OI000193"/>
    <s v="O00104"/>
    <s v="PR066"/>
    <n v="2"/>
    <n v="0"/>
    <b v="0"/>
    <n v="3430"/>
    <x v="0"/>
    <n v="6860"/>
    <x v="95"/>
    <x v="87"/>
  </r>
  <r>
    <s v="OI000194"/>
    <s v="O00105"/>
    <s v="PR079"/>
    <n v="3"/>
    <n v="0"/>
    <b v="0"/>
    <n v="1910"/>
    <x v="2"/>
    <n v="5730"/>
    <x v="96"/>
    <x v="1"/>
  </r>
  <r>
    <s v="OI000195"/>
    <s v="O00106"/>
    <s v="PR073"/>
    <n v="1"/>
    <n v="0.2"/>
    <b v="0"/>
    <n v="1760"/>
    <x v="0"/>
    <n v="1408"/>
    <x v="97"/>
    <x v="88"/>
  </r>
  <r>
    <s v="OI000196"/>
    <s v="O00107"/>
    <s v="PR071"/>
    <n v="4"/>
    <n v="0.15"/>
    <b v="0"/>
    <n v="2230"/>
    <x v="1"/>
    <n v="7582"/>
    <x v="98"/>
    <x v="46"/>
  </r>
  <r>
    <s v="OI000197"/>
    <s v="O00107"/>
    <s v="PR071"/>
    <n v="1"/>
    <n v="0"/>
    <b v="0"/>
    <n v="2230"/>
    <x v="1"/>
    <n v="2230"/>
    <x v="98"/>
    <x v="46"/>
  </r>
  <r>
    <s v="OI000198"/>
    <s v="O00108"/>
    <s v="PR033"/>
    <n v="1"/>
    <n v="0"/>
    <b v="0"/>
    <n v="2670"/>
    <x v="5"/>
    <n v="2670"/>
    <x v="99"/>
    <x v="89"/>
  </r>
  <r>
    <s v="OI000199"/>
    <s v="O00108"/>
    <s v="PR075"/>
    <n v="4"/>
    <n v="0"/>
    <b v="0"/>
    <n v="1475"/>
    <x v="0"/>
    <n v="5900"/>
    <x v="99"/>
    <x v="89"/>
  </r>
  <r>
    <s v="OI000200"/>
    <s v="O00109"/>
    <s v="PR031"/>
    <n v="3"/>
    <n v="0"/>
    <b v="1"/>
    <n v="1080"/>
    <x v="3"/>
    <n v="3240"/>
    <x v="100"/>
    <x v="90"/>
  </r>
  <r>
    <s v="OI000201"/>
    <s v="O00110"/>
    <s v="PR025"/>
    <n v="3"/>
    <n v="0.05"/>
    <b v="0"/>
    <n v="1150"/>
    <x v="2"/>
    <n v="3277.5"/>
    <x v="101"/>
    <x v="91"/>
  </r>
  <r>
    <s v="OI000202"/>
    <s v="O00110"/>
    <s v="PR058"/>
    <n v="3"/>
    <n v="0.1"/>
    <b v="0"/>
    <n v="1430"/>
    <x v="0"/>
    <n v="3861"/>
    <x v="101"/>
    <x v="91"/>
  </r>
  <r>
    <s v="OI000203"/>
    <s v="O00111"/>
    <s v="PR075"/>
    <n v="2"/>
    <n v="0.1"/>
    <b v="0"/>
    <n v="1475"/>
    <x v="0"/>
    <n v="2655"/>
    <x v="102"/>
    <x v="92"/>
  </r>
  <r>
    <s v="OI000204"/>
    <s v="O00111"/>
    <s v="PR073"/>
    <n v="3"/>
    <n v="0.2"/>
    <b v="0"/>
    <n v="1760"/>
    <x v="0"/>
    <n v="4224"/>
    <x v="102"/>
    <x v="92"/>
  </r>
  <r>
    <s v="OI000205"/>
    <s v="O00112"/>
    <s v="PR055"/>
    <n v="2"/>
    <n v="0"/>
    <b v="0"/>
    <n v="3040"/>
    <x v="4"/>
    <n v="6080"/>
    <x v="62"/>
    <x v="93"/>
  </r>
  <r>
    <s v="OI000206"/>
    <s v="O00113"/>
    <s v="PR029"/>
    <n v="4"/>
    <n v="0"/>
    <b v="0"/>
    <n v="1080"/>
    <x v="5"/>
    <n v="4320"/>
    <x v="103"/>
    <x v="94"/>
  </r>
  <r>
    <s v="OI000207"/>
    <s v="O00114"/>
    <s v="PR018"/>
    <n v="3"/>
    <n v="0.05"/>
    <b v="0"/>
    <n v="2180"/>
    <x v="4"/>
    <n v="6213"/>
    <x v="104"/>
    <x v="95"/>
  </r>
  <r>
    <s v="OI000208"/>
    <s v="O00114"/>
    <s v="PR060"/>
    <n v="4"/>
    <n v="0"/>
    <b v="0"/>
    <n v="1910"/>
    <x v="2"/>
    <n v="7640"/>
    <x v="104"/>
    <x v="95"/>
  </r>
  <r>
    <s v="OI000209"/>
    <s v="O00114"/>
    <s v="PR040"/>
    <n v="4"/>
    <n v="0.1"/>
    <b v="0"/>
    <n v="2040"/>
    <x v="0"/>
    <n v="7344"/>
    <x v="104"/>
    <x v="95"/>
  </r>
  <r>
    <s v="OI000210"/>
    <s v="O00115"/>
    <s v="PR078"/>
    <n v="1"/>
    <n v="0.2"/>
    <b v="0"/>
    <n v="1440"/>
    <x v="3"/>
    <n v="1152"/>
    <x v="105"/>
    <x v="96"/>
  </r>
  <r>
    <s v="OI000211"/>
    <s v="O00116"/>
    <s v="PR018"/>
    <n v="5"/>
    <n v="0"/>
    <b v="0"/>
    <n v="2180"/>
    <x v="4"/>
    <n v="10900"/>
    <x v="106"/>
    <x v="97"/>
  </r>
  <r>
    <s v="OI000212"/>
    <s v="O00117"/>
    <s v="PR005"/>
    <n v="1"/>
    <n v="0.15"/>
    <b v="0"/>
    <n v="1520"/>
    <x v="4"/>
    <n v="1292"/>
    <x v="107"/>
    <x v="73"/>
  </r>
  <r>
    <s v="OI000213"/>
    <s v="O00118"/>
    <s v="PR003"/>
    <n v="5"/>
    <n v="0.15"/>
    <b v="0"/>
    <n v="2580"/>
    <x v="5"/>
    <n v="10965"/>
    <x v="108"/>
    <x v="76"/>
  </r>
  <r>
    <s v="OI000214"/>
    <s v="O00119"/>
    <s v="PR075"/>
    <n v="5"/>
    <n v="0.05"/>
    <b v="0"/>
    <n v="1475"/>
    <x v="0"/>
    <n v="7006.25"/>
    <x v="109"/>
    <x v="65"/>
  </r>
  <r>
    <s v="OI000215"/>
    <s v="O00120"/>
    <s v="PR028"/>
    <n v="1"/>
    <n v="0.1"/>
    <b v="0"/>
    <n v="2250"/>
    <x v="3"/>
    <n v="2025"/>
    <x v="110"/>
    <x v="98"/>
  </r>
  <r>
    <s v="OI000216"/>
    <s v="O00120"/>
    <s v="PR034"/>
    <n v="5"/>
    <n v="0.1"/>
    <b v="0"/>
    <n v="530"/>
    <x v="5"/>
    <n v="2385"/>
    <x v="110"/>
    <x v="98"/>
  </r>
  <r>
    <s v="OI000217"/>
    <s v="O00121"/>
    <s v="PR020"/>
    <n v="3"/>
    <n v="0.05"/>
    <b v="0"/>
    <n v="110"/>
    <x v="3"/>
    <n v="313.5"/>
    <x v="111"/>
    <x v="88"/>
  </r>
  <r>
    <s v="OI000218"/>
    <s v="O00122"/>
    <s v="PR076"/>
    <n v="3"/>
    <n v="0"/>
    <b v="0"/>
    <n v="2790"/>
    <x v="4"/>
    <n v="8370"/>
    <x v="112"/>
    <x v="59"/>
  </r>
  <r>
    <s v="OI000219"/>
    <s v="O00123"/>
    <s v="PR066"/>
    <n v="1"/>
    <n v="0.05"/>
    <b v="0"/>
    <n v="3430"/>
    <x v="0"/>
    <n v="3258.5"/>
    <x v="113"/>
    <x v="99"/>
  </r>
  <r>
    <s v="OI000220"/>
    <s v="O00124"/>
    <s v="PR002"/>
    <n v="2"/>
    <n v="0.2"/>
    <b v="0"/>
    <n v="1630"/>
    <x v="5"/>
    <n v="2608"/>
    <x v="114"/>
    <x v="100"/>
  </r>
  <r>
    <s v="OI000221"/>
    <s v="O00125"/>
    <s v="PR079"/>
    <n v="2"/>
    <n v="0.2"/>
    <b v="0"/>
    <n v="1910"/>
    <x v="2"/>
    <n v="3056"/>
    <x v="115"/>
    <x v="101"/>
  </r>
  <r>
    <s v="OI000222"/>
    <s v="O00125"/>
    <s v="PR066"/>
    <n v="2"/>
    <n v="0.05"/>
    <b v="0"/>
    <n v="3430"/>
    <x v="0"/>
    <n v="6517"/>
    <x v="115"/>
    <x v="101"/>
  </r>
  <r>
    <s v="OI000223"/>
    <s v="O00125"/>
    <s v="PR021"/>
    <n v="2"/>
    <n v="0.1"/>
    <b v="0"/>
    <n v="3560"/>
    <x v="1"/>
    <n v="6408"/>
    <x v="115"/>
    <x v="101"/>
  </r>
  <r>
    <s v="OI000224"/>
    <s v="O00125"/>
    <s v="PR073"/>
    <n v="2"/>
    <n v="0.15"/>
    <b v="0"/>
    <n v="1760"/>
    <x v="0"/>
    <n v="2992"/>
    <x v="115"/>
    <x v="101"/>
  </r>
  <r>
    <s v="OI000225"/>
    <s v="O00126"/>
    <s v="PR046"/>
    <n v="1"/>
    <n v="0"/>
    <b v="0"/>
    <n v="940"/>
    <x v="2"/>
    <n v="940"/>
    <x v="116"/>
    <x v="102"/>
  </r>
  <r>
    <s v="OI000226"/>
    <s v="O00126"/>
    <s v="PR063"/>
    <n v="2"/>
    <n v="0"/>
    <b v="0"/>
    <n v="470"/>
    <x v="2"/>
    <n v="940"/>
    <x v="116"/>
    <x v="102"/>
  </r>
  <r>
    <s v="OI000227"/>
    <s v="O00127"/>
    <s v="PR030"/>
    <n v="1"/>
    <n v="0.15"/>
    <b v="0"/>
    <n v="1440"/>
    <x v="1"/>
    <n v="1224"/>
    <x v="117"/>
    <x v="24"/>
  </r>
  <r>
    <s v="OI000228"/>
    <s v="O00128"/>
    <s v="PR047"/>
    <n v="4"/>
    <n v="0.05"/>
    <b v="0"/>
    <n v="1250"/>
    <x v="1"/>
    <n v="4750"/>
    <x v="118"/>
    <x v="103"/>
  </r>
  <r>
    <s v="OI000229"/>
    <s v="O00129"/>
    <s v="PR006"/>
    <n v="1"/>
    <n v="0.15"/>
    <b v="0"/>
    <n v="1520"/>
    <x v="0"/>
    <n v="1292"/>
    <x v="24"/>
    <x v="104"/>
  </r>
  <r>
    <s v="OI000230"/>
    <s v="O00129"/>
    <s v="PR042"/>
    <n v="1"/>
    <n v="0.15"/>
    <b v="0"/>
    <n v="2010"/>
    <x v="5"/>
    <n v="1708.5"/>
    <x v="24"/>
    <x v="104"/>
  </r>
  <r>
    <s v="OI000231"/>
    <s v="O00129"/>
    <s v="PR067"/>
    <n v="3"/>
    <n v="0.2"/>
    <b v="0"/>
    <n v="1710"/>
    <x v="3"/>
    <n v="4104"/>
    <x v="24"/>
    <x v="104"/>
  </r>
  <r>
    <s v="OI000232"/>
    <s v="O00130"/>
    <s v="PR075"/>
    <n v="5"/>
    <n v="0.1"/>
    <b v="0"/>
    <n v="1475"/>
    <x v="0"/>
    <n v="6637.5"/>
    <x v="70"/>
    <x v="105"/>
  </r>
  <r>
    <s v="OI000233"/>
    <s v="O00130"/>
    <s v="PR023"/>
    <n v="4"/>
    <n v="0.15"/>
    <b v="0"/>
    <n v="1880"/>
    <x v="2"/>
    <n v="6392"/>
    <x v="70"/>
    <x v="105"/>
  </r>
  <r>
    <s v="OI000234"/>
    <s v="O00131"/>
    <s v="PR076"/>
    <n v="1"/>
    <n v="0.1"/>
    <b v="0"/>
    <n v="2790"/>
    <x v="4"/>
    <n v="2511"/>
    <x v="119"/>
    <x v="106"/>
  </r>
  <r>
    <s v="OI000235"/>
    <s v="O00132"/>
    <s v="PR029"/>
    <n v="5"/>
    <n v="0.05"/>
    <b v="0"/>
    <n v="1080"/>
    <x v="5"/>
    <n v="5130"/>
    <x v="120"/>
    <x v="107"/>
  </r>
  <r>
    <s v="OI000236"/>
    <s v="O00133"/>
    <s v="PR045"/>
    <n v="4"/>
    <n v="0.2"/>
    <b v="0"/>
    <n v="2250"/>
    <x v="3"/>
    <n v="7200"/>
    <x v="121"/>
    <x v="57"/>
  </r>
  <r>
    <s v="OI000237"/>
    <s v="O00134"/>
    <s v="PR078"/>
    <n v="1"/>
    <n v="0.1"/>
    <b v="0"/>
    <n v="1440"/>
    <x v="3"/>
    <n v="1296"/>
    <x v="84"/>
    <x v="108"/>
  </r>
  <r>
    <s v="OI000238"/>
    <s v="O00135"/>
    <s v="PR057"/>
    <n v="2"/>
    <n v="0"/>
    <b v="0"/>
    <n v="790"/>
    <x v="1"/>
    <n v="1580"/>
    <x v="121"/>
    <x v="109"/>
  </r>
  <r>
    <s v="OI000239"/>
    <s v="O00135"/>
    <s v="PR010"/>
    <n v="5"/>
    <n v="0.15"/>
    <b v="0"/>
    <n v="2450"/>
    <x v="1"/>
    <n v="10412.5"/>
    <x v="121"/>
    <x v="109"/>
  </r>
  <r>
    <s v="OI000240"/>
    <s v="O00135"/>
    <s v="PR036"/>
    <n v="2"/>
    <n v="0"/>
    <b v="0"/>
    <n v="330"/>
    <x v="0"/>
    <n v="660"/>
    <x v="121"/>
    <x v="109"/>
  </r>
  <r>
    <s v="OI000241"/>
    <s v="O00136"/>
    <s v="PR047"/>
    <n v="5"/>
    <n v="0.15"/>
    <b v="0"/>
    <n v="1250"/>
    <x v="1"/>
    <n v="5312.5"/>
    <x v="24"/>
    <x v="110"/>
  </r>
  <r>
    <s v="OI000242"/>
    <s v="O00137"/>
    <s v="PR030"/>
    <n v="4"/>
    <n v="0.2"/>
    <b v="0"/>
    <n v="1440"/>
    <x v="1"/>
    <n v="4608"/>
    <x v="122"/>
    <x v="68"/>
  </r>
  <r>
    <s v="OI000243"/>
    <s v="O00137"/>
    <s v="PR043"/>
    <n v="1"/>
    <n v="0.05"/>
    <b v="0"/>
    <n v="1660"/>
    <x v="2"/>
    <n v="1577"/>
    <x v="122"/>
    <x v="68"/>
  </r>
  <r>
    <s v="OI000244"/>
    <s v="O00137"/>
    <s v="PR062"/>
    <n v="4"/>
    <n v="0"/>
    <b v="0"/>
    <n v="1580"/>
    <x v="2"/>
    <n v="6320"/>
    <x v="122"/>
    <x v="68"/>
  </r>
  <r>
    <s v="OI000245"/>
    <s v="O00138"/>
    <s v="PR053"/>
    <n v="1"/>
    <n v="0"/>
    <b v="0"/>
    <n v="990"/>
    <x v="0"/>
    <n v="990"/>
    <x v="123"/>
    <x v="111"/>
  </r>
  <r>
    <s v="OI000246"/>
    <s v="O00138"/>
    <s v="PR006"/>
    <n v="2"/>
    <n v="0.1"/>
    <b v="0"/>
    <n v="1520"/>
    <x v="0"/>
    <n v="2736"/>
    <x v="123"/>
    <x v="111"/>
  </r>
  <r>
    <s v="OI000247"/>
    <s v="O00139"/>
    <s v="PR018"/>
    <n v="5"/>
    <n v="0"/>
    <b v="0"/>
    <n v="2180"/>
    <x v="4"/>
    <n v="10900"/>
    <x v="109"/>
    <x v="65"/>
  </r>
  <r>
    <s v="OI000248"/>
    <s v="O00139"/>
    <s v="PR074"/>
    <n v="2"/>
    <n v="0"/>
    <b v="0"/>
    <n v="3680"/>
    <x v="3"/>
    <n v="7360"/>
    <x v="109"/>
    <x v="65"/>
  </r>
  <r>
    <s v="OI000249"/>
    <s v="O00140"/>
    <s v="PR024"/>
    <n v="5"/>
    <n v="0.05"/>
    <b v="0"/>
    <n v="99"/>
    <x v="4"/>
    <n v="470.25"/>
    <x v="124"/>
    <x v="112"/>
  </r>
  <r>
    <s v="OI000250"/>
    <s v="O00141"/>
    <s v="PR073"/>
    <n v="3"/>
    <n v="0.15"/>
    <b v="1"/>
    <n v="1760"/>
    <x v="0"/>
    <n v="4488"/>
    <x v="125"/>
    <x v="54"/>
  </r>
  <r>
    <s v="OI000251"/>
    <s v="O00141"/>
    <s v="PR037"/>
    <n v="1"/>
    <n v="0"/>
    <b v="0"/>
    <n v="2050"/>
    <x v="2"/>
    <n v="2050"/>
    <x v="125"/>
    <x v="54"/>
  </r>
  <r>
    <s v="OI000252"/>
    <s v="O00142"/>
    <s v="PR061"/>
    <n v="4"/>
    <n v="0"/>
    <b v="0"/>
    <n v="1220"/>
    <x v="3"/>
    <n v="4880"/>
    <x v="126"/>
    <x v="113"/>
  </r>
  <r>
    <s v="OI000253"/>
    <s v="O00143"/>
    <s v="PR053"/>
    <n v="5"/>
    <n v="0"/>
    <b v="0"/>
    <n v="990"/>
    <x v="0"/>
    <n v="4950"/>
    <x v="37"/>
    <x v="65"/>
  </r>
  <r>
    <s v="OI000254"/>
    <s v="O00144"/>
    <s v="PR024"/>
    <n v="5"/>
    <n v="0.15"/>
    <b v="0"/>
    <n v="99"/>
    <x v="4"/>
    <n v="420.75"/>
    <x v="102"/>
    <x v="114"/>
  </r>
  <r>
    <s v="OI000255"/>
    <s v="O00144"/>
    <s v="PR066"/>
    <n v="3"/>
    <n v="0"/>
    <b v="0"/>
    <n v="3430"/>
    <x v="0"/>
    <n v="10290"/>
    <x v="102"/>
    <x v="114"/>
  </r>
  <r>
    <s v="OI000256"/>
    <s v="O00145"/>
    <s v="PR044"/>
    <n v="4"/>
    <n v="0.1"/>
    <b v="0"/>
    <n v="1440"/>
    <x v="1"/>
    <n v="5184"/>
    <x v="127"/>
    <x v="115"/>
  </r>
  <r>
    <s v="OI000257"/>
    <s v="O00145"/>
    <s v="PR076"/>
    <n v="1"/>
    <n v="0"/>
    <b v="0"/>
    <n v="2790"/>
    <x v="4"/>
    <n v="2790"/>
    <x v="127"/>
    <x v="115"/>
  </r>
  <r>
    <s v="OI000258"/>
    <s v="O00146"/>
    <s v="PR017"/>
    <n v="1"/>
    <n v="0"/>
    <b v="0"/>
    <n v="580"/>
    <x v="0"/>
    <n v="580"/>
    <x v="90"/>
    <x v="18"/>
  </r>
  <r>
    <s v="OI000259"/>
    <s v="O00147"/>
    <s v="PR065"/>
    <n v="4"/>
    <n v="0.2"/>
    <b v="0"/>
    <n v="2780"/>
    <x v="2"/>
    <n v="8896"/>
    <x v="68"/>
    <x v="59"/>
  </r>
  <r>
    <s v="OI000260"/>
    <s v="O00148"/>
    <s v="PR013"/>
    <n v="2"/>
    <n v="0.05"/>
    <b v="0"/>
    <n v="2090"/>
    <x v="5"/>
    <n v="3971"/>
    <x v="94"/>
    <x v="116"/>
  </r>
  <r>
    <s v="OI000261"/>
    <s v="O00149"/>
    <s v="PR077"/>
    <n v="1"/>
    <n v="0.2"/>
    <b v="0"/>
    <n v="1900"/>
    <x v="5"/>
    <n v="1520"/>
    <x v="128"/>
    <x v="34"/>
  </r>
  <r>
    <s v="OI000262"/>
    <s v="O00149"/>
    <s v="PR069"/>
    <n v="5"/>
    <n v="0.2"/>
    <b v="0"/>
    <n v="2230"/>
    <x v="3"/>
    <n v="8920"/>
    <x v="128"/>
    <x v="34"/>
  </r>
  <r>
    <s v="OI000263"/>
    <s v="O00149"/>
    <s v="PR016"/>
    <n v="1"/>
    <n v="0.05"/>
    <b v="0"/>
    <n v="1130"/>
    <x v="0"/>
    <n v="1073.5"/>
    <x v="128"/>
    <x v="34"/>
  </r>
  <r>
    <s v="OI000264"/>
    <s v="O00150"/>
    <s v="PR078"/>
    <n v="5"/>
    <n v="0.2"/>
    <b v="0"/>
    <n v="1440"/>
    <x v="3"/>
    <n v="5760"/>
    <x v="129"/>
    <x v="117"/>
  </r>
  <r>
    <s v="OI000265"/>
    <s v="O00150"/>
    <s v="PR001"/>
    <n v="4"/>
    <n v="0.1"/>
    <b v="0"/>
    <n v="2400"/>
    <x v="4"/>
    <n v="8640"/>
    <x v="129"/>
    <x v="117"/>
  </r>
  <r>
    <s v="OI000266"/>
    <s v="O00151"/>
    <s v="PR006"/>
    <n v="5"/>
    <n v="0.05"/>
    <b v="0"/>
    <n v="1520"/>
    <x v="0"/>
    <n v="7220"/>
    <x v="130"/>
    <x v="118"/>
  </r>
  <r>
    <s v="OI000267"/>
    <s v="O00152"/>
    <s v="PR062"/>
    <n v="4"/>
    <n v="0"/>
    <b v="0"/>
    <n v="1580"/>
    <x v="2"/>
    <n v="6320"/>
    <x v="131"/>
    <x v="56"/>
  </r>
  <r>
    <s v="OI000268"/>
    <s v="O00153"/>
    <s v="PR074"/>
    <n v="1"/>
    <n v="0.05"/>
    <b v="0"/>
    <n v="3680"/>
    <x v="3"/>
    <n v="3496"/>
    <x v="132"/>
    <x v="21"/>
  </r>
  <r>
    <s v="OI000269"/>
    <s v="O00153"/>
    <s v="PR018"/>
    <n v="3"/>
    <n v="0.05"/>
    <b v="0"/>
    <n v="2180"/>
    <x v="4"/>
    <n v="6213"/>
    <x v="132"/>
    <x v="21"/>
  </r>
  <r>
    <s v="OI000270"/>
    <s v="O00154"/>
    <s v="PR011"/>
    <n v="3"/>
    <n v="0.1"/>
    <b v="0"/>
    <n v="1240"/>
    <x v="2"/>
    <n v="3348"/>
    <x v="133"/>
    <x v="119"/>
  </r>
  <r>
    <s v="OI000271"/>
    <s v="O00154"/>
    <s v="PR070"/>
    <n v="4"/>
    <n v="0"/>
    <b v="0"/>
    <n v="1030"/>
    <x v="5"/>
    <n v="4120"/>
    <x v="133"/>
    <x v="119"/>
  </r>
  <r>
    <s v="OI000272"/>
    <s v="O00155"/>
    <s v="PR001"/>
    <n v="5"/>
    <n v="0.1"/>
    <b v="0"/>
    <n v="2400"/>
    <x v="4"/>
    <n v="10800"/>
    <x v="134"/>
    <x v="120"/>
  </r>
  <r>
    <s v="OI000273"/>
    <s v="O00156"/>
    <s v="PR001"/>
    <n v="4"/>
    <n v="0.15"/>
    <b v="0"/>
    <n v="2400"/>
    <x v="4"/>
    <n v="8160"/>
    <x v="135"/>
    <x v="121"/>
  </r>
  <r>
    <s v="OI000274"/>
    <s v="O00157"/>
    <s v="PR041"/>
    <n v="4"/>
    <n v="0"/>
    <b v="0"/>
    <n v="2690"/>
    <x v="5"/>
    <n v="10760"/>
    <x v="136"/>
    <x v="122"/>
  </r>
  <r>
    <s v="OI000275"/>
    <s v="O00158"/>
    <s v="PR055"/>
    <n v="5"/>
    <n v="0"/>
    <b v="0"/>
    <n v="3040"/>
    <x v="4"/>
    <n v="15200"/>
    <x v="137"/>
    <x v="123"/>
  </r>
  <r>
    <s v="OI000276"/>
    <s v="O00159"/>
    <s v="PR069"/>
    <n v="4"/>
    <n v="0.1"/>
    <b v="0"/>
    <n v="2230"/>
    <x v="3"/>
    <n v="8028"/>
    <x v="138"/>
    <x v="124"/>
  </r>
  <r>
    <s v="OI000277"/>
    <s v="O00160"/>
    <s v="PR036"/>
    <n v="4"/>
    <n v="0.2"/>
    <b v="0"/>
    <n v="330"/>
    <x v="0"/>
    <n v="1056"/>
    <x v="139"/>
    <x v="125"/>
  </r>
  <r>
    <s v="OI000278"/>
    <s v="O00161"/>
    <s v="PR071"/>
    <n v="5"/>
    <n v="0.05"/>
    <b v="0"/>
    <n v="2230"/>
    <x v="1"/>
    <n v="10592.5"/>
    <x v="130"/>
    <x v="0"/>
  </r>
  <r>
    <s v="OI000279"/>
    <s v="O00162"/>
    <s v="PR072"/>
    <n v="5"/>
    <n v="0.05"/>
    <b v="0"/>
    <n v="3650"/>
    <x v="0"/>
    <n v="17337.5"/>
    <x v="22"/>
    <x v="126"/>
  </r>
  <r>
    <s v="OI000280"/>
    <s v="O00163"/>
    <s v="PR040"/>
    <n v="5"/>
    <n v="0"/>
    <b v="0"/>
    <n v="2040"/>
    <x v="0"/>
    <n v="10200"/>
    <x v="140"/>
    <x v="127"/>
  </r>
  <r>
    <s v="OI000281"/>
    <s v="O00164"/>
    <s v="PR051"/>
    <n v="2"/>
    <n v="0.2"/>
    <b v="0"/>
    <n v="2190"/>
    <x v="4"/>
    <n v="3504"/>
    <x v="141"/>
    <x v="128"/>
  </r>
  <r>
    <s v="OI000282"/>
    <s v="O00164"/>
    <s v="PR016"/>
    <n v="2"/>
    <n v="0.05"/>
    <b v="0"/>
    <n v="1130"/>
    <x v="0"/>
    <n v="2147"/>
    <x v="141"/>
    <x v="128"/>
  </r>
  <r>
    <s v="OI000283"/>
    <s v="O00165"/>
    <s v="PR021"/>
    <n v="1"/>
    <n v="0"/>
    <b v="0"/>
    <n v="3560"/>
    <x v="1"/>
    <n v="3560"/>
    <x v="107"/>
    <x v="100"/>
  </r>
  <r>
    <s v="OI000284"/>
    <s v="O00165"/>
    <s v="PR066"/>
    <n v="4"/>
    <n v="0.2"/>
    <b v="0"/>
    <n v="3430"/>
    <x v="0"/>
    <n v="10976"/>
    <x v="107"/>
    <x v="100"/>
  </r>
  <r>
    <s v="OI000285"/>
    <s v="O00166"/>
    <s v="PR071"/>
    <n v="5"/>
    <n v="0.15"/>
    <b v="0"/>
    <n v="2230"/>
    <x v="1"/>
    <n v="9477.5"/>
    <x v="142"/>
    <x v="81"/>
  </r>
  <r>
    <s v="OI000286"/>
    <s v="O00167"/>
    <s v="PR007"/>
    <n v="2"/>
    <n v="0.05"/>
    <b v="0"/>
    <n v="5550"/>
    <x v="3"/>
    <n v="10545"/>
    <x v="22"/>
    <x v="100"/>
  </r>
  <r>
    <s v="OI000287"/>
    <s v="O00167"/>
    <s v="PR001"/>
    <n v="1"/>
    <n v="0.2"/>
    <b v="0"/>
    <n v="2400"/>
    <x v="4"/>
    <n v="1920"/>
    <x v="22"/>
    <x v="100"/>
  </r>
  <r>
    <s v="OI000288"/>
    <s v="O00168"/>
    <s v="PR077"/>
    <n v="4"/>
    <n v="0"/>
    <b v="0"/>
    <n v="1900"/>
    <x v="5"/>
    <n v="7600"/>
    <x v="143"/>
    <x v="129"/>
  </r>
  <r>
    <s v="OI000289"/>
    <s v="O00169"/>
    <s v="PR029"/>
    <n v="3"/>
    <n v="0"/>
    <b v="0"/>
    <n v="1080"/>
    <x v="5"/>
    <n v="3240"/>
    <x v="144"/>
    <x v="52"/>
  </r>
  <r>
    <s v="OI000290"/>
    <s v="O00170"/>
    <s v="PR050"/>
    <n v="4"/>
    <n v="0.1"/>
    <b v="0"/>
    <n v="99"/>
    <x v="5"/>
    <n v="356.40000000000003"/>
    <x v="145"/>
    <x v="52"/>
  </r>
  <r>
    <s v="OI000291"/>
    <s v="O00170"/>
    <s v="PR067"/>
    <n v="3"/>
    <n v="0.15"/>
    <b v="0"/>
    <n v="1710"/>
    <x v="3"/>
    <n v="4360.5"/>
    <x v="145"/>
    <x v="52"/>
  </r>
  <r>
    <s v="OI000292"/>
    <s v="O00171"/>
    <s v="PR008"/>
    <n v="2"/>
    <n v="0.15"/>
    <b v="0"/>
    <n v="2720"/>
    <x v="5"/>
    <n v="4624"/>
    <x v="146"/>
    <x v="130"/>
  </r>
  <r>
    <s v="OI000293"/>
    <s v="O00171"/>
    <s v="PR064"/>
    <n v="4"/>
    <n v="0"/>
    <b v="0"/>
    <n v="360"/>
    <x v="5"/>
    <n v="1440"/>
    <x v="146"/>
    <x v="130"/>
  </r>
  <r>
    <s v="OI000294"/>
    <s v="O00171"/>
    <s v="PR026"/>
    <n v="5"/>
    <n v="0"/>
    <b v="0"/>
    <n v="1930"/>
    <x v="3"/>
    <n v="9650"/>
    <x v="146"/>
    <x v="130"/>
  </r>
  <r>
    <s v="OI000295"/>
    <s v="O00171"/>
    <s v="PR025"/>
    <n v="1"/>
    <n v="0.2"/>
    <b v="0"/>
    <n v="1150"/>
    <x v="2"/>
    <n v="920"/>
    <x v="146"/>
    <x v="130"/>
  </r>
  <r>
    <s v="OI000296"/>
    <s v="O00172"/>
    <s v="PR067"/>
    <n v="2"/>
    <n v="0.1"/>
    <b v="0"/>
    <n v="1710"/>
    <x v="3"/>
    <n v="3078"/>
    <x v="147"/>
    <x v="131"/>
  </r>
  <r>
    <s v="OI000297"/>
    <s v="O00172"/>
    <s v="PR022"/>
    <n v="1"/>
    <n v="0"/>
    <b v="0"/>
    <n v="1530"/>
    <x v="5"/>
    <n v="1530"/>
    <x v="147"/>
    <x v="131"/>
  </r>
  <r>
    <s v="OI000298"/>
    <s v="O00173"/>
    <s v="PR001"/>
    <n v="2"/>
    <n v="0"/>
    <b v="0"/>
    <n v="2400"/>
    <x v="4"/>
    <n v="4800"/>
    <x v="97"/>
    <x v="132"/>
  </r>
  <r>
    <s v="OI000299"/>
    <s v="O00174"/>
    <s v="PR052"/>
    <n v="3"/>
    <n v="0.15"/>
    <b v="0"/>
    <n v="1340"/>
    <x v="4"/>
    <n v="3417"/>
    <x v="148"/>
    <x v="120"/>
  </r>
  <r>
    <s v="OI000300"/>
    <s v="O00174"/>
    <s v="PR051"/>
    <n v="3"/>
    <n v="0.1"/>
    <b v="1"/>
    <n v="2190"/>
    <x v="4"/>
    <n v="5913"/>
    <x v="148"/>
    <x v="120"/>
  </r>
  <r>
    <s v="OI000301"/>
    <s v="O00174"/>
    <s v="PR026"/>
    <n v="5"/>
    <n v="0"/>
    <b v="0"/>
    <n v="1930"/>
    <x v="3"/>
    <n v="9650"/>
    <x v="148"/>
    <x v="120"/>
  </r>
  <r>
    <s v="OI000302"/>
    <s v="O00174"/>
    <s v="PR009"/>
    <n v="1"/>
    <n v="0.1"/>
    <b v="0"/>
    <n v="1240"/>
    <x v="5"/>
    <n v="1116"/>
    <x v="148"/>
    <x v="120"/>
  </r>
  <r>
    <s v="OI000303"/>
    <s v="O00175"/>
    <s v="PR072"/>
    <n v="5"/>
    <n v="0"/>
    <b v="0"/>
    <n v="3650"/>
    <x v="0"/>
    <n v="18250"/>
    <x v="149"/>
    <x v="133"/>
  </r>
  <r>
    <s v="OI000304"/>
    <s v="O00176"/>
    <s v="PR036"/>
    <n v="2"/>
    <n v="0.1"/>
    <b v="0"/>
    <n v="330"/>
    <x v="0"/>
    <n v="594"/>
    <x v="150"/>
    <x v="110"/>
  </r>
  <r>
    <s v="OI000305"/>
    <s v="O00177"/>
    <s v="PR059"/>
    <n v="4"/>
    <n v="0.1"/>
    <b v="0"/>
    <n v="2200"/>
    <x v="4"/>
    <n v="7920"/>
    <x v="73"/>
    <x v="134"/>
  </r>
  <r>
    <s v="OI000306"/>
    <s v="O00177"/>
    <s v="PR001"/>
    <n v="3"/>
    <n v="0"/>
    <b v="0"/>
    <n v="2400"/>
    <x v="4"/>
    <n v="7200"/>
    <x v="73"/>
    <x v="134"/>
  </r>
  <r>
    <s v="OI000307"/>
    <s v="O00177"/>
    <s v="PR053"/>
    <n v="5"/>
    <n v="0"/>
    <b v="0"/>
    <n v="990"/>
    <x v="0"/>
    <n v="4950"/>
    <x v="73"/>
    <x v="134"/>
  </r>
  <r>
    <s v="OI000308"/>
    <s v="O00177"/>
    <s v="PR072"/>
    <n v="1"/>
    <n v="0.1"/>
    <b v="0"/>
    <n v="3650"/>
    <x v="0"/>
    <n v="3285"/>
    <x v="73"/>
    <x v="134"/>
  </r>
  <r>
    <s v="OI000309"/>
    <s v="O00178"/>
    <s v="PR015"/>
    <n v="5"/>
    <n v="0"/>
    <b v="0"/>
    <n v="1765"/>
    <x v="5"/>
    <n v="8825"/>
    <x v="137"/>
    <x v="35"/>
  </r>
  <r>
    <s v="OI000310"/>
    <s v="O00179"/>
    <s v="PR074"/>
    <n v="3"/>
    <n v="0.15"/>
    <b v="0"/>
    <n v="3680"/>
    <x v="3"/>
    <n v="9384"/>
    <x v="151"/>
    <x v="135"/>
  </r>
  <r>
    <s v="OI000311"/>
    <s v="O00179"/>
    <s v="PR057"/>
    <n v="4"/>
    <n v="0.1"/>
    <b v="0"/>
    <n v="790"/>
    <x v="1"/>
    <n v="2844"/>
    <x v="151"/>
    <x v="135"/>
  </r>
  <r>
    <s v="OI000312"/>
    <s v="O00179"/>
    <s v="PR062"/>
    <n v="2"/>
    <n v="0.2"/>
    <b v="0"/>
    <n v="1580"/>
    <x v="2"/>
    <n v="2528"/>
    <x v="151"/>
    <x v="135"/>
  </r>
  <r>
    <s v="OI000313"/>
    <s v="O00180"/>
    <s v="PR059"/>
    <n v="4"/>
    <n v="0.1"/>
    <b v="0"/>
    <n v="2200"/>
    <x v="4"/>
    <n v="7920"/>
    <x v="152"/>
    <x v="136"/>
  </r>
  <r>
    <s v="OI000314"/>
    <s v="O00181"/>
    <s v="PR062"/>
    <n v="1"/>
    <n v="0"/>
    <b v="0"/>
    <n v="1580"/>
    <x v="2"/>
    <n v="1580"/>
    <x v="153"/>
    <x v="137"/>
  </r>
  <r>
    <s v="OI000315"/>
    <s v="O00181"/>
    <s v="PR009"/>
    <n v="4"/>
    <n v="0.15"/>
    <b v="0"/>
    <n v="1240"/>
    <x v="5"/>
    <n v="4216"/>
    <x v="153"/>
    <x v="137"/>
  </r>
  <r>
    <s v="OI000316"/>
    <s v="O00181"/>
    <s v="PR029"/>
    <n v="2"/>
    <n v="0.2"/>
    <b v="0"/>
    <n v="1080"/>
    <x v="5"/>
    <n v="1728"/>
    <x v="153"/>
    <x v="137"/>
  </r>
  <r>
    <s v="OI000317"/>
    <s v="O00182"/>
    <s v="PR046"/>
    <n v="5"/>
    <n v="0.1"/>
    <b v="0"/>
    <n v="940"/>
    <x v="2"/>
    <n v="4230"/>
    <x v="45"/>
    <x v="138"/>
  </r>
  <r>
    <s v="OI000318"/>
    <s v="O00183"/>
    <s v="PR034"/>
    <n v="2"/>
    <n v="0"/>
    <b v="0"/>
    <n v="530"/>
    <x v="5"/>
    <n v="1060"/>
    <x v="30"/>
    <x v="139"/>
  </r>
  <r>
    <s v="OI000319"/>
    <s v="O00184"/>
    <s v="PR044"/>
    <n v="1"/>
    <n v="0.1"/>
    <b v="0"/>
    <n v="1440"/>
    <x v="1"/>
    <n v="1296"/>
    <x v="126"/>
    <x v="140"/>
  </r>
  <r>
    <s v="OI000320"/>
    <s v="O00185"/>
    <s v="PR061"/>
    <n v="3"/>
    <n v="0"/>
    <b v="0"/>
    <n v="1220"/>
    <x v="3"/>
    <n v="3660"/>
    <x v="154"/>
    <x v="141"/>
  </r>
  <r>
    <s v="OI000321"/>
    <s v="O00185"/>
    <s v="PR028"/>
    <n v="5"/>
    <n v="0"/>
    <b v="0"/>
    <n v="2250"/>
    <x v="3"/>
    <n v="11250"/>
    <x v="154"/>
    <x v="141"/>
  </r>
  <r>
    <s v="OI000322"/>
    <s v="O00185"/>
    <s v="PR024"/>
    <n v="2"/>
    <n v="0.05"/>
    <b v="0"/>
    <n v="99"/>
    <x v="4"/>
    <n v="188.1"/>
    <x v="154"/>
    <x v="141"/>
  </r>
  <r>
    <s v="OI000323"/>
    <s v="O00186"/>
    <s v="PR031"/>
    <n v="2"/>
    <n v="0.2"/>
    <b v="0"/>
    <n v="1080"/>
    <x v="3"/>
    <n v="1728"/>
    <x v="155"/>
    <x v="87"/>
  </r>
  <r>
    <s v="OI000324"/>
    <s v="O00186"/>
    <s v="PR034"/>
    <n v="2"/>
    <n v="0"/>
    <b v="0"/>
    <n v="530"/>
    <x v="5"/>
    <n v="1060"/>
    <x v="155"/>
    <x v="87"/>
  </r>
  <r>
    <s v="OI000325"/>
    <s v="O00187"/>
    <s v="PR032"/>
    <n v="5"/>
    <n v="0"/>
    <b v="0"/>
    <n v="4020"/>
    <x v="1"/>
    <n v="20100"/>
    <x v="156"/>
    <x v="142"/>
  </r>
  <r>
    <s v="OI000326"/>
    <s v="O00188"/>
    <s v="PR014"/>
    <n v="1"/>
    <n v="0"/>
    <b v="0"/>
    <n v="99"/>
    <x v="4"/>
    <n v="99"/>
    <x v="4"/>
    <x v="99"/>
  </r>
  <r>
    <s v="OI000327"/>
    <s v="O00189"/>
    <s v="PR064"/>
    <n v="5"/>
    <n v="0"/>
    <b v="0"/>
    <n v="360"/>
    <x v="5"/>
    <n v="1800"/>
    <x v="157"/>
    <x v="41"/>
  </r>
  <r>
    <s v="OI000328"/>
    <s v="O00189"/>
    <s v="PR070"/>
    <n v="1"/>
    <n v="0.2"/>
    <b v="0"/>
    <n v="1030"/>
    <x v="5"/>
    <n v="824"/>
    <x v="157"/>
    <x v="41"/>
  </r>
  <r>
    <s v="OI000329"/>
    <s v="O00190"/>
    <s v="PR080"/>
    <n v="3"/>
    <n v="0.05"/>
    <b v="0"/>
    <n v="99"/>
    <x v="1"/>
    <n v="282.14999999999998"/>
    <x v="26"/>
    <x v="143"/>
  </r>
  <r>
    <s v="OI000330"/>
    <s v="O00191"/>
    <s v="PR074"/>
    <n v="3"/>
    <n v="0.05"/>
    <b v="0"/>
    <n v="3680"/>
    <x v="3"/>
    <n v="10488"/>
    <x v="99"/>
    <x v="53"/>
  </r>
  <r>
    <s v="OI000331"/>
    <s v="O00191"/>
    <s v="PR024"/>
    <n v="5"/>
    <n v="0"/>
    <b v="0"/>
    <n v="99"/>
    <x v="4"/>
    <n v="495"/>
    <x v="99"/>
    <x v="53"/>
  </r>
  <r>
    <s v="OI000332"/>
    <s v="O00191"/>
    <s v="PR051"/>
    <n v="2"/>
    <n v="0.2"/>
    <b v="0"/>
    <n v="2190"/>
    <x v="4"/>
    <n v="3504"/>
    <x v="99"/>
    <x v="53"/>
  </r>
  <r>
    <s v="OI000333"/>
    <s v="O00192"/>
    <s v="PR007"/>
    <n v="5"/>
    <n v="0.2"/>
    <b v="0"/>
    <n v="5550"/>
    <x v="3"/>
    <n v="22200"/>
    <x v="70"/>
    <x v="144"/>
  </r>
  <r>
    <s v="OI000334"/>
    <s v="O00192"/>
    <s v="PR055"/>
    <n v="4"/>
    <n v="0.1"/>
    <b v="0"/>
    <n v="3040"/>
    <x v="4"/>
    <n v="10944"/>
    <x v="70"/>
    <x v="144"/>
  </r>
  <r>
    <s v="OI000335"/>
    <s v="O00193"/>
    <s v="PR045"/>
    <n v="4"/>
    <n v="0.2"/>
    <b v="0"/>
    <n v="2250"/>
    <x v="3"/>
    <n v="7200"/>
    <x v="158"/>
    <x v="145"/>
  </r>
  <r>
    <s v="OI000336"/>
    <s v="O00194"/>
    <s v="PR023"/>
    <n v="4"/>
    <n v="0"/>
    <b v="0"/>
    <n v="1880"/>
    <x v="2"/>
    <n v="7520"/>
    <x v="159"/>
    <x v="1"/>
  </r>
  <r>
    <s v="OI000337"/>
    <s v="O00194"/>
    <s v="PR067"/>
    <n v="4"/>
    <n v="0"/>
    <b v="0"/>
    <n v="1710"/>
    <x v="3"/>
    <n v="6840"/>
    <x v="159"/>
    <x v="1"/>
  </r>
  <r>
    <s v="OI000338"/>
    <s v="O00195"/>
    <s v="PR002"/>
    <n v="2"/>
    <n v="0.05"/>
    <b v="0"/>
    <n v="1630"/>
    <x v="5"/>
    <n v="3097"/>
    <x v="160"/>
    <x v="94"/>
  </r>
  <r>
    <s v="OI000339"/>
    <s v="O00195"/>
    <s v="PR075"/>
    <n v="1"/>
    <n v="0"/>
    <b v="0"/>
    <n v="1475"/>
    <x v="0"/>
    <n v="1475"/>
    <x v="160"/>
    <x v="94"/>
  </r>
  <r>
    <s v="OI000340"/>
    <s v="O00196"/>
    <s v="PR034"/>
    <n v="2"/>
    <n v="0.1"/>
    <b v="0"/>
    <n v="530"/>
    <x v="5"/>
    <n v="954"/>
    <x v="78"/>
    <x v="146"/>
  </r>
  <r>
    <s v="OI000341"/>
    <s v="O00197"/>
    <s v="PR035"/>
    <n v="4"/>
    <n v="0.1"/>
    <b v="0"/>
    <n v="2790"/>
    <x v="1"/>
    <n v="10044"/>
    <x v="161"/>
    <x v="136"/>
  </r>
  <r>
    <s v="OI000342"/>
    <s v="O00198"/>
    <s v="PR024"/>
    <n v="4"/>
    <n v="0.05"/>
    <b v="0"/>
    <n v="99"/>
    <x v="4"/>
    <n v="376.2"/>
    <x v="162"/>
    <x v="41"/>
  </r>
  <r>
    <s v="OI000343"/>
    <s v="O00199"/>
    <s v="PR048"/>
    <n v="3"/>
    <n v="0.2"/>
    <b v="0"/>
    <n v="3070"/>
    <x v="2"/>
    <n v="7368"/>
    <x v="163"/>
    <x v="147"/>
  </r>
  <r>
    <s v="OI000344"/>
    <s v="O00200"/>
    <s v="PR058"/>
    <n v="2"/>
    <n v="0.1"/>
    <b v="0"/>
    <n v="1430"/>
    <x v="0"/>
    <n v="2574"/>
    <x v="164"/>
    <x v="138"/>
  </r>
  <r>
    <s v="OI000345"/>
    <s v="O00201"/>
    <s v="PR074"/>
    <n v="2"/>
    <n v="0.2"/>
    <b v="0"/>
    <n v="3680"/>
    <x v="3"/>
    <n v="5888"/>
    <x v="165"/>
    <x v="148"/>
  </r>
  <r>
    <s v="OI000346"/>
    <s v="O00202"/>
    <s v="PR035"/>
    <n v="2"/>
    <n v="0.1"/>
    <b v="0"/>
    <n v="2790"/>
    <x v="1"/>
    <n v="5022"/>
    <x v="166"/>
    <x v="149"/>
  </r>
  <r>
    <s v="OI000347"/>
    <s v="O00203"/>
    <s v="PR049"/>
    <n v="2"/>
    <n v="0"/>
    <b v="0"/>
    <n v="2210"/>
    <x v="5"/>
    <n v="4420"/>
    <x v="167"/>
    <x v="150"/>
  </r>
  <r>
    <s v="OI000348"/>
    <s v="O00204"/>
    <s v="PR020"/>
    <n v="4"/>
    <n v="0.2"/>
    <b v="0"/>
    <n v="110"/>
    <x v="3"/>
    <n v="352"/>
    <x v="168"/>
    <x v="81"/>
  </r>
  <r>
    <s v="OI000349"/>
    <s v="O00204"/>
    <s v="PR002"/>
    <n v="2"/>
    <n v="0.05"/>
    <b v="0"/>
    <n v="1630"/>
    <x v="5"/>
    <n v="3097"/>
    <x v="168"/>
    <x v="81"/>
  </r>
  <r>
    <s v="OI000350"/>
    <s v="O00204"/>
    <s v="PR064"/>
    <n v="3"/>
    <n v="0.2"/>
    <b v="1"/>
    <n v="360"/>
    <x v="5"/>
    <n v="864"/>
    <x v="168"/>
    <x v="81"/>
  </r>
  <r>
    <s v="OI000351"/>
    <s v="O00205"/>
    <s v="PR069"/>
    <n v="3"/>
    <n v="0.2"/>
    <b v="0"/>
    <n v="2230"/>
    <x v="3"/>
    <n v="5352"/>
    <x v="169"/>
    <x v="109"/>
  </r>
  <r>
    <s v="OI000352"/>
    <s v="O00205"/>
    <s v="PR063"/>
    <n v="3"/>
    <n v="0"/>
    <b v="0"/>
    <n v="470"/>
    <x v="2"/>
    <n v="1410"/>
    <x v="169"/>
    <x v="109"/>
  </r>
  <r>
    <s v="OI000353"/>
    <s v="O00206"/>
    <s v="PR073"/>
    <n v="1"/>
    <n v="0.05"/>
    <b v="0"/>
    <n v="1760"/>
    <x v="0"/>
    <n v="1672"/>
    <x v="170"/>
    <x v="151"/>
  </r>
  <r>
    <s v="OI000354"/>
    <s v="O00206"/>
    <s v="PR013"/>
    <n v="2"/>
    <n v="0"/>
    <b v="0"/>
    <n v="2090"/>
    <x v="5"/>
    <n v="4180"/>
    <x v="170"/>
    <x v="151"/>
  </r>
  <r>
    <s v="OI000355"/>
    <s v="O00207"/>
    <s v="PR033"/>
    <n v="4"/>
    <n v="0.2"/>
    <b v="0"/>
    <n v="2670"/>
    <x v="5"/>
    <n v="8544"/>
    <x v="93"/>
    <x v="152"/>
  </r>
  <r>
    <s v="OI000356"/>
    <s v="O00208"/>
    <s v="PR058"/>
    <n v="3"/>
    <n v="0"/>
    <b v="0"/>
    <n v="1430"/>
    <x v="0"/>
    <n v="4290"/>
    <x v="144"/>
    <x v="153"/>
  </r>
  <r>
    <s v="OI000357"/>
    <s v="O00208"/>
    <s v="PR047"/>
    <n v="3"/>
    <n v="0.1"/>
    <b v="0"/>
    <n v="1250"/>
    <x v="1"/>
    <n v="3375"/>
    <x v="144"/>
    <x v="153"/>
  </r>
  <r>
    <s v="OI000358"/>
    <s v="O00209"/>
    <s v="PR033"/>
    <n v="3"/>
    <n v="0"/>
    <b v="0"/>
    <n v="2670"/>
    <x v="5"/>
    <n v="8010"/>
    <x v="171"/>
    <x v="154"/>
  </r>
  <r>
    <s v="OI000359"/>
    <s v="O00209"/>
    <s v="PR053"/>
    <n v="1"/>
    <n v="0"/>
    <b v="0"/>
    <n v="990"/>
    <x v="0"/>
    <n v="990"/>
    <x v="171"/>
    <x v="154"/>
  </r>
  <r>
    <s v="OI000360"/>
    <s v="O00210"/>
    <s v="PR078"/>
    <n v="2"/>
    <n v="0.1"/>
    <b v="0"/>
    <n v="1440"/>
    <x v="3"/>
    <n v="2592"/>
    <x v="90"/>
    <x v="126"/>
  </r>
  <r>
    <s v="OI000361"/>
    <s v="O00210"/>
    <s v="PR074"/>
    <n v="5"/>
    <n v="0"/>
    <b v="0"/>
    <n v="3680"/>
    <x v="3"/>
    <n v="18400"/>
    <x v="90"/>
    <x v="126"/>
  </r>
  <r>
    <s v="OI000362"/>
    <s v="O00210"/>
    <s v="PR037"/>
    <n v="3"/>
    <n v="0"/>
    <b v="0"/>
    <n v="2050"/>
    <x v="2"/>
    <n v="6150"/>
    <x v="90"/>
    <x v="126"/>
  </r>
  <r>
    <s v="OI000363"/>
    <s v="O00211"/>
    <s v="PR063"/>
    <n v="4"/>
    <n v="0"/>
    <b v="0"/>
    <n v="470"/>
    <x v="2"/>
    <n v="1880"/>
    <x v="134"/>
    <x v="155"/>
  </r>
  <r>
    <s v="OI000364"/>
    <s v="O00211"/>
    <s v="PR049"/>
    <n v="5"/>
    <n v="0"/>
    <b v="0"/>
    <n v="2210"/>
    <x v="5"/>
    <n v="11050"/>
    <x v="134"/>
    <x v="155"/>
  </r>
  <r>
    <s v="OI000365"/>
    <s v="O00212"/>
    <s v="PR019"/>
    <n v="2"/>
    <n v="0.15"/>
    <b v="0"/>
    <n v="710"/>
    <x v="1"/>
    <n v="1207"/>
    <x v="102"/>
    <x v="156"/>
  </r>
  <r>
    <s v="OI000366"/>
    <s v="O00213"/>
    <s v="PR044"/>
    <n v="4"/>
    <n v="0.15"/>
    <b v="0"/>
    <n v="1440"/>
    <x v="1"/>
    <n v="4896"/>
    <x v="172"/>
    <x v="157"/>
  </r>
  <r>
    <s v="OI000367"/>
    <s v="O00213"/>
    <s v="PR079"/>
    <n v="5"/>
    <n v="0.05"/>
    <b v="0"/>
    <n v="1910"/>
    <x v="2"/>
    <n v="9072.5"/>
    <x v="172"/>
    <x v="157"/>
  </r>
  <r>
    <s v="OI000368"/>
    <s v="O00213"/>
    <s v="PR010"/>
    <n v="1"/>
    <n v="0"/>
    <b v="0"/>
    <n v="2450"/>
    <x v="1"/>
    <n v="2450"/>
    <x v="172"/>
    <x v="157"/>
  </r>
  <r>
    <s v="OI000369"/>
    <s v="O00214"/>
    <s v="PR041"/>
    <n v="3"/>
    <n v="0.15"/>
    <b v="0"/>
    <n v="2690"/>
    <x v="5"/>
    <n v="6859.5"/>
    <x v="173"/>
    <x v="158"/>
  </r>
  <r>
    <s v="OI000370"/>
    <s v="O00215"/>
    <s v="PR035"/>
    <n v="5"/>
    <n v="0.15"/>
    <b v="0"/>
    <n v="2790"/>
    <x v="1"/>
    <n v="11857.5"/>
    <x v="174"/>
    <x v="2"/>
  </r>
  <r>
    <s v="OI000371"/>
    <s v="O00216"/>
    <s v="PR057"/>
    <n v="3"/>
    <n v="0.15"/>
    <b v="0"/>
    <n v="790"/>
    <x v="1"/>
    <n v="2014.5"/>
    <x v="175"/>
    <x v="159"/>
  </r>
  <r>
    <s v="OI000372"/>
    <s v="O00217"/>
    <s v="PR058"/>
    <n v="4"/>
    <n v="0"/>
    <b v="0"/>
    <n v="1430"/>
    <x v="0"/>
    <n v="5720"/>
    <x v="83"/>
    <x v="106"/>
  </r>
  <r>
    <s v="OI000373"/>
    <s v="O00217"/>
    <s v="PR024"/>
    <n v="1"/>
    <n v="0"/>
    <b v="0"/>
    <n v="99"/>
    <x v="4"/>
    <n v="99"/>
    <x v="83"/>
    <x v="106"/>
  </r>
  <r>
    <s v="OI000374"/>
    <s v="O00218"/>
    <s v="PR033"/>
    <n v="1"/>
    <n v="0"/>
    <b v="0"/>
    <n v="2670"/>
    <x v="5"/>
    <n v="2670"/>
    <x v="176"/>
    <x v="105"/>
  </r>
  <r>
    <s v="OI000375"/>
    <s v="O00218"/>
    <s v="PR022"/>
    <n v="4"/>
    <n v="0"/>
    <b v="0"/>
    <n v="1530"/>
    <x v="5"/>
    <n v="6120"/>
    <x v="176"/>
    <x v="105"/>
  </r>
  <r>
    <s v="OI000376"/>
    <s v="O00219"/>
    <s v="PR061"/>
    <n v="5"/>
    <n v="0"/>
    <b v="0"/>
    <n v="1220"/>
    <x v="3"/>
    <n v="6100"/>
    <x v="177"/>
    <x v="160"/>
  </r>
  <r>
    <s v="OI000377"/>
    <s v="O00220"/>
    <s v="PR051"/>
    <n v="5"/>
    <n v="0.2"/>
    <b v="0"/>
    <n v="2190"/>
    <x v="4"/>
    <n v="8760"/>
    <x v="106"/>
    <x v="22"/>
  </r>
  <r>
    <s v="OI000378"/>
    <s v="O00221"/>
    <s v="PR014"/>
    <n v="3"/>
    <n v="0.1"/>
    <b v="0"/>
    <n v="99"/>
    <x v="4"/>
    <n v="267.3"/>
    <x v="107"/>
    <x v="20"/>
  </r>
  <r>
    <s v="OI000379"/>
    <s v="O00221"/>
    <s v="PR020"/>
    <n v="1"/>
    <n v="0.15"/>
    <b v="0"/>
    <n v="110"/>
    <x v="3"/>
    <n v="93.5"/>
    <x v="107"/>
    <x v="20"/>
  </r>
  <r>
    <s v="OI000380"/>
    <s v="O00221"/>
    <s v="PR050"/>
    <n v="3"/>
    <n v="0"/>
    <b v="0"/>
    <n v="99"/>
    <x v="5"/>
    <n v="297"/>
    <x v="107"/>
    <x v="20"/>
  </r>
  <r>
    <s v="OI000381"/>
    <s v="O00221"/>
    <s v="PR032"/>
    <n v="3"/>
    <n v="0.05"/>
    <b v="0"/>
    <n v="4020"/>
    <x v="1"/>
    <n v="11457"/>
    <x v="107"/>
    <x v="20"/>
  </r>
  <r>
    <s v="OI000382"/>
    <s v="O00222"/>
    <s v="PR017"/>
    <n v="5"/>
    <n v="0.2"/>
    <b v="0"/>
    <n v="580"/>
    <x v="0"/>
    <n v="2320"/>
    <x v="178"/>
    <x v="161"/>
  </r>
  <r>
    <s v="OI000383"/>
    <s v="O00222"/>
    <s v="PR022"/>
    <n v="1"/>
    <n v="0"/>
    <b v="0"/>
    <n v="1530"/>
    <x v="5"/>
    <n v="1530"/>
    <x v="178"/>
    <x v="161"/>
  </r>
  <r>
    <s v="OI000384"/>
    <s v="O00223"/>
    <s v="PR042"/>
    <n v="4"/>
    <n v="0.05"/>
    <b v="0"/>
    <n v="2010"/>
    <x v="5"/>
    <n v="7638"/>
    <x v="161"/>
    <x v="62"/>
  </r>
  <r>
    <s v="OI000385"/>
    <s v="O00223"/>
    <s v="PR070"/>
    <n v="3"/>
    <n v="0.1"/>
    <b v="0"/>
    <n v="1030"/>
    <x v="5"/>
    <n v="2781"/>
    <x v="161"/>
    <x v="62"/>
  </r>
  <r>
    <s v="OI000386"/>
    <s v="O00224"/>
    <s v="PR070"/>
    <n v="2"/>
    <n v="0.1"/>
    <b v="0"/>
    <n v="1030"/>
    <x v="5"/>
    <n v="1854"/>
    <x v="179"/>
    <x v="3"/>
  </r>
  <r>
    <s v="OI000387"/>
    <s v="O00225"/>
    <s v="PR005"/>
    <n v="5"/>
    <n v="0.05"/>
    <b v="0"/>
    <n v="1520"/>
    <x v="4"/>
    <n v="7220"/>
    <x v="180"/>
    <x v="162"/>
  </r>
  <r>
    <s v="OI000388"/>
    <s v="O00225"/>
    <s v="PR068"/>
    <n v="5"/>
    <n v="0"/>
    <b v="0"/>
    <n v="3000"/>
    <x v="3"/>
    <n v="15000"/>
    <x v="180"/>
    <x v="162"/>
  </r>
  <r>
    <s v="OI000389"/>
    <s v="O00226"/>
    <s v="PR062"/>
    <n v="5"/>
    <n v="0"/>
    <b v="0"/>
    <n v="1580"/>
    <x v="2"/>
    <n v="7900"/>
    <x v="181"/>
    <x v="141"/>
  </r>
  <r>
    <s v="OI000390"/>
    <s v="O00226"/>
    <s v="PR012"/>
    <n v="4"/>
    <n v="0"/>
    <b v="0"/>
    <n v="1240"/>
    <x v="2"/>
    <n v="4960"/>
    <x v="181"/>
    <x v="141"/>
  </r>
  <r>
    <s v="OI000391"/>
    <s v="O00226"/>
    <s v="PR047"/>
    <n v="4"/>
    <n v="0"/>
    <b v="0"/>
    <n v="1250"/>
    <x v="1"/>
    <n v="5000"/>
    <x v="181"/>
    <x v="141"/>
  </r>
  <r>
    <s v="OI000392"/>
    <s v="O00227"/>
    <s v="PR002"/>
    <n v="1"/>
    <n v="0.1"/>
    <b v="0"/>
    <n v="1630"/>
    <x v="5"/>
    <n v="1467"/>
    <x v="182"/>
    <x v="55"/>
  </r>
  <r>
    <s v="OI000393"/>
    <s v="O00228"/>
    <s v="PR018"/>
    <n v="3"/>
    <n v="0"/>
    <b v="0"/>
    <n v="2180"/>
    <x v="4"/>
    <n v="6540"/>
    <x v="183"/>
    <x v="157"/>
  </r>
  <r>
    <s v="OI000394"/>
    <s v="O00228"/>
    <s v="PR061"/>
    <n v="5"/>
    <n v="0"/>
    <b v="0"/>
    <n v="1220"/>
    <x v="3"/>
    <n v="6100"/>
    <x v="183"/>
    <x v="157"/>
  </r>
  <r>
    <s v="OI000395"/>
    <s v="O00228"/>
    <s v="PR063"/>
    <n v="4"/>
    <n v="0"/>
    <b v="0"/>
    <n v="470"/>
    <x v="2"/>
    <n v="1880"/>
    <x v="183"/>
    <x v="157"/>
  </r>
  <r>
    <s v="OI000396"/>
    <s v="O00229"/>
    <s v="PR056"/>
    <n v="3"/>
    <n v="0.1"/>
    <b v="0"/>
    <n v="2920"/>
    <x v="3"/>
    <n v="7884"/>
    <x v="184"/>
    <x v="149"/>
  </r>
  <r>
    <s v="OI000397"/>
    <s v="O00230"/>
    <s v="PR001"/>
    <n v="5"/>
    <n v="0"/>
    <b v="0"/>
    <n v="2400"/>
    <x v="4"/>
    <n v="12000"/>
    <x v="185"/>
    <x v="163"/>
  </r>
  <r>
    <s v="OI000398"/>
    <s v="O00231"/>
    <s v="PR072"/>
    <n v="4"/>
    <n v="0.05"/>
    <b v="0"/>
    <n v="3650"/>
    <x v="0"/>
    <n v="13870"/>
    <x v="35"/>
    <x v="164"/>
  </r>
  <r>
    <s v="OI000399"/>
    <s v="O00232"/>
    <s v="PR050"/>
    <n v="4"/>
    <n v="0"/>
    <b v="0"/>
    <n v="99"/>
    <x v="5"/>
    <n v="396"/>
    <x v="58"/>
    <x v="165"/>
  </r>
  <r>
    <s v="OI000400"/>
    <s v="O00233"/>
    <s v="PR055"/>
    <n v="3"/>
    <n v="0.1"/>
    <b v="1"/>
    <n v="3040"/>
    <x v="4"/>
    <n v="8208"/>
    <x v="186"/>
    <x v="166"/>
  </r>
  <r>
    <s v="OI000401"/>
    <s v="O00234"/>
    <s v="PR079"/>
    <n v="3"/>
    <n v="0"/>
    <b v="0"/>
    <n v="1910"/>
    <x v="2"/>
    <n v="5730"/>
    <x v="187"/>
    <x v="167"/>
  </r>
  <r>
    <s v="OI000402"/>
    <s v="O00234"/>
    <s v="PR069"/>
    <n v="3"/>
    <n v="0.05"/>
    <b v="0"/>
    <n v="2230"/>
    <x v="3"/>
    <n v="6355.5"/>
    <x v="187"/>
    <x v="167"/>
  </r>
  <r>
    <s v="OI000403"/>
    <s v="O00235"/>
    <s v="PR009"/>
    <n v="2"/>
    <n v="0"/>
    <b v="0"/>
    <n v="1240"/>
    <x v="5"/>
    <n v="2480"/>
    <x v="67"/>
    <x v="168"/>
  </r>
  <r>
    <s v="OI000404"/>
    <s v="O00236"/>
    <s v="PR059"/>
    <n v="5"/>
    <n v="0.05"/>
    <b v="0"/>
    <n v="2200"/>
    <x v="4"/>
    <n v="10450"/>
    <x v="152"/>
    <x v="22"/>
  </r>
  <r>
    <s v="OI000405"/>
    <s v="O00237"/>
    <s v="PR080"/>
    <n v="4"/>
    <n v="0"/>
    <b v="0"/>
    <n v="99"/>
    <x v="1"/>
    <n v="396"/>
    <x v="188"/>
    <x v="163"/>
  </r>
  <r>
    <s v="OI000406"/>
    <s v="O00238"/>
    <s v="PR020"/>
    <n v="1"/>
    <n v="0.1"/>
    <b v="0"/>
    <n v="110"/>
    <x v="3"/>
    <n v="99"/>
    <x v="189"/>
    <x v="169"/>
  </r>
  <r>
    <s v="OI000407"/>
    <s v="O00239"/>
    <s v="PR014"/>
    <n v="3"/>
    <n v="0"/>
    <b v="0"/>
    <n v="99"/>
    <x v="4"/>
    <n v="297"/>
    <x v="190"/>
    <x v="62"/>
  </r>
  <r>
    <s v="OI000408"/>
    <s v="O00240"/>
    <s v="PR057"/>
    <n v="1"/>
    <n v="0"/>
    <b v="0"/>
    <n v="790"/>
    <x v="1"/>
    <n v="790"/>
    <x v="191"/>
    <x v="32"/>
  </r>
  <r>
    <s v="OI000409"/>
    <s v="O00241"/>
    <s v="PR002"/>
    <n v="4"/>
    <n v="0"/>
    <b v="0"/>
    <n v="1630"/>
    <x v="5"/>
    <n v="6520"/>
    <x v="180"/>
    <x v="108"/>
  </r>
  <r>
    <s v="OI000410"/>
    <s v="O00242"/>
    <s v="PR040"/>
    <n v="4"/>
    <n v="0"/>
    <b v="0"/>
    <n v="2040"/>
    <x v="0"/>
    <n v="8160"/>
    <x v="192"/>
    <x v="142"/>
  </r>
  <r>
    <s v="OI000411"/>
    <s v="O00243"/>
    <s v="PR005"/>
    <n v="3"/>
    <n v="0"/>
    <b v="0"/>
    <n v="1520"/>
    <x v="4"/>
    <n v="4560"/>
    <x v="134"/>
    <x v="170"/>
  </r>
  <r>
    <s v="OI000412"/>
    <s v="O00244"/>
    <s v="PR019"/>
    <n v="1"/>
    <n v="0"/>
    <b v="0"/>
    <n v="710"/>
    <x v="1"/>
    <n v="710"/>
    <x v="193"/>
    <x v="171"/>
  </r>
  <r>
    <s v="OI000413"/>
    <s v="O00244"/>
    <s v="PR051"/>
    <n v="1"/>
    <n v="0.1"/>
    <b v="0"/>
    <n v="2190"/>
    <x v="4"/>
    <n v="1971"/>
    <x v="193"/>
    <x v="171"/>
  </r>
  <r>
    <s v="OI000414"/>
    <s v="O00244"/>
    <s v="PR061"/>
    <n v="2"/>
    <n v="0"/>
    <b v="0"/>
    <n v="1220"/>
    <x v="3"/>
    <n v="2440"/>
    <x v="193"/>
    <x v="171"/>
  </r>
  <r>
    <s v="OI000415"/>
    <s v="O00245"/>
    <s v="PR033"/>
    <n v="4"/>
    <n v="0.2"/>
    <b v="0"/>
    <n v="2670"/>
    <x v="5"/>
    <n v="8544"/>
    <x v="121"/>
    <x v="172"/>
  </r>
  <r>
    <s v="OI000416"/>
    <s v="O00245"/>
    <s v="PR002"/>
    <n v="1"/>
    <n v="0.2"/>
    <b v="0"/>
    <n v="1630"/>
    <x v="5"/>
    <n v="1304"/>
    <x v="121"/>
    <x v="172"/>
  </r>
  <r>
    <s v="OI000417"/>
    <s v="O00245"/>
    <s v="PR032"/>
    <n v="4"/>
    <n v="0.2"/>
    <b v="0"/>
    <n v="4020"/>
    <x v="1"/>
    <n v="12864"/>
    <x v="121"/>
    <x v="172"/>
  </r>
  <r>
    <s v="OI000418"/>
    <s v="O00246"/>
    <s v="PR032"/>
    <n v="1"/>
    <n v="0"/>
    <b v="0"/>
    <n v="4020"/>
    <x v="1"/>
    <n v="4020"/>
    <x v="194"/>
    <x v="173"/>
  </r>
  <r>
    <s v="OI000419"/>
    <s v="O00246"/>
    <s v="PR059"/>
    <n v="1"/>
    <n v="0.1"/>
    <b v="0"/>
    <n v="2200"/>
    <x v="4"/>
    <n v="1980"/>
    <x v="194"/>
    <x v="173"/>
  </r>
  <r>
    <s v="OI000420"/>
    <s v="O00246"/>
    <s v="PR027"/>
    <n v="4"/>
    <n v="0.05"/>
    <b v="0"/>
    <n v="420"/>
    <x v="5"/>
    <n v="1596"/>
    <x v="194"/>
    <x v="173"/>
  </r>
  <r>
    <s v="OI000421"/>
    <s v="O00246"/>
    <s v="PR040"/>
    <n v="3"/>
    <n v="0"/>
    <b v="0"/>
    <n v="2040"/>
    <x v="0"/>
    <n v="6120"/>
    <x v="194"/>
    <x v="173"/>
  </r>
  <r>
    <s v="OI000422"/>
    <s v="O00247"/>
    <s v="PR006"/>
    <n v="5"/>
    <n v="0.1"/>
    <b v="0"/>
    <n v="1520"/>
    <x v="0"/>
    <n v="6840"/>
    <x v="51"/>
    <x v="174"/>
  </r>
  <r>
    <s v="OI000423"/>
    <s v="O00247"/>
    <s v="PR016"/>
    <n v="3"/>
    <n v="0.05"/>
    <b v="0"/>
    <n v="1130"/>
    <x v="0"/>
    <n v="3220.5"/>
    <x v="51"/>
    <x v="174"/>
  </r>
  <r>
    <s v="OI000424"/>
    <s v="O00248"/>
    <s v="PR026"/>
    <n v="3"/>
    <n v="0"/>
    <b v="0"/>
    <n v="1930"/>
    <x v="3"/>
    <n v="5790"/>
    <x v="132"/>
    <x v="175"/>
  </r>
  <r>
    <s v="OI000425"/>
    <s v="O00248"/>
    <s v="PR028"/>
    <n v="1"/>
    <n v="0"/>
    <b v="0"/>
    <n v="2250"/>
    <x v="3"/>
    <n v="2250"/>
    <x v="132"/>
    <x v="175"/>
  </r>
  <r>
    <s v="OI000426"/>
    <s v="O00249"/>
    <s v="PR042"/>
    <n v="1"/>
    <n v="0"/>
    <b v="0"/>
    <n v="2010"/>
    <x v="5"/>
    <n v="2010"/>
    <x v="195"/>
    <x v="118"/>
  </r>
  <r>
    <s v="OI000427"/>
    <s v="O00249"/>
    <s v="PR036"/>
    <n v="5"/>
    <n v="0"/>
    <b v="0"/>
    <n v="330"/>
    <x v="0"/>
    <n v="1650"/>
    <x v="195"/>
    <x v="118"/>
  </r>
  <r>
    <s v="OI000428"/>
    <s v="O00250"/>
    <s v="PR032"/>
    <n v="1"/>
    <n v="0"/>
    <b v="0"/>
    <n v="4020"/>
    <x v="1"/>
    <n v="4020"/>
    <x v="196"/>
    <x v="166"/>
  </r>
  <r>
    <s v="OI000429"/>
    <s v="O00251"/>
    <s v="PR061"/>
    <n v="5"/>
    <n v="0"/>
    <b v="0"/>
    <n v="1220"/>
    <x v="3"/>
    <n v="6100"/>
    <x v="197"/>
    <x v="176"/>
  </r>
  <r>
    <s v="OI000430"/>
    <s v="O00251"/>
    <s v="PR048"/>
    <n v="1"/>
    <n v="0"/>
    <b v="0"/>
    <n v="3070"/>
    <x v="2"/>
    <n v="3070"/>
    <x v="197"/>
    <x v="176"/>
  </r>
  <r>
    <s v="OI000431"/>
    <s v="O00252"/>
    <s v="PR012"/>
    <n v="5"/>
    <n v="0"/>
    <b v="0"/>
    <n v="1240"/>
    <x v="2"/>
    <n v="6200"/>
    <x v="198"/>
    <x v="177"/>
  </r>
  <r>
    <s v="OI000432"/>
    <s v="O00253"/>
    <s v="PR005"/>
    <n v="1"/>
    <n v="0"/>
    <b v="0"/>
    <n v="1520"/>
    <x v="4"/>
    <n v="1520"/>
    <x v="199"/>
    <x v="48"/>
  </r>
  <r>
    <s v="OI000433"/>
    <s v="O00253"/>
    <s v="PR046"/>
    <n v="2"/>
    <n v="0.15"/>
    <b v="0"/>
    <n v="940"/>
    <x v="2"/>
    <n v="1598"/>
    <x v="199"/>
    <x v="48"/>
  </r>
  <r>
    <s v="OI000434"/>
    <s v="O00253"/>
    <s v="PR069"/>
    <n v="1"/>
    <n v="0"/>
    <b v="0"/>
    <n v="2230"/>
    <x v="3"/>
    <n v="2230"/>
    <x v="199"/>
    <x v="48"/>
  </r>
  <r>
    <s v="OI000435"/>
    <s v="O00254"/>
    <s v="PR041"/>
    <n v="5"/>
    <n v="0.2"/>
    <b v="0"/>
    <n v="2690"/>
    <x v="5"/>
    <n v="10760"/>
    <x v="84"/>
    <x v="178"/>
  </r>
  <r>
    <s v="OI000436"/>
    <s v="O00255"/>
    <s v="PR045"/>
    <n v="4"/>
    <n v="0.15"/>
    <b v="0"/>
    <n v="2250"/>
    <x v="3"/>
    <n v="7650"/>
    <x v="200"/>
    <x v="144"/>
  </r>
  <r>
    <s v="OI000437"/>
    <s v="O00255"/>
    <s v="PR025"/>
    <n v="1"/>
    <n v="0.15"/>
    <b v="0"/>
    <n v="1150"/>
    <x v="2"/>
    <n v="977.5"/>
    <x v="200"/>
    <x v="144"/>
  </r>
  <r>
    <s v="OI000438"/>
    <s v="O00256"/>
    <s v="PR018"/>
    <n v="3"/>
    <n v="0"/>
    <b v="0"/>
    <n v="2180"/>
    <x v="4"/>
    <n v="6540"/>
    <x v="201"/>
    <x v="179"/>
  </r>
  <r>
    <s v="OI000439"/>
    <s v="O00257"/>
    <s v="PR057"/>
    <n v="5"/>
    <n v="0"/>
    <b v="0"/>
    <n v="790"/>
    <x v="1"/>
    <n v="3950"/>
    <x v="202"/>
    <x v="147"/>
  </r>
  <r>
    <s v="OI000440"/>
    <s v="O00258"/>
    <s v="PR063"/>
    <n v="2"/>
    <n v="0.1"/>
    <b v="0"/>
    <n v="470"/>
    <x v="2"/>
    <n v="846"/>
    <x v="19"/>
    <x v="180"/>
  </r>
  <r>
    <s v="OI000441"/>
    <s v="O00258"/>
    <s v="PR024"/>
    <n v="5"/>
    <n v="0"/>
    <b v="0"/>
    <n v="99"/>
    <x v="4"/>
    <n v="495"/>
    <x v="19"/>
    <x v="180"/>
  </r>
  <r>
    <s v="OI000442"/>
    <s v="O00259"/>
    <s v="PR060"/>
    <n v="3"/>
    <n v="0.2"/>
    <b v="0"/>
    <n v="1910"/>
    <x v="2"/>
    <n v="4584"/>
    <x v="171"/>
    <x v="181"/>
  </r>
  <r>
    <s v="OI000443"/>
    <s v="O00260"/>
    <s v="PR071"/>
    <n v="2"/>
    <n v="0"/>
    <b v="0"/>
    <n v="2230"/>
    <x v="1"/>
    <n v="4460"/>
    <x v="102"/>
    <x v="182"/>
  </r>
  <r>
    <s v="OI000444"/>
    <s v="O00260"/>
    <s v="PR068"/>
    <n v="2"/>
    <n v="0.05"/>
    <b v="0"/>
    <n v="3000"/>
    <x v="3"/>
    <n v="5700"/>
    <x v="102"/>
    <x v="182"/>
  </r>
  <r>
    <s v="OI000445"/>
    <s v="O00260"/>
    <s v="PR038"/>
    <n v="3"/>
    <n v="0.1"/>
    <b v="0"/>
    <n v="99"/>
    <x v="1"/>
    <n v="267.3"/>
    <x v="102"/>
    <x v="182"/>
  </r>
  <r>
    <s v="OI000446"/>
    <s v="O00261"/>
    <s v="PR001"/>
    <n v="5"/>
    <n v="0.05"/>
    <b v="0"/>
    <n v="2400"/>
    <x v="4"/>
    <n v="11400"/>
    <x v="106"/>
    <x v="151"/>
  </r>
  <r>
    <s v="OI000447"/>
    <s v="O00262"/>
    <s v="PR003"/>
    <n v="5"/>
    <n v="0.2"/>
    <b v="0"/>
    <n v="2580"/>
    <x v="5"/>
    <n v="10320"/>
    <x v="9"/>
    <x v="83"/>
  </r>
  <r>
    <s v="OI000448"/>
    <s v="O00262"/>
    <s v="PR047"/>
    <n v="5"/>
    <n v="0"/>
    <b v="0"/>
    <n v="1250"/>
    <x v="1"/>
    <n v="6250"/>
    <x v="9"/>
    <x v="83"/>
  </r>
  <r>
    <s v="OI000449"/>
    <s v="O00263"/>
    <s v="PR009"/>
    <n v="5"/>
    <n v="0.2"/>
    <b v="0"/>
    <n v="1240"/>
    <x v="5"/>
    <n v="4960"/>
    <x v="203"/>
    <x v="183"/>
  </r>
  <r>
    <s v="OI000450"/>
    <s v="O00264"/>
    <s v="PR068"/>
    <n v="3"/>
    <n v="0.2"/>
    <b v="1"/>
    <n v="3000"/>
    <x v="3"/>
    <n v="7200"/>
    <x v="204"/>
    <x v="184"/>
  </r>
  <r>
    <s v="OI000451"/>
    <s v="O00265"/>
    <s v="PR079"/>
    <n v="3"/>
    <n v="0"/>
    <b v="0"/>
    <n v="1910"/>
    <x v="2"/>
    <n v="5730"/>
    <x v="18"/>
    <x v="70"/>
  </r>
  <r>
    <s v="OI000452"/>
    <s v="O00265"/>
    <s v="PR053"/>
    <n v="3"/>
    <n v="0"/>
    <b v="0"/>
    <n v="990"/>
    <x v="0"/>
    <n v="2970"/>
    <x v="18"/>
    <x v="70"/>
  </r>
  <r>
    <s v="OI000453"/>
    <s v="O00266"/>
    <s v="PR009"/>
    <n v="1"/>
    <n v="0.2"/>
    <b v="0"/>
    <n v="1240"/>
    <x v="5"/>
    <n v="992"/>
    <x v="205"/>
    <x v="94"/>
  </r>
  <r>
    <s v="OI000454"/>
    <s v="O00267"/>
    <s v="PR023"/>
    <n v="1"/>
    <n v="0"/>
    <b v="0"/>
    <n v="1880"/>
    <x v="2"/>
    <n v="1880"/>
    <x v="101"/>
    <x v="185"/>
  </r>
  <r>
    <s v="OI000455"/>
    <s v="O00267"/>
    <s v="PR014"/>
    <n v="4"/>
    <n v="0"/>
    <b v="0"/>
    <n v="99"/>
    <x v="4"/>
    <n v="396"/>
    <x v="101"/>
    <x v="185"/>
  </r>
  <r>
    <s v="OI000456"/>
    <s v="O00267"/>
    <s v="PR013"/>
    <n v="1"/>
    <n v="0.1"/>
    <b v="0"/>
    <n v="2090"/>
    <x v="5"/>
    <n v="1881"/>
    <x v="101"/>
    <x v="185"/>
  </r>
  <r>
    <s v="OI000457"/>
    <s v="O00268"/>
    <s v="PR050"/>
    <n v="4"/>
    <n v="0.1"/>
    <b v="0"/>
    <n v="99"/>
    <x v="5"/>
    <n v="356.40000000000003"/>
    <x v="198"/>
    <x v="172"/>
  </r>
  <r>
    <s v="OI000458"/>
    <s v="O00268"/>
    <s v="PR080"/>
    <n v="5"/>
    <n v="0"/>
    <b v="0"/>
    <n v="99"/>
    <x v="1"/>
    <n v="495"/>
    <x v="198"/>
    <x v="172"/>
  </r>
  <r>
    <s v="OI000459"/>
    <s v="O00269"/>
    <s v="PR029"/>
    <n v="5"/>
    <n v="0.15"/>
    <b v="0"/>
    <n v="1080"/>
    <x v="5"/>
    <n v="4590"/>
    <x v="99"/>
    <x v="161"/>
  </r>
  <r>
    <s v="OI000460"/>
    <s v="O00270"/>
    <s v="PR027"/>
    <n v="4"/>
    <n v="0.2"/>
    <b v="0"/>
    <n v="420"/>
    <x v="5"/>
    <n v="1344"/>
    <x v="206"/>
    <x v="186"/>
  </r>
  <r>
    <s v="OI000461"/>
    <s v="O00271"/>
    <s v="PR008"/>
    <n v="3"/>
    <n v="0.1"/>
    <b v="0"/>
    <n v="2720"/>
    <x v="5"/>
    <n v="7344"/>
    <x v="96"/>
    <x v="25"/>
  </r>
  <r>
    <s v="OI000462"/>
    <s v="O00272"/>
    <s v="PR054"/>
    <n v="3"/>
    <n v="0.2"/>
    <b v="0"/>
    <n v="2530"/>
    <x v="5"/>
    <n v="6072"/>
    <x v="207"/>
    <x v="68"/>
  </r>
  <r>
    <s v="OI000463"/>
    <s v="O00272"/>
    <s v="PR008"/>
    <n v="5"/>
    <n v="0"/>
    <b v="0"/>
    <n v="2720"/>
    <x v="5"/>
    <n v="13600"/>
    <x v="207"/>
    <x v="68"/>
  </r>
  <r>
    <s v="OI000464"/>
    <s v="O00273"/>
    <s v="PR010"/>
    <n v="3"/>
    <n v="0"/>
    <b v="0"/>
    <n v="2450"/>
    <x v="1"/>
    <n v="7350"/>
    <x v="22"/>
    <x v="187"/>
  </r>
  <r>
    <s v="OI000465"/>
    <s v="O00273"/>
    <s v="PR028"/>
    <n v="5"/>
    <n v="0"/>
    <b v="0"/>
    <n v="2250"/>
    <x v="3"/>
    <n v="11250"/>
    <x v="22"/>
    <x v="187"/>
  </r>
  <r>
    <s v="OI000466"/>
    <s v="O00274"/>
    <s v="PR030"/>
    <n v="5"/>
    <n v="0.05"/>
    <b v="0"/>
    <n v="1440"/>
    <x v="1"/>
    <n v="6840"/>
    <x v="208"/>
    <x v="162"/>
  </r>
  <r>
    <s v="OI000467"/>
    <s v="O00275"/>
    <s v="PR068"/>
    <n v="2"/>
    <n v="0.1"/>
    <b v="0"/>
    <n v="3000"/>
    <x v="3"/>
    <n v="5400"/>
    <x v="209"/>
    <x v="10"/>
  </r>
  <r>
    <s v="OI000468"/>
    <s v="O00276"/>
    <s v="PR023"/>
    <n v="5"/>
    <n v="0.15"/>
    <b v="0"/>
    <n v="1880"/>
    <x v="2"/>
    <n v="7990"/>
    <x v="210"/>
    <x v="188"/>
  </r>
  <r>
    <s v="OI000469"/>
    <s v="O00276"/>
    <s v="PR072"/>
    <n v="4"/>
    <n v="0.15"/>
    <b v="0"/>
    <n v="3650"/>
    <x v="0"/>
    <n v="12410"/>
    <x v="210"/>
    <x v="188"/>
  </r>
  <r>
    <s v="OI000470"/>
    <s v="O00277"/>
    <s v="PR074"/>
    <n v="3"/>
    <n v="0.15"/>
    <b v="0"/>
    <n v="3680"/>
    <x v="3"/>
    <n v="9384"/>
    <x v="32"/>
    <x v="138"/>
  </r>
  <r>
    <s v="OI000471"/>
    <s v="O00278"/>
    <s v="PR055"/>
    <n v="1"/>
    <n v="0"/>
    <b v="0"/>
    <n v="3040"/>
    <x v="4"/>
    <n v="3040"/>
    <x v="185"/>
    <x v="151"/>
  </r>
  <r>
    <s v="OI000472"/>
    <s v="O00279"/>
    <s v="PR071"/>
    <n v="4"/>
    <n v="0.1"/>
    <b v="0"/>
    <n v="2230"/>
    <x v="1"/>
    <n v="8028"/>
    <x v="211"/>
    <x v="189"/>
  </r>
  <r>
    <s v="OI000473"/>
    <s v="O00279"/>
    <s v="PR044"/>
    <n v="2"/>
    <n v="0.1"/>
    <b v="0"/>
    <n v="1440"/>
    <x v="1"/>
    <n v="2592"/>
    <x v="211"/>
    <x v="189"/>
  </r>
  <r>
    <s v="OI000474"/>
    <s v="O00280"/>
    <s v="PR057"/>
    <n v="3"/>
    <n v="0"/>
    <b v="0"/>
    <n v="790"/>
    <x v="1"/>
    <n v="2370"/>
    <x v="22"/>
    <x v="190"/>
  </r>
  <r>
    <s v="OI000475"/>
    <s v="O00280"/>
    <s v="PR071"/>
    <n v="3"/>
    <n v="0.2"/>
    <b v="0"/>
    <n v="2230"/>
    <x v="1"/>
    <n v="5352"/>
    <x v="22"/>
    <x v="190"/>
  </r>
  <r>
    <s v="OI000476"/>
    <s v="O00280"/>
    <s v="PR048"/>
    <n v="4"/>
    <n v="0.2"/>
    <b v="0"/>
    <n v="3070"/>
    <x v="2"/>
    <n v="9824"/>
    <x v="22"/>
    <x v="190"/>
  </r>
  <r>
    <s v="OI000477"/>
    <s v="O00280"/>
    <s v="PR056"/>
    <n v="3"/>
    <n v="0.1"/>
    <b v="0"/>
    <n v="2920"/>
    <x v="3"/>
    <n v="7884"/>
    <x v="22"/>
    <x v="190"/>
  </r>
  <r>
    <s v="OI000478"/>
    <s v="O00281"/>
    <s v="PR070"/>
    <n v="2"/>
    <n v="0.05"/>
    <b v="0"/>
    <n v="1030"/>
    <x v="5"/>
    <n v="1957"/>
    <x v="212"/>
    <x v="72"/>
  </r>
  <r>
    <s v="OI000479"/>
    <s v="O00282"/>
    <s v="PR033"/>
    <n v="3"/>
    <n v="0.05"/>
    <b v="0"/>
    <n v="2670"/>
    <x v="5"/>
    <n v="7609.5"/>
    <x v="11"/>
    <x v="120"/>
  </r>
  <r>
    <s v="OI000480"/>
    <s v="O00282"/>
    <s v="PR058"/>
    <n v="4"/>
    <n v="0"/>
    <b v="0"/>
    <n v="1430"/>
    <x v="0"/>
    <n v="5720"/>
    <x v="11"/>
    <x v="120"/>
  </r>
  <r>
    <s v="OI000481"/>
    <s v="O00283"/>
    <s v="PR037"/>
    <n v="5"/>
    <n v="0"/>
    <b v="0"/>
    <n v="2050"/>
    <x v="2"/>
    <n v="10250"/>
    <x v="213"/>
    <x v="8"/>
  </r>
  <r>
    <s v="OI000482"/>
    <s v="O00283"/>
    <s v="PR067"/>
    <n v="2"/>
    <n v="0"/>
    <b v="0"/>
    <n v="1710"/>
    <x v="3"/>
    <n v="3420"/>
    <x v="213"/>
    <x v="8"/>
  </r>
  <r>
    <s v="OI000483"/>
    <s v="O00284"/>
    <s v="PR029"/>
    <n v="2"/>
    <n v="0.2"/>
    <b v="0"/>
    <n v="1080"/>
    <x v="5"/>
    <n v="1728"/>
    <x v="214"/>
    <x v="4"/>
  </r>
  <r>
    <s v="OI000484"/>
    <s v="O00285"/>
    <s v="PR036"/>
    <n v="5"/>
    <n v="0.1"/>
    <b v="0"/>
    <n v="330"/>
    <x v="0"/>
    <n v="1485"/>
    <x v="215"/>
    <x v="75"/>
  </r>
  <r>
    <s v="OI000485"/>
    <s v="O00286"/>
    <s v="PR074"/>
    <n v="2"/>
    <n v="0"/>
    <b v="0"/>
    <n v="3680"/>
    <x v="3"/>
    <n v="7360"/>
    <x v="56"/>
    <x v="55"/>
  </r>
  <r>
    <s v="OI000486"/>
    <s v="O00286"/>
    <s v="PR005"/>
    <n v="4"/>
    <n v="0"/>
    <b v="0"/>
    <n v="1520"/>
    <x v="4"/>
    <n v="6080"/>
    <x v="56"/>
    <x v="55"/>
  </r>
  <r>
    <s v="OI000487"/>
    <s v="O00287"/>
    <s v="PR034"/>
    <n v="3"/>
    <n v="0.1"/>
    <b v="0"/>
    <n v="530"/>
    <x v="5"/>
    <n v="1431"/>
    <x v="216"/>
    <x v="191"/>
  </r>
  <r>
    <s v="OI000488"/>
    <s v="O00288"/>
    <s v="PR033"/>
    <n v="3"/>
    <n v="0"/>
    <b v="0"/>
    <n v="2670"/>
    <x v="5"/>
    <n v="8010"/>
    <x v="54"/>
    <x v="100"/>
  </r>
  <r>
    <s v="OI000489"/>
    <s v="O00289"/>
    <s v="PR073"/>
    <n v="2"/>
    <n v="0.15"/>
    <b v="0"/>
    <n v="1760"/>
    <x v="0"/>
    <n v="2992"/>
    <x v="217"/>
    <x v="192"/>
  </r>
  <r>
    <s v="OI000490"/>
    <s v="O00289"/>
    <s v="PR010"/>
    <n v="3"/>
    <n v="0.2"/>
    <b v="0"/>
    <n v="2450"/>
    <x v="1"/>
    <n v="5880"/>
    <x v="217"/>
    <x v="192"/>
  </r>
  <r>
    <s v="OI000491"/>
    <s v="O00290"/>
    <s v="PR063"/>
    <n v="5"/>
    <n v="0.2"/>
    <b v="0"/>
    <n v="470"/>
    <x v="2"/>
    <n v="1880"/>
    <x v="218"/>
    <x v="193"/>
  </r>
  <r>
    <s v="OI000492"/>
    <s v="O00291"/>
    <s v="PR077"/>
    <n v="3"/>
    <n v="0"/>
    <b v="0"/>
    <n v="1900"/>
    <x v="5"/>
    <n v="5700"/>
    <x v="219"/>
    <x v="194"/>
  </r>
  <r>
    <s v="OI000493"/>
    <s v="O00291"/>
    <s v="PR074"/>
    <n v="4"/>
    <n v="0"/>
    <b v="0"/>
    <n v="3680"/>
    <x v="3"/>
    <n v="14720"/>
    <x v="219"/>
    <x v="194"/>
  </r>
  <r>
    <s v="OI000494"/>
    <s v="O00291"/>
    <s v="PR008"/>
    <n v="3"/>
    <n v="0"/>
    <b v="0"/>
    <n v="2720"/>
    <x v="5"/>
    <n v="8160"/>
    <x v="219"/>
    <x v="194"/>
  </r>
  <r>
    <s v="OI000495"/>
    <s v="O00292"/>
    <s v="PR056"/>
    <n v="4"/>
    <n v="0.2"/>
    <b v="0"/>
    <n v="2920"/>
    <x v="3"/>
    <n v="9344"/>
    <x v="220"/>
    <x v="63"/>
  </r>
  <r>
    <s v="OI000496"/>
    <s v="O00292"/>
    <s v="PR016"/>
    <n v="2"/>
    <n v="0.15"/>
    <b v="0"/>
    <n v="1130"/>
    <x v="0"/>
    <n v="1921"/>
    <x v="220"/>
    <x v="63"/>
  </r>
  <r>
    <s v="OI000497"/>
    <s v="O00292"/>
    <s v="PR078"/>
    <n v="1"/>
    <n v="0.15"/>
    <b v="0"/>
    <n v="1440"/>
    <x v="3"/>
    <n v="1224"/>
    <x v="220"/>
    <x v="63"/>
  </r>
  <r>
    <s v="OI000498"/>
    <s v="O00293"/>
    <s v="PR049"/>
    <n v="1"/>
    <n v="0"/>
    <b v="0"/>
    <n v="2210"/>
    <x v="5"/>
    <n v="2210"/>
    <x v="93"/>
    <x v="195"/>
  </r>
  <r>
    <s v="OI000499"/>
    <s v="O00293"/>
    <s v="PR068"/>
    <n v="1"/>
    <n v="0"/>
    <b v="0"/>
    <n v="3000"/>
    <x v="3"/>
    <n v="3000"/>
    <x v="93"/>
    <x v="195"/>
  </r>
  <r>
    <s v="OI000500"/>
    <s v="O00294"/>
    <s v="PR020"/>
    <n v="3"/>
    <n v="0.1"/>
    <b v="1"/>
    <n v="110"/>
    <x v="3"/>
    <n v="297"/>
    <x v="117"/>
    <x v="102"/>
  </r>
  <r>
    <s v="OI000501"/>
    <s v="O00294"/>
    <s v="PR029"/>
    <n v="2"/>
    <n v="0"/>
    <b v="0"/>
    <n v="1080"/>
    <x v="5"/>
    <n v="2160"/>
    <x v="117"/>
    <x v="102"/>
  </r>
  <r>
    <s v="OI000502"/>
    <s v="O00295"/>
    <s v="PR051"/>
    <n v="4"/>
    <n v="0.2"/>
    <b v="0"/>
    <n v="2190"/>
    <x v="4"/>
    <n v="7008"/>
    <x v="221"/>
    <x v="125"/>
  </r>
  <r>
    <s v="OI000503"/>
    <s v="O00295"/>
    <s v="PR077"/>
    <n v="5"/>
    <n v="0.1"/>
    <b v="0"/>
    <n v="1900"/>
    <x v="5"/>
    <n v="8550"/>
    <x v="221"/>
    <x v="125"/>
  </r>
  <r>
    <s v="OI000504"/>
    <s v="O00296"/>
    <s v="PR056"/>
    <n v="3"/>
    <n v="0.2"/>
    <b v="0"/>
    <n v="2920"/>
    <x v="3"/>
    <n v="7008"/>
    <x v="222"/>
    <x v="152"/>
  </r>
  <r>
    <s v="OI000505"/>
    <s v="O00297"/>
    <s v="PR017"/>
    <n v="3"/>
    <n v="0"/>
    <b v="0"/>
    <n v="580"/>
    <x v="0"/>
    <n v="1740"/>
    <x v="14"/>
    <x v="138"/>
  </r>
  <r>
    <s v="OI000506"/>
    <s v="O00298"/>
    <s v="PR007"/>
    <n v="5"/>
    <n v="0.05"/>
    <b v="0"/>
    <n v="5550"/>
    <x v="3"/>
    <n v="26362.5"/>
    <x v="157"/>
    <x v="186"/>
  </r>
  <r>
    <s v="OI000507"/>
    <s v="O00299"/>
    <s v="PR052"/>
    <n v="5"/>
    <n v="0.05"/>
    <b v="0"/>
    <n v="1340"/>
    <x v="4"/>
    <n v="6365"/>
    <x v="223"/>
    <x v="168"/>
  </r>
  <r>
    <s v="OI000508"/>
    <s v="O00300"/>
    <s v="PR017"/>
    <n v="2"/>
    <n v="0.05"/>
    <b v="0"/>
    <n v="580"/>
    <x v="0"/>
    <n v="1102"/>
    <x v="224"/>
    <x v="113"/>
  </r>
  <r>
    <s v="OI000509"/>
    <s v="O00300"/>
    <s v="PR072"/>
    <n v="2"/>
    <n v="0.05"/>
    <b v="0"/>
    <n v="3650"/>
    <x v="0"/>
    <n v="6935"/>
    <x v="224"/>
    <x v="113"/>
  </r>
  <r>
    <s v="OI000510"/>
    <s v="O00301"/>
    <s v="PR074"/>
    <n v="2"/>
    <n v="0.1"/>
    <b v="0"/>
    <n v="3680"/>
    <x v="3"/>
    <n v="6624"/>
    <x v="164"/>
    <x v="168"/>
  </r>
  <r>
    <s v="OI000511"/>
    <s v="O00302"/>
    <s v="PR068"/>
    <n v="2"/>
    <n v="0"/>
    <b v="0"/>
    <n v="3000"/>
    <x v="3"/>
    <n v="6000"/>
    <x v="40"/>
    <x v="121"/>
  </r>
  <r>
    <s v="OI000512"/>
    <s v="O00302"/>
    <s v="PR010"/>
    <n v="3"/>
    <n v="0.2"/>
    <b v="0"/>
    <n v="2450"/>
    <x v="1"/>
    <n v="5880"/>
    <x v="40"/>
    <x v="121"/>
  </r>
  <r>
    <s v="OI000513"/>
    <s v="O00303"/>
    <s v="PR074"/>
    <n v="1"/>
    <n v="0"/>
    <b v="0"/>
    <n v="3680"/>
    <x v="3"/>
    <n v="3680"/>
    <x v="225"/>
    <x v="182"/>
  </r>
  <r>
    <s v="OI000514"/>
    <s v="O00304"/>
    <s v="PR055"/>
    <n v="3"/>
    <n v="0"/>
    <b v="0"/>
    <n v="3040"/>
    <x v="4"/>
    <n v="9120"/>
    <x v="226"/>
    <x v="148"/>
  </r>
  <r>
    <s v="OI000515"/>
    <s v="O00304"/>
    <s v="PR025"/>
    <n v="3"/>
    <n v="0"/>
    <b v="0"/>
    <n v="1150"/>
    <x v="2"/>
    <n v="3450"/>
    <x v="226"/>
    <x v="148"/>
  </r>
  <r>
    <s v="OI000516"/>
    <s v="O00305"/>
    <s v="PR004"/>
    <n v="3"/>
    <n v="0"/>
    <b v="0"/>
    <n v="3630"/>
    <x v="4"/>
    <n v="10890"/>
    <x v="227"/>
    <x v="196"/>
  </r>
  <r>
    <s v="OI000517"/>
    <s v="O00305"/>
    <s v="PR045"/>
    <n v="5"/>
    <n v="0.2"/>
    <b v="0"/>
    <n v="2250"/>
    <x v="3"/>
    <n v="9000"/>
    <x v="227"/>
    <x v="196"/>
  </r>
  <r>
    <s v="OI000518"/>
    <s v="O00306"/>
    <s v="PR057"/>
    <n v="5"/>
    <n v="0"/>
    <b v="0"/>
    <n v="790"/>
    <x v="1"/>
    <n v="3950"/>
    <x v="149"/>
    <x v="197"/>
  </r>
  <r>
    <s v="OI000519"/>
    <s v="O00306"/>
    <s v="PR057"/>
    <n v="1"/>
    <n v="0.2"/>
    <b v="0"/>
    <n v="790"/>
    <x v="1"/>
    <n v="632"/>
    <x v="149"/>
    <x v="197"/>
  </r>
  <r>
    <s v="OI000520"/>
    <s v="O00306"/>
    <s v="PR030"/>
    <n v="2"/>
    <n v="0.15"/>
    <b v="0"/>
    <n v="1440"/>
    <x v="1"/>
    <n v="2448"/>
    <x v="149"/>
    <x v="197"/>
  </r>
  <r>
    <s v="OI000521"/>
    <s v="O00306"/>
    <s v="PR048"/>
    <n v="2"/>
    <n v="0.2"/>
    <b v="0"/>
    <n v="3070"/>
    <x v="2"/>
    <n v="4912"/>
    <x v="149"/>
    <x v="197"/>
  </r>
  <r>
    <s v="OI000522"/>
    <s v="O00307"/>
    <s v="PR011"/>
    <n v="1"/>
    <n v="0.15"/>
    <b v="0"/>
    <n v="1240"/>
    <x v="2"/>
    <n v="1054"/>
    <x v="124"/>
    <x v="87"/>
  </r>
  <r>
    <s v="OI000523"/>
    <s v="O00307"/>
    <s v="PR007"/>
    <n v="2"/>
    <n v="0.1"/>
    <b v="0"/>
    <n v="5550"/>
    <x v="3"/>
    <n v="9990"/>
    <x v="124"/>
    <x v="87"/>
  </r>
  <r>
    <s v="OI000524"/>
    <s v="O00308"/>
    <s v="PR037"/>
    <n v="1"/>
    <n v="0"/>
    <b v="0"/>
    <n v="2050"/>
    <x v="2"/>
    <n v="2050"/>
    <x v="135"/>
    <x v="198"/>
  </r>
  <r>
    <s v="OI000525"/>
    <s v="O00308"/>
    <s v="PR015"/>
    <n v="3"/>
    <n v="0.05"/>
    <b v="0"/>
    <n v="1765"/>
    <x v="5"/>
    <n v="5030.25"/>
    <x v="135"/>
    <x v="198"/>
  </r>
  <r>
    <s v="OI000526"/>
    <s v="O00308"/>
    <s v="PR061"/>
    <n v="1"/>
    <n v="0"/>
    <b v="0"/>
    <n v="1220"/>
    <x v="3"/>
    <n v="1220"/>
    <x v="135"/>
    <x v="198"/>
  </r>
  <r>
    <s v="OI000527"/>
    <s v="O00309"/>
    <s v="PR069"/>
    <n v="2"/>
    <n v="0"/>
    <b v="0"/>
    <n v="2230"/>
    <x v="3"/>
    <n v="4460"/>
    <x v="228"/>
    <x v="20"/>
  </r>
  <r>
    <s v="OI000528"/>
    <s v="O00310"/>
    <s v="PR034"/>
    <n v="5"/>
    <n v="0.05"/>
    <b v="0"/>
    <n v="530"/>
    <x v="5"/>
    <n v="2517.5"/>
    <x v="229"/>
    <x v="188"/>
  </r>
  <r>
    <s v="OI000529"/>
    <s v="O00310"/>
    <s v="PR080"/>
    <n v="2"/>
    <n v="0.15"/>
    <b v="0"/>
    <n v="99"/>
    <x v="1"/>
    <n v="168.29999999999998"/>
    <x v="229"/>
    <x v="188"/>
  </r>
  <r>
    <s v="OI000530"/>
    <s v="O00311"/>
    <s v="PR003"/>
    <n v="4"/>
    <n v="0.1"/>
    <b v="0"/>
    <n v="2580"/>
    <x v="5"/>
    <n v="9288"/>
    <x v="230"/>
    <x v="199"/>
  </r>
  <r>
    <s v="OI000531"/>
    <s v="O00311"/>
    <s v="PR068"/>
    <n v="1"/>
    <n v="0"/>
    <b v="0"/>
    <n v="3000"/>
    <x v="3"/>
    <n v="3000"/>
    <x v="230"/>
    <x v="199"/>
  </r>
  <r>
    <s v="OI000532"/>
    <s v="O00312"/>
    <s v="PR037"/>
    <n v="2"/>
    <n v="0.2"/>
    <b v="0"/>
    <n v="2050"/>
    <x v="2"/>
    <n v="3280"/>
    <x v="231"/>
    <x v="56"/>
  </r>
  <r>
    <s v="OI000533"/>
    <s v="O00313"/>
    <s v="PR035"/>
    <n v="1"/>
    <n v="0.05"/>
    <b v="0"/>
    <n v="2790"/>
    <x v="1"/>
    <n v="2650.5"/>
    <x v="232"/>
    <x v="132"/>
  </r>
  <r>
    <s v="OI000534"/>
    <s v="O00313"/>
    <s v="PR002"/>
    <n v="1"/>
    <n v="0.05"/>
    <b v="0"/>
    <n v="1630"/>
    <x v="5"/>
    <n v="1548.5"/>
    <x v="232"/>
    <x v="132"/>
  </r>
  <r>
    <s v="OI000535"/>
    <s v="O00314"/>
    <s v="PR047"/>
    <n v="1"/>
    <n v="0"/>
    <b v="0"/>
    <n v="1250"/>
    <x v="1"/>
    <n v="1250"/>
    <x v="233"/>
    <x v="125"/>
  </r>
  <r>
    <s v="OI000536"/>
    <s v="O00314"/>
    <s v="PR038"/>
    <n v="4"/>
    <n v="0"/>
    <b v="0"/>
    <n v="99"/>
    <x v="1"/>
    <n v="396"/>
    <x v="233"/>
    <x v="125"/>
  </r>
  <r>
    <s v="OI000537"/>
    <s v="O00315"/>
    <s v="PR066"/>
    <n v="1"/>
    <n v="0"/>
    <b v="0"/>
    <n v="3430"/>
    <x v="0"/>
    <n v="3430"/>
    <x v="234"/>
    <x v="84"/>
  </r>
  <r>
    <s v="OI000538"/>
    <s v="O00315"/>
    <s v="PR063"/>
    <n v="5"/>
    <n v="0.1"/>
    <b v="0"/>
    <n v="470"/>
    <x v="2"/>
    <n v="2115"/>
    <x v="234"/>
    <x v="84"/>
  </r>
  <r>
    <s v="OI000539"/>
    <s v="O00315"/>
    <s v="PR012"/>
    <n v="2"/>
    <n v="0"/>
    <b v="0"/>
    <n v="1240"/>
    <x v="2"/>
    <n v="2480"/>
    <x v="234"/>
    <x v="84"/>
  </r>
  <r>
    <s v="OI000540"/>
    <s v="O00315"/>
    <s v="PR065"/>
    <n v="4"/>
    <n v="0.1"/>
    <b v="0"/>
    <n v="2780"/>
    <x v="2"/>
    <n v="10008"/>
    <x v="234"/>
    <x v="84"/>
  </r>
  <r>
    <s v="OI000541"/>
    <s v="O00316"/>
    <s v="PR003"/>
    <n v="1"/>
    <n v="0"/>
    <b v="0"/>
    <n v="2580"/>
    <x v="5"/>
    <n v="2580"/>
    <x v="125"/>
    <x v="142"/>
  </r>
  <r>
    <s v="OI000542"/>
    <s v="O00316"/>
    <s v="PR068"/>
    <n v="3"/>
    <n v="0"/>
    <b v="0"/>
    <n v="3000"/>
    <x v="3"/>
    <n v="9000"/>
    <x v="125"/>
    <x v="142"/>
  </r>
  <r>
    <s v="OI000543"/>
    <s v="O00316"/>
    <s v="PR063"/>
    <n v="4"/>
    <n v="0.15"/>
    <b v="0"/>
    <n v="470"/>
    <x v="2"/>
    <n v="1598"/>
    <x v="125"/>
    <x v="142"/>
  </r>
  <r>
    <s v="OI000544"/>
    <s v="O00317"/>
    <s v="PR045"/>
    <n v="3"/>
    <n v="0"/>
    <b v="0"/>
    <n v="2250"/>
    <x v="3"/>
    <n v="6750"/>
    <x v="235"/>
    <x v="200"/>
  </r>
  <r>
    <s v="OI000545"/>
    <s v="O00318"/>
    <s v="PR031"/>
    <n v="5"/>
    <n v="0"/>
    <b v="0"/>
    <n v="1080"/>
    <x v="3"/>
    <n v="5400"/>
    <x v="236"/>
    <x v="201"/>
  </r>
  <r>
    <s v="OI000546"/>
    <s v="O00318"/>
    <s v="PR008"/>
    <n v="3"/>
    <n v="0.05"/>
    <b v="0"/>
    <n v="2720"/>
    <x v="5"/>
    <n v="7752"/>
    <x v="236"/>
    <x v="201"/>
  </r>
  <r>
    <s v="OI000547"/>
    <s v="O00319"/>
    <s v="PR004"/>
    <n v="5"/>
    <n v="0"/>
    <b v="0"/>
    <n v="3630"/>
    <x v="4"/>
    <n v="18150"/>
    <x v="122"/>
    <x v="183"/>
  </r>
  <r>
    <s v="OI000548"/>
    <s v="O00319"/>
    <s v="PR029"/>
    <n v="2"/>
    <n v="0"/>
    <b v="0"/>
    <n v="1080"/>
    <x v="5"/>
    <n v="2160"/>
    <x v="122"/>
    <x v="183"/>
  </r>
  <r>
    <s v="OI000549"/>
    <s v="O00319"/>
    <s v="PR051"/>
    <n v="2"/>
    <n v="0"/>
    <b v="0"/>
    <n v="2190"/>
    <x v="4"/>
    <n v="4380"/>
    <x v="122"/>
    <x v="183"/>
  </r>
  <r>
    <s v="OI000550"/>
    <s v="O00320"/>
    <s v="PR067"/>
    <n v="3"/>
    <n v="0.2"/>
    <b v="1"/>
    <n v="1710"/>
    <x v="3"/>
    <n v="4104"/>
    <x v="101"/>
    <x v="202"/>
  </r>
  <r>
    <s v="OI000551"/>
    <s v="O00320"/>
    <s v="PR005"/>
    <n v="2"/>
    <n v="0.05"/>
    <b v="0"/>
    <n v="1520"/>
    <x v="4"/>
    <n v="2888"/>
    <x v="101"/>
    <x v="202"/>
  </r>
  <r>
    <s v="OI000552"/>
    <s v="O00321"/>
    <s v="PR020"/>
    <n v="4"/>
    <n v="0"/>
    <b v="0"/>
    <n v="110"/>
    <x v="3"/>
    <n v="440"/>
    <x v="237"/>
    <x v="184"/>
  </r>
  <r>
    <s v="OI000553"/>
    <s v="O00322"/>
    <s v="PR043"/>
    <n v="4"/>
    <n v="0.1"/>
    <b v="0"/>
    <n v="1660"/>
    <x v="2"/>
    <n v="5976"/>
    <x v="213"/>
    <x v="19"/>
  </r>
  <r>
    <s v="OI000554"/>
    <s v="O00322"/>
    <s v="PR017"/>
    <n v="2"/>
    <n v="0.15"/>
    <b v="0"/>
    <n v="580"/>
    <x v="0"/>
    <n v="986"/>
    <x v="213"/>
    <x v="19"/>
  </r>
  <r>
    <s v="OI000555"/>
    <s v="O00322"/>
    <s v="PR018"/>
    <n v="5"/>
    <n v="0.1"/>
    <b v="0"/>
    <n v="2180"/>
    <x v="4"/>
    <n v="9810"/>
    <x v="213"/>
    <x v="19"/>
  </r>
  <r>
    <s v="OI000556"/>
    <s v="O00323"/>
    <s v="PR026"/>
    <n v="2"/>
    <n v="0"/>
    <b v="0"/>
    <n v="1930"/>
    <x v="3"/>
    <n v="3860"/>
    <x v="152"/>
    <x v="203"/>
  </r>
  <r>
    <s v="OI000557"/>
    <s v="O00323"/>
    <s v="PR068"/>
    <n v="2"/>
    <n v="0.05"/>
    <b v="0"/>
    <n v="3000"/>
    <x v="3"/>
    <n v="5700"/>
    <x v="152"/>
    <x v="203"/>
  </r>
  <r>
    <s v="OI000558"/>
    <s v="O00324"/>
    <s v="PR019"/>
    <n v="5"/>
    <n v="0"/>
    <b v="0"/>
    <n v="710"/>
    <x v="1"/>
    <n v="3550"/>
    <x v="118"/>
    <x v="191"/>
  </r>
  <r>
    <s v="OI000559"/>
    <s v="O00324"/>
    <s v="PR041"/>
    <n v="1"/>
    <n v="0.1"/>
    <b v="0"/>
    <n v="2690"/>
    <x v="5"/>
    <n v="2421"/>
    <x v="118"/>
    <x v="191"/>
  </r>
  <r>
    <s v="OI000560"/>
    <s v="O00324"/>
    <s v="PR069"/>
    <n v="1"/>
    <n v="0"/>
    <b v="0"/>
    <n v="2230"/>
    <x v="3"/>
    <n v="2230"/>
    <x v="118"/>
    <x v="191"/>
  </r>
  <r>
    <s v="OI000561"/>
    <s v="O00324"/>
    <s v="PR041"/>
    <n v="2"/>
    <n v="0.15"/>
    <b v="0"/>
    <n v="2690"/>
    <x v="5"/>
    <n v="4573"/>
    <x v="118"/>
    <x v="191"/>
  </r>
  <r>
    <s v="OI000562"/>
    <s v="O00325"/>
    <s v="PR041"/>
    <n v="4"/>
    <n v="0.05"/>
    <b v="0"/>
    <n v="2690"/>
    <x v="5"/>
    <n v="10222"/>
    <x v="238"/>
    <x v="23"/>
  </r>
  <r>
    <s v="OI000563"/>
    <s v="O00326"/>
    <s v="PR036"/>
    <n v="2"/>
    <n v="0.2"/>
    <b v="0"/>
    <n v="330"/>
    <x v="0"/>
    <n v="528"/>
    <x v="239"/>
    <x v="172"/>
  </r>
  <r>
    <s v="OI000564"/>
    <s v="O00327"/>
    <s v="PR017"/>
    <n v="2"/>
    <n v="0"/>
    <b v="0"/>
    <n v="580"/>
    <x v="0"/>
    <n v="1160"/>
    <x v="240"/>
    <x v="83"/>
  </r>
  <r>
    <s v="OI000565"/>
    <s v="O00328"/>
    <s v="PR079"/>
    <n v="5"/>
    <n v="0"/>
    <b v="0"/>
    <n v="1910"/>
    <x v="2"/>
    <n v="9550"/>
    <x v="200"/>
    <x v="166"/>
  </r>
  <r>
    <s v="OI000566"/>
    <s v="O00328"/>
    <s v="PR078"/>
    <n v="5"/>
    <n v="0.1"/>
    <b v="0"/>
    <n v="1440"/>
    <x v="3"/>
    <n v="6480"/>
    <x v="200"/>
    <x v="166"/>
  </r>
  <r>
    <s v="OI000567"/>
    <s v="O00329"/>
    <s v="PR030"/>
    <n v="2"/>
    <n v="0.15"/>
    <b v="0"/>
    <n v="1440"/>
    <x v="1"/>
    <n v="2448"/>
    <x v="65"/>
    <x v="204"/>
  </r>
  <r>
    <s v="OI000568"/>
    <s v="O00330"/>
    <s v="PR011"/>
    <n v="4"/>
    <n v="0"/>
    <b v="0"/>
    <n v="1240"/>
    <x v="2"/>
    <n v="4960"/>
    <x v="25"/>
    <x v="205"/>
  </r>
  <r>
    <s v="OI000569"/>
    <s v="O00331"/>
    <s v="PR078"/>
    <n v="4"/>
    <n v="0.15"/>
    <b v="0"/>
    <n v="1440"/>
    <x v="3"/>
    <n v="4896"/>
    <x v="241"/>
    <x v="125"/>
  </r>
  <r>
    <s v="OI000570"/>
    <s v="O00331"/>
    <s v="PR048"/>
    <n v="2"/>
    <n v="0.2"/>
    <b v="0"/>
    <n v="3070"/>
    <x v="2"/>
    <n v="4912"/>
    <x v="241"/>
    <x v="125"/>
  </r>
  <r>
    <s v="OI000571"/>
    <s v="O00332"/>
    <s v="PR061"/>
    <n v="2"/>
    <n v="0"/>
    <b v="0"/>
    <n v="1220"/>
    <x v="3"/>
    <n v="2440"/>
    <x v="242"/>
    <x v="135"/>
  </r>
  <r>
    <s v="OI000572"/>
    <s v="O00333"/>
    <s v="PR005"/>
    <n v="4"/>
    <n v="0.2"/>
    <b v="0"/>
    <n v="1520"/>
    <x v="4"/>
    <n v="4864"/>
    <x v="243"/>
    <x v="206"/>
  </r>
  <r>
    <s v="OI000573"/>
    <s v="O00334"/>
    <s v="PR035"/>
    <n v="4"/>
    <n v="0"/>
    <b v="0"/>
    <n v="2790"/>
    <x v="1"/>
    <n v="11160"/>
    <x v="189"/>
    <x v="207"/>
  </r>
  <r>
    <s v="OI000574"/>
    <s v="O00334"/>
    <s v="PR026"/>
    <n v="2"/>
    <n v="0"/>
    <b v="0"/>
    <n v="1930"/>
    <x v="3"/>
    <n v="3860"/>
    <x v="189"/>
    <x v="207"/>
  </r>
  <r>
    <s v="OI000575"/>
    <s v="O00334"/>
    <s v="PR023"/>
    <n v="4"/>
    <n v="0.2"/>
    <b v="0"/>
    <n v="1880"/>
    <x v="2"/>
    <n v="6016"/>
    <x v="189"/>
    <x v="207"/>
  </r>
  <r>
    <s v="OI000576"/>
    <s v="O00334"/>
    <s v="PR079"/>
    <n v="4"/>
    <n v="0.15"/>
    <b v="0"/>
    <n v="1910"/>
    <x v="2"/>
    <n v="6494"/>
    <x v="189"/>
    <x v="207"/>
  </r>
  <r>
    <s v="OI000577"/>
    <s v="O00335"/>
    <s v="PR059"/>
    <n v="2"/>
    <n v="0.05"/>
    <b v="0"/>
    <n v="2200"/>
    <x v="4"/>
    <n v="4180"/>
    <x v="244"/>
    <x v="207"/>
  </r>
  <r>
    <s v="OI000578"/>
    <s v="O00336"/>
    <s v="PR006"/>
    <n v="5"/>
    <n v="0.15"/>
    <b v="0"/>
    <n v="1520"/>
    <x v="0"/>
    <n v="6460"/>
    <x v="245"/>
    <x v="208"/>
  </r>
  <r>
    <s v="OI000579"/>
    <s v="O00337"/>
    <s v="PR041"/>
    <n v="4"/>
    <n v="0.1"/>
    <b v="0"/>
    <n v="2690"/>
    <x v="5"/>
    <n v="9684"/>
    <x v="246"/>
    <x v="209"/>
  </r>
  <r>
    <s v="OI000580"/>
    <s v="O00337"/>
    <s v="PR074"/>
    <n v="5"/>
    <n v="0.1"/>
    <b v="0"/>
    <n v="3680"/>
    <x v="3"/>
    <n v="16560"/>
    <x v="246"/>
    <x v="209"/>
  </r>
  <r>
    <s v="OI000581"/>
    <s v="O00337"/>
    <s v="PR068"/>
    <n v="1"/>
    <n v="0.1"/>
    <b v="0"/>
    <n v="3000"/>
    <x v="3"/>
    <n v="2700"/>
    <x v="246"/>
    <x v="209"/>
  </r>
  <r>
    <s v="OI000582"/>
    <s v="O00338"/>
    <s v="PR059"/>
    <n v="1"/>
    <n v="0"/>
    <b v="0"/>
    <n v="2200"/>
    <x v="4"/>
    <n v="2200"/>
    <x v="14"/>
    <x v="210"/>
  </r>
  <r>
    <s v="OI000583"/>
    <s v="O00339"/>
    <s v="PR051"/>
    <n v="1"/>
    <n v="0.1"/>
    <b v="0"/>
    <n v="2190"/>
    <x v="4"/>
    <n v="1971"/>
    <x v="225"/>
    <x v="43"/>
  </r>
  <r>
    <s v="OI000584"/>
    <s v="O00339"/>
    <s v="PR050"/>
    <n v="5"/>
    <n v="0.2"/>
    <b v="0"/>
    <n v="99"/>
    <x v="5"/>
    <n v="396"/>
    <x v="225"/>
    <x v="43"/>
  </r>
  <r>
    <s v="OI000585"/>
    <s v="O00340"/>
    <s v="PR007"/>
    <n v="2"/>
    <n v="0"/>
    <b v="0"/>
    <n v="5550"/>
    <x v="3"/>
    <n v="11100"/>
    <x v="247"/>
    <x v="85"/>
  </r>
  <r>
    <s v="OI000586"/>
    <s v="O00340"/>
    <s v="PR057"/>
    <n v="4"/>
    <n v="0"/>
    <b v="0"/>
    <n v="790"/>
    <x v="1"/>
    <n v="3160"/>
    <x v="247"/>
    <x v="85"/>
  </r>
  <r>
    <s v="OI000587"/>
    <s v="O00341"/>
    <s v="PR037"/>
    <n v="4"/>
    <n v="0"/>
    <b v="0"/>
    <n v="2050"/>
    <x v="2"/>
    <n v="8200"/>
    <x v="188"/>
    <x v="178"/>
  </r>
  <r>
    <s v="OI000588"/>
    <s v="O00341"/>
    <s v="PR055"/>
    <n v="3"/>
    <n v="0.1"/>
    <b v="0"/>
    <n v="3040"/>
    <x v="4"/>
    <n v="8208"/>
    <x v="188"/>
    <x v="178"/>
  </r>
  <r>
    <s v="OI000589"/>
    <s v="O00342"/>
    <s v="PR067"/>
    <n v="2"/>
    <n v="0.05"/>
    <b v="0"/>
    <n v="1710"/>
    <x v="3"/>
    <n v="3249"/>
    <x v="248"/>
    <x v="36"/>
  </r>
  <r>
    <s v="OI000590"/>
    <s v="O00342"/>
    <s v="PR058"/>
    <n v="1"/>
    <n v="0.15"/>
    <b v="0"/>
    <n v="1430"/>
    <x v="0"/>
    <n v="1215.5"/>
    <x v="248"/>
    <x v="36"/>
  </r>
  <r>
    <s v="OI000591"/>
    <s v="O00342"/>
    <s v="PR065"/>
    <n v="1"/>
    <n v="0"/>
    <b v="0"/>
    <n v="2780"/>
    <x v="2"/>
    <n v="2780"/>
    <x v="248"/>
    <x v="36"/>
  </r>
  <r>
    <s v="OI000592"/>
    <s v="O00343"/>
    <s v="PR070"/>
    <n v="2"/>
    <n v="0.05"/>
    <b v="0"/>
    <n v="1030"/>
    <x v="5"/>
    <n v="1957"/>
    <x v="242"/>
    <x v="93"/>
  </r>
  <r>
    <s v="OI000593"/>
    <s v="O00343"/>
    <s v="PR053"/>
    <n v="3"/>
    <n v="0.05"/>
    <b v="0"/>
    <n v="990"/>
    <x v="0"/>
    <n v="2821.5"/>
    <x v="242"/>
    <x v="93"/>
  </r>
  <r>
    <s v="OI000594"/>
    <s v="O00344"/>
    <s v="PR059"/>
    <n v="5"/>
    <n v="0.15"/>
    <b v="0"/>
    <n v="2200"/>
    <x v="4"/>
    <n v="9350"/>
    <x v="249"/>
    <x v="3"/>
  </r>
  <r>
    <s v="OI000595"/>
    <s v="O00345"/>
    <s v="PR059"/>
    <n v="1"/>
    <n v="0"/>
    <b v="0"/>
    <n v="2200"/>
    <x v="4"/>
    <n v="2200"/>
    <x v="250"/>
    <x v="83"/>
  </r>
  <r>
    <s v="OI000596"/>
    <s v="O00345"/>
    <s v="PR042"/>
    <n v="2"/>
    <n v="0.15"/>
    <b v="0"/>
    <n v="2010"/>
    <x v="5"/>
    <n v="3417"/>
    <x v="250"/>
    <x v="83"/>
  </r>
  <r>
    <s v="OI000597"/>
    <s v="O00345"/>
    <s v="PR016"/>
    <n v="1"/>
    <n v="0"/>
    <b v="0"/>
    <n v="1130"/>
    <x v="0"/>
    <n v="1130"/>
    <x v="250"/>
    <x v="83"/>
  </r>
  <r>
    <s v="OI000598"/>
    <s v="O00346"/>
    <s v="PR047"/>
    <n v="1"/>
    <n v="0.1"/>
    <b v="0"/>
    <n v="1250"/>
    <x v="1"/>
    <n v="1125"/>
    <x v="150"/>
    <x v="184"/>
  </r>
  <r>
    <s v="OI000599"/>
    <s v="O00346"/>
    <s v="PR050"/>
    <n v="5"/>
    <n v="0.1"/>
    <b v="0"/>
    <n v="99"/>
    <x v="5"/>
    <n v="445.5"/>
    <x v="150"/>
    <x v="184"/>
  </r>
  <r>
    <s v="OI000600"/>
    <s v="O00347"/>
    <s v="PR049"/>
    <n v="3"/>
    <n v="0.05"/>
    <b v="1"/>
    <n v="2210"/>
    <x v="5"/>
    <n v="6298.5"/>
    <x v="251"/>
    <x v="211"/>
  </r>
  <r>
    <s v="OI000601"/>
    <s v="O00347"/>
    <s v="PR006"/>
    <n v="2"/>
    <n v="0"/>
    <b v="0"/>
    <n v="1520"/>
    <x v="0"/>
    <n v="3040"/>
    <x v="251"/>
    <x v="211"/>
  </r>
  <r>
    <s v="OI000602"/>
    <s v="O00347"/>
    <s v="PR073"/>
    <n v="2"/>
    <n v="0"/>
    <b v="0"/>
    <n v="1760"/>
    <x v="0"/>
    <n v="3520"/>
    <x v="251"/>
    <x v="211"/>
  </r>
  <r>
    <s v="OI000603"/>
    <s v="O00348"/>
    <s v="PR023"/>
    <n v="1"/>
    <n v="0.05"/>
    <b v="0"/>
    <n v="1880"/>
    <x v="2"/>
    <n v="1786"/>
    <x v="252"/>
    <x v="87"/>
  </r>
  <r>
    <s v="OI000604"/>
    <s v="O00348"/>
    <s v="PR040"/>
    <n v="3"/>
    <n v="0.15"/>
    <b v="0"/>
    <n v="2040"/>
    <x v="0"/>
    <n v="5202"/>
    <x v="252"/>
    <x v="87"/>
  </r>
  <r>
    <s v="OI000605"/>
    <s v="O00348"/>
    <s v="PR058"/>
    <n v="3"/>
    <n v="0.15"/>
    <b v="0"/>
    <n v="1430"/>
    <x v="0"/>
    <n v="3646.5"/>
    <x v="252"/>
    <x v="87"/>
  </r>
  <r>
    <s v="OI000606"/>
    <s v="O00349"/>
    <s v="PR017"/>
    <n v="2"/>
    <n v="0"/>
    <b v="0"/>
    <n v="580"/>
    <x v="0"/>
    <n v="1160"/>
    <x v="0"/>
    <x v="189"/>
  </r>
  <r>
    <s v="OI000607"/>
    <s v="O00350"/>
    <s v="PR033"/>
    <n v="1"/>
    <n v="0.05"/>
    <b v="0"/>
    <n v="2670"/>
    <x v="5"/>
    <n v="2536.5"/>
    <x v="253"/>
    <x v="212"/>
  </r>
  <r>
    <s v="OI000608"/>
    <s v="O00350"/>
    <s v="PR064"/>
    <n v="4"/>
    <n v="0.1"/>
    <b v="0"/>
    <n v="360"/>
    <x v="5"/>
    <n v="1296"/>
    <x v="253"/>
    <x v="212"/>
  </r>
  <r>
    <s v="OI000609"/>
    <s v="O00351"/>
    <s v="PR078"/>
    <n v="4"/>
    <n v="0"/>
    <b v="0"/>
    <n v="1440"/>
    <x v="3"/>
    <n v="5760"/>
    <x v="31"/>
    <x v="91"/>
  </r>
  <r>
    <s v="OI000610"/>
    <s v="O00351"/>
    <s v="PR028"/>
    <n v="5"/>
    <n v="0.15"/>
    <b v="0"/>
    <n v="2250"/>
    <x v="3"/>
    <n v="9562.5"/>
    <x v="31"/>
    <x v="91"/>
  </r>
  <r>
    <s v="OI000611"/>
    <s v="O00351"/>
    <s v="PR061"/>
    <n v="4"/>
    <n v="0.05"/>
    <b v="0"/>
    <n v="1220"/>
    <x v="3"/>
    <n v="4636"/>
    <x v="31"/>
    <x v="91"/>
  </r>
  <r>
    <s v="OI000612"/>
    <s v="O00352"/>
    <s v="PR077"/>
    <n v="5"/>
    <n v="0"/>
    <b v="0"/>
    <n v="1900"/>
    <x v="5"/>
    <n v="9500"/>
    <x v="236"/>
    <x v="179"/>
  </r>
  <r>
    <s v="OI000613"/>
    <s v="O00353"/>
    <s v="PR071"/>
    <n v="3"/>
    <n v="0.1"/>
    <b v="0"/>
    <n v="2230"/>
    <x v="1"/>
    <n v="6021"/>
    <x v="254"/>
    <x v="213"/>
  </r>
  <r>
    <s v="OI000614"/>
    <s v="O00354"/>
    <s v="PR027"/>
    <n v="1"/>
    <n v="0"/>
    <b v="0"/>
    <n v="420"/>
    <x v="5"/>
    <n v="420"/>
    <x v="255"/>
    <x v="42"/>
  </r>
  <r>
    <s v="OI000615"/>
    <s v="O00354"/>
    <s v="PR019"/>
    <n v="1"/>
    <n v="0.15"/>
    <b v="0"/>
    <n v="710"/>
    <x v="1"/>
    <n v="603.5"/>
    <x v="255"/>
    <x v="42"/>
  </r>
  <r>
    <s v="OI000616"/>
    <s v="O00355"/>
    <s v="PR019"/>
    <n v="1"/>
    <n v="0.15"/>
    <b v="0"/>
    <n v="710"/>
    <x v="1"/>
    <n v="603.5"/>
    <x v="237"/>
    <x v="214"/>
  </r>
  <r>
    <s v="OI000617"/>
    <s v="O00356"/>
    <s v="PR078"/>
    <n v="3"/>
    <n v="0"/>
    <b v="0"/>
    <n v="1440"/>
    <x v="3"/>
    <n v="4320"/>
    <x v="256"/>
    <x v="13"/>
  </r>
  <r>
    <s v="OI000618"/>
    <s v="O00356"/>
    <s v="PR012"/>
    <n v="1"/>
    <n v="0"/>
    <b v="0"/>
    <n v="1240"/>
    <x v="2"/>
    <n v="1240"/>
    <x v="256"/>
    <x v="13"/>
  </r>
  <r>
    <s v="OI000619"/>
    <s v="O00357"/>
    <s v="PR023"/>
    <n v="2"/>
    <n v="0.15"/>
    <b v="0"/>
    <n v="1880"/>
    <x v="2"/>
    <n v="3196"/>
    <x v="30"/>
    <x v="66"/>
  </r>
  <r>
    <s v="OI000620"/>
    <s v="O00358"/>
    <s v="PR077"/>
    <n v="5"/>
    <n v="0.2"/>
    <b v="0"/>
    <n v="1900"/>
    <x v="5"/>
    <n v="7600"/>
    <x v="257"/>
    <x v="157"/>
  </r>
  <r>
    <s v="OI000621"/>
    <s v="O00359"/>
    <s v="PR059"/>
    <n v="5"/>
    <n v="0"/>
    <b v="0"/>
    <n v="2200"/>
    <x v="4"/>
    <n v="11000"/>
    <x v="135"/>
    <x v="12"/>
  </r>
  <r>
    <s v="OI000622"/>
    <s v="O00359"/>
    <s v="PR005"/>
    <n v="1"/>
    <n v="0.2"/>
    <b v="0"/>
    <n v="1520"/>
    <x v="4"/>
    <n v="1216"/>
    <x v="135"/>
    <x v="12"/>
  </r>
  <r>
    <s v="OI000623"/>
    <s v="O00360"/>
    <s v="PR048"/>
    <n v="4"/>
    <n v="0.2"/>
    <b v="0"/>
    <n v="3070"/>
    <x v="2"/>
    <n v="9824"/>
    <x v="51"/>
    <x v="215"/>
  </r>
  <r>
    <s v="OI000624"/>
    <s v="O00361"/>
    <s v="PR055"/>
    <n v="5"/>
    <n v="0"/>
    <b v="0"/>
    <n v="3040"/>
    <x v="4"/>
    <n v="15200"/>
    <x v="258"/>
    <x v="216"/>
  </r>
  <r>
    <s v="OI000625"/>
    <s v="O00362"/>
    <s v="PR018"/>
    <n v="1"/>
    <n v="0.15"/>
    <b v="0"/>
    <n v="2180"/>
    <x v="4"/>
    <n v="1853"/>
    <x v="122"/>
    <x v="193"/>
  </r>
  <r>
    <s v="OI000626"/>
    <s v="O00363"/>
    <s v="PR043"/>
    <n v="5"/>
    <n v="0.05"/>
    <b v="0"/>
    <n v="1660"/>
    <x v="2"/>
    <n v="7885"/>
    <x v="259"/>
    <x v="82"/>
  </r>
  <r>
    <s v="OI000627"/>
    <s v="O00363"/>
    <s v="PR068"/>
    <n v="2"/>
    <n v="0.15"/>
    <b v="0"/>
    <n v="3000"/>
    <x v="3"/>
    <n v="5100"/>
    <x v="259"/>
    <x v="82"/>
  </r>
  <r>
    <s v="OI000628"/>
    <s v="O00363"/>
    <s v="PR027"/>
    <n v="5"/>
    <n v="0"/>
    <b v="0"/>
    <n v="420"/>
    <x v="5"/>
    <n v="2100"/>
    <x v="259"/>
    <x v="82"/>
  </r>
  <r>
    <s v="OI000629"/>
    <s v="O00364"/>
    <s v="PR005"/>
    <n v="5"/>
    <n v="0"/>
    <b v="0"/>
    <n v="1520"/>
    <x v="4"/>
    <n v="7600"/>
    <x v="140"/>
    <x v="193"/>
  </r>
  <r>
    <s v="OI000630"/>
    <s v="O00365"/>
    <s v="PR078"/>
    <n v="3"/>
    <n v="0.05"/>
    <b v="0"/>
    <n v="1440"/>
    <x v="3"/>
    <n v="4104"/>
    <x v="260"/>
    <x v="121"/>
  </r>
  <r>
    <s v="OI000631"/>
    <s v="O00366"/>
    <s v="PR041"/>
    <n v="3"/>
    <n v="0.1"/>
    <b v="0"/>
    <n v="2690"/>
    <x v="5"/>
    <n v="7263"/>
    <x v="261"/>
    <x v="145"/>
  </r>
  <r>
    <s v="OI000632"/>
    <s v="O00366"/>
    <s v="PR074"/>
    <n v="5"/>
    <n v="0"/>
    <b v="0"/>
    <n v="3680"/>
    <x v="3"/>
    <n v="18400"/>
    <x v="261"/>
    <x v="145"/>
  </r>
  <r>
    <s v="OI000633"/>
    <s v="O00367"/>
    <s v="PR079"/>
    <n v="5"/>
    <n v="0.05"/>
    <b v="0"/>
    <n v="1910"/>
    <x v="2"/>
    <n v="9072.5"/>
    <x v="262"/>
    <x v="52"/>
  </r>
  <r>
    <s v="OI000634"/>
    <s v="O00367"/>
    <s v="PR067"/>
    <n v="4"/>
    <n v="0.05"/>
    <b v="0"/>
    <n v="1710"/>
    <x v="3"/>
    <n v="6498"/>
    <x v="262"/>
    <x v="52"/>
  </r>
  <r>
    <s v="OI000635"/>
    <s v="O00367"/>
    <s v="PR024"/>
    <n v="5"/>
    <n v="0"/>
    <b v="0"/>
    <n v="99"/>
    <x v="4"/>
    <n v="495"/>
    <x v="262"/>
    <x v="52"/>
  </r>
  <r>
    <s v="OI000636"/>
    <s v="O00368"/>
    <s v="PR025"/>
    <n v="1"/>
    <n v="0"/>
    <b v="0"/>
    <n v="1150"/>
    <x v="2"/>
    <n v="1150"/>
    <x v="157"/>
    <x v="132"/>
  </r>
  <r>
    <s v="OI000637"/>
    <s v="O00368"/>
    <s v="PR004"/>
    <n v="4"/>
    <n v="0.15"/>
    <b v="0"/>
    <n v="3630"/>
    <x v="4"/>
    <n v="12342"/>
    <x v="157"/>
    <x v="132"/>
  </r>
  <r>
    <s v="OI000638"/>
    <s v="O00369"/>
    <s v="PR027"/>
    <n v="5"/>
    <n v="0.05"/>
    <b v="0"/>
    <n v="420"/>
    <x v="5"/>
    <n v="1995"/>
    <x v="72"/>
    <x v="217"/>
  </r>
  <r>
    <s v="OI000639"/>
    <s v="O00369"/>
    <s v="PR053"/>
    <n v="1"/>
    <n v="0"/>
    <b v="0"/>
    <n v="990"/>
    <x v="0"/>
    <n v="990"/>
    <x v="72"/>
    <x v="217"/>
  </r>
  <r>
    <s v="OI000640"/>
    <s v="O00370"/>
    <s v="PR028"/>
    <n v="1"/>
    <n v="0.15"/>
    <b v="0"/>
    <n v="2250"/>
    <x v="3"/>
    <n v="1912.5"/>
    <x v="29"/>
    <x v="180"/>
  </r>
  <r>
    <s v="OI000641"/>
    <s v="O00371"/>
    <s v="PR037"/>
    <n v="3"/>
    <n v="0.2"/>
    <b v="0"/>
    <n v="2050"/>
    <x v="2"/>
    <n v="4920"/>
    <x v="186"/>
    <x v="22"/>
  </r>
  <r>
    <s v="OI000642"/>
    <s v="O00372"/>
    <s v="PR039"/>
    <n v="5"/>
    <n v="0.1"/>
    <b v="0"/>
    <n v="210"/>
    <x v="4"/>
    <n v="945"/>
    <x v="125"/>
    <x v="212"/>
  </r>
  <r>
    <s v="OI000643"/>
    <s v="O00373"/>
    <s v="PR001"/>
    <n v="1"/>
    <n v="0.15"/>
    <b v="0"/>
    <n v="2400"/>
    <x v="4"/>
    <n v="2040"/>
    <x v="263"/>
    <x v="189"/>
  </r>
  <r>
    <s v="OI000644"/>
    <s v="O00374"/>
    <s v="PR051"/>
    <n v="5"/>
    <n v="0.1"/>
    <b v="0"/>
    <n v="2190"/>
    <x v="4"/>
    <n v="9855"/>
    <x v="264"/>
    <x v="110"/>
  </r>
  <r>
    <s v="OI000645"/>
    <s v="O00375"/>
    <s v="PR023"/>
    <n v="2"/>
    <n v="0"/>
    <b v="0"/>
    <n v="1880"/>
    <x v="2"/>
    <n v="3760"/>
    <x v="98"/>
    <x v="73"/>
  </r>
  <r>
    <s v="OI000646"/>
    <s v="O00375"/>
    <s v="PR044"/>
    <n v="4"/>
    <n v="0.05"/>
    <b v="0"/>
    <n v="1440"/>
    <x v="1"/>
    <n v="5472"/>
    <x v="98"/>
    <x v="73"/>
  </r>
  <r>
    <s v="OI000647"/>
    <s v="O00375"/>
    <s v="PR005"/>
    <n v="2"/>
    <n v="0.05"/>
    <b v="0"/>
    <n v="1520"/>
    <x v="4"/>
    <n v="2888"/>
    <x v="98"/>
    <x v="73"/>
  </r>
  <r>
    <s v="OI000648"/>
    <s v="O00375"/>
    <s v="PR020"/>
    <n v="4"/>
    <n v="0.2"/>
    <b v="0"/>
    <n v="110"/>
    <x v="3"/>
    <n v="352"/>
    <x v="98"/>
    <x v="73"/>
  </r>
  <r>
    <s v="OI000649"/>
    <s v="O00376"/>
    <s v="PR043"/>
    <n v="4"/>
    <n v="0.2"/>
    <b v="0"/>
    <n v="1660"/>
    <x v="2"/>
    <n v="5312"/>
    <x v="265"/>
    <x v="197"/>
  </r>
  <r>
    <s v="OI000650"/>
    <s v="O00376"/>
    <s v="PR053"/>
    <n v="3"/>
    <n v="0.2"/>
    <b v="1"/>
    <n v="990"/>
    <x v="0"/>
    <n v="2376"/>
    <x v="265"/>
    <x v="197"/>
  </r>
  <r>
    <s v="OI000651"/>
    <s v="O00377"/>
    <s v="PR073"/>
    <n v="3"/>
    <n v="0.1"/>
    <b v="0"/>
    <n v="1760"/>
    <x v="0"/>
    <n v="4752"/>
    <x v="266"/>
    <x v="157"/>
  </r>
  <r>
    <s v="OI000652"/>
    <s v="O00377"/>
    <s v="PR069"/>
    <n v="1"/>
    <n v="0"/>
    <b v="0"/>
    <n v="2230"/>
    <x v="3"/>
    <n v="2230"/>
    <x v="266"/>
    <x v="157"/>
  </r>
  <r>
    <s v="OI000653"/>
    <s v="O00378"/>
    <s v="PR043"/>
    <n v="3"/>
    <n v="0"/>
    <b v="0"/>
    <n v="1660"/>
    <x v="2"/>
    <n v="4980"/>
    <x v="267"/>
    <x v="34"/>
  </r>
  <r>
    <s v="OI000654"/>
    <s v="O00378"/>
    <s v="PR020"/>
    <n v="3"/>
    <n v="0.2"/>
    <b v="0"/>
    <n v="110"/>
    <x v="3"/>
    <n v="264"/>
    <x v="267"/>
    <x v="34"/>
  </r>
  <r>
    <s v="OI000655"/>
    <s v="O00379"/>
    <s v="PR049"/>
    <n v="5"/>
    <n v="0.2"/>
    <b v="0"/>
    <n v="2210"/>
    <x v="5"/>
    <n v="8840"/>
    <x v="268"/>
    <x v="218"/>
  </r>
  <r>
    <s v="OI000656"/>
    <s v="O00380"/>
    <s v="PR078"/>
    <n v="4"/>
    <n v="0"/>
    <b v="0"/>
    <n v="1440"/>
    <x v="3"/>
    <n v="5760"/>
    <x v="101"/>
    <x v="219"/>
  </r>
  <r>
    <s v="OI000657"/>
    <s v="O00381"/>
    <s v="PR040"/>
    <n v="3"/>
    <n v="0.15"/>
    <b v="0"/>
    <n v="2040"/>
    <x v="0"/>
    <n v="5202"/>
    <x v="269"/>
    <x v="220"/>
  </r>
  <r>
    <s v="OI000658"/>
    <s v="O00381"/>
    <s v="PR005"/>
    <n v="3"/>
    <n v="0.05"/>
    <b v="0"/>
    <n v="1520"/>
    <x v="4"/>
    <n v="4332"/>
    <x v="269"/>
    <x v="220"/>
  </r>
  <r>
    <s v="OI000659"/>
    <s v="O00382"/>
    <s v="PR031"/>
    <n v="3"/>
    <n v="0.05"/>
    <b v="0"/>
    <n v="1080"/>
    <x v="3"/>
    <n v="3078"/>
    <x v="108"/>
    <x v="221"/>
  </r>
  <r>
    <s v="OI000660"/>
    <s v="O00383"/>
    <s v="PR039"/>
    <n v="2"/>
    <n v="0.1"/>
    <b v="0"/>
    <n v="210"/>
    <x v="4"/>
    <n v="378"/>
    <x v="270"/>
    <x v="222"/>
  </r>
  <r>
    <s v="OI000661"/>
    <s v="O00383"/>
    <s v="PR039"/>
    <n v="2"/>
    <n v="0"/>
    <b v="0"/>
    <n v="210"/>
    <x v="4"/>
    <n v="420"/>
    <x v="270"/>
    <x v="222"/>
  </r>
  <r>
    <s v="OI000662"/>
    <s v="O00383"/>
    <s v="PR048"/>
    <n v="1"/>
    <n v="0.2"/>
    <b v="0"/>
    <n v="3070"/>
    <x v="2"/>
    <n v="2456"/>
    <x v="270"/>
    <x v="222"/>
  </r>
  <r>
    <s v="OI000663"/>
    <s v="O00384"/>
    <s v="PR012"/>
    <n v="4"/>
    <n v="0.1"/>
    <b v="0"/>
    <n v="1240"/>
    <x v="2"/>
    <n v="4464"/>
    <x v="260"/>
    <x v="167"/>
  </r>
  <r>
    <s v="OI000664"/>
    <s v="O00385"/>
    <s v="PR062"/>
    <n v="5"/>
    <n v="0"/>
    <b v="0"/>
    <n v="1580"/>
    <x v="2"/>
    <n v="7900"/>
    <x v="271"/>
    <x v="132"/>
  </r>
  <r>
    <s v="OI000665"/>
    <s v="O00386"/>
    <s v="PR062"/>
    <n v="5"/>
    <n v="0"/>
    <b v="0"/>
    <n v="1580"/>
    <x v="2"/>
    <n v="7900"/>
    <x v="272"/>
    <x v="154"/>
  </r>
  <r>
    <s v="OI000666"/>
    <s v="O00387"/>
    <s v="PR019"/>
    <n v="1"/>
    <n v="0.2"/>
    <b v="0"/>
    <n v="710"/>
    <x v="1"/>
    <n v="568"/>
    <x v="244"/>
    <x v="52"/>
  </r>
  <r>
    <s v="OI000667"/>
    <s v="O00387"/>
    <s v="PR067"/>
    <n v="2"/>
    <n v="0"/>
    <b v="0"/>
    <n v="1710"/>
    <x v="3"/>
    <n v="3420"/>
    <x v="244"/>
    <x v="52"/>
  </r>
  <r>
    <s v="OI000668"/>
    <s v="O00388"/>
    <s v="PR059"/>
    <n v="4"/>
    <n v="0.15"/>
    <b v="0"/>
    <n v="2200"/>
    <x v="4"/>
    <n v="7480"/>
    <x v="273"/>
    <x v="95"/>
  </r>
  <r>
    <s v="OI000669"/>
    <s v="O00388"/>
    <s v="PR067"/>
    <n v="1"/>
    <n v="0"/>
    <b v="0"/>
    <n v="1710"/>
    <x v="3"/>
    <n v="1710"/>
    <x v="273"/>
    <x v="95"/>
  </r>
  <r>
    <s v="OI000670"/>
    <s v="O00389"/>
    <s v="PR006"/>
    <n v="5"/>
    <n v="0.2"/>
    <b v="0"/>
    <n v="1520"/>
    <x v="0"/>
    <n v="6080"/>
    <x v="257"/>
    <x v="69"/>
  </r>
  <r>
    <s v="OI000671"/>
    <s v="O00390"/>
    <s v="PR060"/>
    <n v="1"/>
    <n v="0"/>
    <b v="0"/>
    <n v="1910"/>
    <x v="2"/>
    <n v="1910"/>
    <x v="91"/>
    <x v="145"/>
  </r>
  <r>
    <s v="OI000672"/>
    <s v="O00391"/>
    <s v="PR040"/>
    <n v="1"/>
    <n v="0.1"/>
    <b v="0"/>
    <n v="2040"/>
    <x v="0"/>
    <n v="1836"/>
    <x v="93"/>
    <x v="193"/>
  </r>
  <r>
    <s v="OI000673"/>
    <s v="O00391"/>
    <s v="PR040"/>
    <n v="2"/>
    <n v="0"/>
    <b v="0"/>
    <n v="2040"/>
    <x v="0"/>
    <n v="4080"/>
    <x v="93"/>
    <x v="193"/>
  </r>
  <r>
    <s v="OI000674"/>
    <s v="O00392"/>
    <s v="PR037"/>
    <n v="3"/>
    <n v="0.1"/>
    <b v="0"/>
    <n v="2050"/>
    <x v="2"/>
    <n v="5535"/>
    <x v="274"/>
    <x v="194"/>
  </r>
  <r>
    <s v="OI000675"/>
    <s v="O00393"/>
    <s v="PR057"/>
    <n v="1"/>
    <n v="0"/>
    <b v="0"/>
    <n v="790"/>
    <x v="1"/>
    <n v="790"/>
    <x v="275"/>
    <x v="31"/>
  </r>
  <r>
    <s v="OI000676"/>
    <s v="O00394"/>
    <s v="PR036"/>
    <n v="1"/>
    <n v="0"/>
    <b v="0"/>
    <n v="330"/>
    <x v="0"/>
    <n v="330"/>
    <x v="107"/>
    <x v="94"/>
  </r>
  <r>
    <s v="OI000677"/>
    <s v="O00395"/>
    <s v="PR072"/>
    <n v="5"/>
    <n v="0"/>
    <b v="0"/>
    <n v="3650"/>
    <x v="0"/>
    <n v="18250"/>
    <x v="102"/>
    <x v="153"/>
  </r>
  <r>
    <s v="OI000678"/>
    <s v="O00395"/>
    <s v="PR027"/>
    <n v="5"/>
    <n v="0"/>
    <b v="0"/>
    <n v="420"/>
    <x v="5"/>
    <n v="2100"/>
    <x v="102"/>
    <x v="153"/>
  </r>
  <r>
    <s v="OI000679"/>
    <s v="O00395"/>
    <s v="PR071"/>
    <n v="3"/>
    <n v="0"/>
    <b v="0"/>
    <n v="2230"/>
    <x v="1"/>
    <n v="6690"/>
    <x v="102"/>
    <x v="153"/>
  </r>
  <r>
    <s v="OI000680"/>
    <s v="O00395"/>
    <s v="PR019"/>
    <n v="3"/>
    <n v="0.1"/>
    <b v="0"/>
    <n v="710"/>
    <x v="1"/>
    <n v="1917"/>
    <x v="102"/>
    <x v="153"/>
  </r>
  <r>
    <s v="OI000681"/>
    <s v="O00396"/>
    <s v="PR010"/>
    <n v="3"/>
    <n v="0.1"/>
    <b v="0"/>
    <n v="2450"/>
    <x v="1"/>
    <n v="6615"/>
    <x v="276"/>
    <x v="217"/>
  </r>
  <r>
    <s v="OI000682"/>
    <s v="O00397"/>
    <s v="PR070"/>
    <n v="4"/>
    <n v="0"/>
    <b v="0"/>
    <n v="1030"/>
    <x v="5"/>
    <n v="4120"/>
    <x v="277"/>
    <x v="18"/>
  </r>
  <r>
    <s v="OI000683"/>
    <s v="O00397"/>
    <s v="PR017"/>
    <n v="1"/>
    <n v="0.05"/>
    <b v="0"/>
    <n v="580"/>
    <x v="0"/>
    <n v="551"/>
    <x v="277"/>
    <x v="18"/>
  </r>
  <r>
    <s v="OI000684"/>
    <s v="O00397"/>
    <s v="PR007"/>
    <n v="1"/>
    <n v="0.05"/>
    <b v="0"/>
    <n v="5550"/>
    <x v="3"/>
    <n v="5272.5"/>
    <x v="277"/>
    <x v="18"/>
  </r>
  <r>
    <s v="OI000685"/>
    <s v="O00398"/>
    <s v="PR055"/>
    <n v="4"/>
    <n v="0"/>
    <b v="0"/>
    <n v="3040"/>
    <x v="4"/>
    <n v="12160"/>
    <x v="220"/>
    <x v="20"/>
  </r>
  <r>
    <s v="OI000686"/>
    <s v="O00399"/>
    <s v="PR076"/>
    <n v="4"/>
    <n v="0.1"/>
    <b v="0"/>
    <n v="2790"/>
    <x v="4"/>
    <n v="10044"/>
    <x v="175"/>
    <x v="173"/>
  </r>
  <r>
    <s v="OI000687"/>
    <s v="O00399"/>
    <s v="PR046"/>
    <n v="3"/>
    <n v="0"/>
    <b v="0"/>
    <n v="940"/>
    <x v="2"/>
    <n v="2820"/>
    <x v="175"/>
    <x v="173"/>
  </r>
  <r>
    <s v="OI000688"/>
    <s v="O00400"/>
    <s v="PR069"/>
    <n v="1"/>
    <n v="0.2"/>
    <b v="0"/>
    <n v="2230"/>
    <x v="3"/>
    <n v="1784"/>
    <x v="278"/>
    <x v="207"/>
  </r>
  <r>
    <s v="OI000689"/>
    <s v="O00400"/>
    <s v="PR060"/>
    <n v="5"/>
    <n v="0"/>
    <b v="0"/>
    <n v="1910"/>
    <x v="2"/>
    <n v="9550"/>
    <x v="278"/>
    <x v="207"/>
  </r>
  <r>
    <s v="OI000690"/>
    <s v="O00400"/>
    <s v="PR012"/>
    <n v="4"/>
    <n v="0"/>
    <b v="0"/>
    <n v="1240"/>
    <x v="2"/>
    <n v="4960"/>
    <x v="278"/>
    <x v="207"/>
  </r>
  <r>
    <s v="OI000691"/>
    <s v="O00401"/>
    <s v="PR060"/>
    <n v="4"/>
    <n v="0"/>
    <b v="0"/>
    <n v="1910"/>
    <x v="2"/>
    <n v="7640"/>
    <x v="279"/>
    <x v="223"/>
  </r>
  <r>
    <s v="OI000692"/>
    <s v="O00402"/>
    <s v="PR019"/>
    <n v="5"/>
    <n v="0"/>
    <b v="0"/>
    <n v="710"/>
    <x v="1"/>
    <n v="3550"/>
    <x v="220"/>
    <x v="214"/>
  </r>
  <r>
    <s v="OI000693"/>
    <s v="O00402"/>
    <s v="PR047"/>
    <n v="4"/>
    <n v="0"/>
    <b v="0"/>
    <n v="1250"/>
    <x v="1"/>
    <n v="5000"/>
    <x v="220"/>
    <x v="214"/>
  </r>
  <r>
    <s v="OI000694"/>
    <s v="O00402"/>
    <s v="PR043"/>
    <n v="3"/>
    <n v="0.05"/>
    <b v="0"/>
    <n v="1660"/>
    <x v="2"/>
    <n v="4731"/>
    <x v="220"/>
    <x v="214"/>
  </r>
  <r>
    <s v="OI000695"/>
    <s v="O00403"/>
    <s v="PR009"/>
    <n v="4"/>
    <n v="0"/>
    <b v="0"/>
    <n v="1240"/>
    <x v="5"/>
    <n v="4960"/>
    <x v="238"/>
    <x v="221"/>
  </r>
  <r>
    <s v="OI000696"/>
    <s v="O00404"/>
    <s v="PR060"/>
    <n v="2"/>
    <n v="0"/>
    <b v="0"/>
    <n v="1910"/>
    <x v="2"/>
    <n v="3820"/>
    <x v="280"/>
    <x v="13"/>
  </r>
  <r>
    <s v="OI000697"/>
    <s v="O00405"/>
    <s v="PR078"/>
    <n v="5"/>
    <n v="0"/>
    <b v="0"/>
    <n v="1440"/>
    <x v="3"/>
    <n v="7200"/>
    <x v="54"/>
    <x v="119"/>
  </r>
  <r>
    <s v="OI000698"/>
    <s v="O00405"/>
    <s v="PR066"/>
    <n v="1"/>
    <n v="0.05"/>
    <b v="0"/>
    <n v="3430"/>
    <x v="0"/>
    <n v="3258.5"/>
    <x v="54"/>
    <x v="119"/>
  </r>
  <r>
    <s v="OI000699"/>
    <s v="O00406"/>
    <s v="PR014"/>
    <n v="3"/>
    <n v="0.1"/>
    <b v="0"/>
    <n v="99"/>
    <x v="4"/>
    <n v="267.3"/>
    <x v="192"/>
    <x v="186"/>
  </r>
  <r>
    <s v="OI000700"/>
    <s v="O00406"/>
    <s v="PR010"/>
    <n v="3"/>
    <n v="0.1"/>
    <b v="1"/>
    <n v="2450"/>
    <x v="1"/>
    <n v="6615"/>
    <x v="192"/>
    <x v="186"/>
  </r>
  <r>
    <s v="OI000701"/>
    <s v="O00406"/>
    <s v="PR060"/>
    <n v="4"/>
    <n v="0.1"/>
    <b v="0"/>
    <n v="1910"/>
    <x v="2"/>
    <n v="6876"/>
    <x v="192"/>
    <x v="186"/>
  </r>
  <r>
    <s v="OI000702"/>
    <s v="O00407"/>
    <s v="PR080"/>
    <n v="2"/>
    <n v="0.1"/>
    <b v="0"/>
    <n v="99"/>
    <x v="1"/>
    <n v="178.20000000000002"/>
    <x v="281"/>
    <x v="35"/>
  </r>
  <r>
    <s v="OI000703"/>
    <s v="O00408"/>
    <s v="PR062"/>
    <n v="4"/>
    <n v="0"/>
    <b v="0"/>
    <n v="1580"/>
    <x v="2"/>
    <n v="6320"/>
    <x v="282"/>
    <x v="224"/>
  </r>
  <r>
    <s v="OI000704"/>
    <s v="O00409"/>
    <s v="PR076"/>
    <n v="4"/>
    <n v="0.2"/>
    <b v="0"/>
    <n v="2790"/>
    <x v="4"/>
    <n v="8928"/>
    <x v="139"/>
    <x v="225"/>
  </r>
  <r>
    <s v="OI000705"/>
    <s v="O00410"/>
    <s v="PR073"/>
    <n v="3"/>
    <n v="0.1"/>
    <b v="0"/>
    <n v="1760"/>
    <x v="0"/>
    <n v="4752"/>
    <x v="275"/>
    <x v="36"/>
  </r>
  <r>
    <s v="OI000706"/>
    <s v="O00410"/>
    <s v="PR031"/>
    <n v="2"/>
    <n v="0.15"/>
    <b v="0"/>
    <n v="1080"/>
    <x v="3"/>
    <n v="1836"/>
    <x v="275"/>
    <x v="36"/>
  </r>
  <r>
    <s v="OI000707"/>
    <s v="O00410"/>
    <s v="PR010"/>
    <n v="5"/>
    <n v="0.2"/>
    <b v="0"/>
    <n v="2450"/>
    <x v="1"/>
    <n v="9800"/>
    <x v="275"/>
    <x v="36"/>
  </r>
  <r>
    <s v="OI000708"/>
    <s v="O00410"/>
    <s v="PR063"/>
    <n v="1"/>
    <n v="0.1"/>
    <b v="0"/>
    <n v="470"/>
    <x v="2"/>
    <n v="423"/>
    <x v="275"/>
    <x v="36"/>
  </r>
  <r>
    <s v="OI000709"/>
    <s v="O00411"/>
    <s v="PR042"/>
    <n v="5"/>
    <n v="0"/>
    <b v="0"/>
    <n v="2010"/>
    <x v="5"/>
    <n v="10050"/>
    <x v="90"/>
    <x v="61"/>
  </r>
  <r>
    <s v="OI000710"/>
    <s v="O00411"/>
    <s v="PR057"/>
    <n v="2"/>
    <n v="0"/>
    <b v="0"/>
    <n v="790"/>
    <x v="1"/>
    <n v="1580"/>
    <x v="90"/>
    <x v="61"/>
  </r>
  <r>
    <s v="OI000711"/>
    <s v="O00412"/>
    <s v="PR009"/>
    <n v="5"/>
    <n v="0"/>
    <b v="0"/>
    <n v="1240"/>
    <x v="5"/>
    <n v="6200"/>
    <x v="283"/>
    <x v="123"/>
  </r>
  <r>
    <s v="OI000712"/>
    <s v="O00412"/>
    <s v="PR077"/>
    <n v="4"/>
    <n v="0"/>
    <b v="0"/>
    <n v="1900"/>
    <x v="5"/>
    <n v="7600"/>
    <x v="283"/>
    <x v="123"/>
  </r>
  <r>
    <s v="OI000713"/>
    <s v="O00412"/>
    <s v="PR064"/>
    <n v="1"/>
    <n v="0"/>
    <b v="0"/>
    <n v="360"/>
    <x v="5"/>
    <n v="360"/>
    <x v="283"/>
    <x v="123"/>
  </r>
  <r>
    <s v="OI000714"/>
    <s v="O00412"/>
    <s v="PR028"/>
    <n v="2"/>
    <n v="0.1"/>
    <b v="0"/>
    <n v="2250"/>
    <x v="3"/>
    <n v="4050"/>
    <x v="283"/>
    <x v="123"/>
  </r>
  <r>
    <s v="OI000715"/>
    <s v="O00413"/>
    <s v="PR001"/>
    <n v="2"/>
    <n v="0.15"/>
    <b v="0"/>
    <n v="2400"/>
    <x v="4"/>
    <n v="4080"/>
    <x v="194"/>
    <x v="182"/>
  </r>
  <r>
    <s v="OI000716"/>
    <s v="O00413"/>
    <s v="PR020"/>
    <n v="4"/>
    <n v="0.1"/>
    <b v="0"/>
    <n v="110"/>
    <x v="3"/>
    <n v="396"/>
    <x v="194"/>
    <x v="182"/>
  </r>
  <r>
    <s v="OI000717"/>
    <s v="O00413"/>
    <s v="PR038"/>
    <n v="4"/>
    <n v="0.1"/>
    <b v="0"/>
    <n v="99"/>
    <x v="1"/>
    <n v="356.40000000000003"/>
    <x v="194"/>
    <x v="182"/>
  </r>
  <r>
    <s v="OI000718"/>
    <s v="O00414"/>
    <s v="PR026"/>
    <n v="2"/>
    <n v="0.15"/>
    <b v="0"/>
    <n v="1930"/>
    <x v="3"/>
    <n v="3281"/>
    <x v="120"/>
    <x v="69"/>
  </r>
  <r>
    <s v="OI000719"/>
    <s v="O00414"/>
    <s v="PR041"/>
    <n v="3"/>
    <n v="0.1"/>
    <b v="0"/>
    <n v="2690"/>
    <x v="5"/>
    <n v="7263"/>
    <x v="120"/>
    <x v="69"/>
  </r>
  <r>
    <s v="OI000720"/>
    <s v="O00415"/>
    <s v="PR039"/>
    <n v="4"/>
    <n v="0.15"/>
    <b v="0"/>
    <n v="210"/>
    <x v="4"/>
    <n v="714"/>
    <x v="284"/>
    <x v="226"/>
  </r>
  <r>
    <s v="OI000721"/>
    <s v="O00415"/>
    <s v="PR045"/>
    <n v="1"/>
    <n v="0.1"/>
    <b v="0"/>
    <n v="2250"/>
    <x v="3"/>
    <n v="2025"/>
    <x v="284"/>
    <x v="226"/>
  </r>
  <r>
    <s v="OI000722"/>
    <s v="O00416"/>
    <s v="PR066"/>
    <n v="4"/>
    <n v="0.2"/>
    <b v="0"/>
    <n v="3430"/>
    <x v="0"/>
    <n v="10976"/>
    <x v="285"/>
    <x v="168"/>
  </r>
  <r>
    <s v="OI000723"/>
    <s v="O00417"/>
    <s v="PR038"/>
    <n v="1"/>
    <n v="0"/>
    <b v="0"/>
    <n v="99"/>
    <x v="1"/>
    <n v="99"/>
    <x v="31"/>
    <x v="94"/>
  </r>
  <r>
    <s v="OI000724"/>
    <s v="O00418"/>
    <s v="PR007"/>
    <n v="1"/>
    <n v="0.15"/>
    <b v="0"/>
    <n v="5550"/>
    <x v="3"/>
    <n v="4717.5"/>
    <x v="286"/>
    <x v="227"/>
  </r>
  <r>
    <s v="OI000725"/>
    <s v="O00418"/>
    <s v="PR072"/>
    <n v="3"/>
    <n v="0"/>
    <b v="0"/>
    <n v="3650"/>
    <x v="0"/>
    <n v="10950"/>
    <x v="286"/>
    <x v="227"/>
  </r>
  <r>
    <s v="OI000726"/>
    <s v="O00418"/>
    <s v="PR037"/>
    <n v="1"/>
    <n v="0"/>
    <b v="0"/>
    <n v="2050"/>
    <x v="2"/>
    <n v="2050"/>
    <x v="286"/>
    <x v="227"/>
  </r>
  <r>
    <s v="OI000727"/>
    <s v="O00419"/>
    <s v="PR076"/>
    <n v="4"/>
    <n v="0.15"/>
    <b v="0"/>
    <n v="2790"/>
    <x v="4"/>
    <n v="9486"/>
    <x v="287"/>
    <x v="46"/>
  </r>
  <r>
    <s v="OI000728"/>
    <s v="O00420"/>
    <s v="PR049"/>
    <n v="4"/>
    <n v="0.05"/>
    <b v="0"/>
    <n v="2210"/>
    <x v="5"/>
    <n v="8398"/>
    <x v="130"/>
    <x v="78"/>
  </r>
  <r>
    <s v="OI000729"/>
    <s v="O00421"/>
    <s v="PR028"/>
    <n v="2"/>
    <n v="0.05"/>
    <b v="0"/>
    <n v="2250"/>
    <x v="3"/>
    <n v="4275"/>
    <x v="76"/>
    <x v="100"/>
  </r>
  <r>
    <s v="OI000730"/>
    <s v="O00422"/>
    <s v="PR072"/>
    <n v="4"/>
    <n v="0.2"/>
    <b v="0"/>
    <n v="3650"/>
    <x v="0"/>
    <n v="11680"/>
    <x v="288"/>
    <x v="228"/>
  </r>
  <r>
    <s v="OI000731"/>
    <s v="O00423"/>
    <s v="PR054"/>
    <n v="2"/>
    <n v="0"/>
    <b v="0"/>
    <n v="2530"/>
    <x v="5"/>
    <n v="5060"/>
    <x v="289"/>
    <x v="57"/>
  </r>
  <r>
    <s v="OI000732"/>
    <s v="O00423"/>
    <s v="PR017"/>
    <n v="2"/>
    <n v="0"/>
    <b v="0"/>
    <n v="580"/>
    <x v="0"/>
    <n v="1160"/>
    <x v="289"/>
    <x v="57"/>
  </r>
  <r>
    <s v="OI000733"/>
    <s v="O00423"/>
    <s v="PR010"/>
    <n v="1"/>
    <n v="0"/>
    <b v="0"/>
    <n v="2450"/>
    <x v="1"/>
    <n v="2450"/>
    <x v="289"/>
    <x v="57"/>
  </r>
  <r>
    <s v="OI000734"/>
    <s v="O00424"/>
    <s v="PR063"/>
    <n v="4"/>
    <n v="0"/>
    <b v="0"/>
    <n v="470"/>
    <x v="2"/>
    <n v="1880"/>
    <x v="290"/>
    <x v="104"/>
  </r>
  <r>
    <s v="OI000735"/>
    <s v="O00424"/>
    <s v="PR011"/>
    <n v="2"/>
    <n v="0.15"/>
    <b v="0"/>
    <n v="1240"/>
    <x v="2"/>
    <n v="2108"/>
    <x v="290"/>
    <x v="104"/>
  </r>
  <r>
    <s v="OI000736"/>
    <s v="O00425"/>
    <s v="PR059"/>
    <n v="5"/>
    <n v="0.05"/>
    <b v="0"/>
    <n v="2200"/>
    <x v="4"/>
    <n v="10450"/>
    <x v="291"/>
    <x v="173"/>
  </r>
  <r>
    <s v="OI000737"/>
    <s v="O00425"/>
    <s v="PR080"/>
    <n v="2"/>
    <n v="0.05"/>
    <b v="0"/>
    <n v="99"/>
    <x v="1"/>
    <n v="188.1"/>
    <x v="291"/>
    <x v="173"/>
  </r>
  <r>
    <s v="OI000738"/>
    <s v="O00425"/>
    <s v="PR066"/>
    <n v="4"/>
    <n v="0.1"/>
    <b v="0"/>
    <n v="3430"/>
    <x v="0"/>
    <n v="12348"/>
    <x v="291"/>
    <x v="173"/>
  </r>
  <r>
    <s v="OI000739"/>
    <s v="O00426"/>
    <s v="PR050"/>
    <n v="3"/>
    <n v="0"/>
    <b v="0"/>
    <n v="99"/>
    <x v="5"/>
    <n v="297"/>
    <x v="292"/>
    <x v="221"/>
  </r>
  <r>
    <s v="OI000740"/>
    <s v="O00426"/>
    <s v="PR024"/>
    <n v="4"/>
    <n v="0.1"/>
    <b v="0"/>
    <n v="99"/>
    <x v="4"/>
    <n v="356.40000000000003"/>
    <x v="292"/>
    <x v="221"/>
  </r>
  <r>
    <s v="OI000741"/>
    <s v="O00426"/>
    <s v="PR001"/>
    <n v="5"/>
    <n v="0.05"/>
    <b v="0"/>
    <n v="2400"/>
    <x v="4"/>
    <n v="11400"/>
    <x v="292"/>
    <x v="221"/>
  </r>
  <r>
    <s v="OI000742"/>
    <s v="O00427"/>
    <s v="PR031"/>
    <n v="5"/>
    <n v="0"/>
    <b v="0"/>
    <n v="1080"/>
    <x v="3"/>
    <n v="5400"/>
    <x v="82"/>
    <x v="14"/>
  </r>
  <r>
    <s v="OI000743"/>
    <s v="O00427"/>
    <s v="PR053"/>
    <n v="5"/>
    <n v="0.1"/>
    <b v="0"/>
    <n v="990"/>
    <x v="0"/>
    <n v="4455"/>
    <x v="82"/>
    <x v="14"/>
  </r>
  <r>
    <s v="OI000744"/>
    <s v="O00427"/>
    <s v="PR047"/>
    <n v="1"/>
    <n v="0"/>
    <b v="0"/>
    <n v="1250"/>
    <x v="1"/>
    <n v="1250"/>
    <x v="82"/>
    <x v="14"/>
  </r>
  <r>
    <s v="OI000745"/>
    <s v="O00428"/>
    <s v="PR048"/>
    <n v="1"/>
    <n v="0.1"/>
    <b v="0"/>
    <n v="3070"/>
    <x v="2"/>
    <n v="2763"/>
    <x v="289"/>
    <x v="77"/>
  </r>
  <r>
    <s v="OI000746"/>
    <s v="O00428"/>
    <s v="PR062"/>
    <n v="1"/>
    <n v="0"/>
    <b v="0"/>
    <n v="1580"/>
    <x v="2"/>
    <n v="1580"/>
    <x v="289"/>
    <x v="77"/>
  </r>
  <r>
    <s v="OI000747"/>
    <s v="O00429"/>
    <s v="PR068"/>
    <n v="3"/>
    <n v="0.05"/>
    <b v="0"/>
    <n v="3000"/>
    <x v="3"/>
    <n v="8550"/>
    <x v="84"/>
    <x v="204"/>
  </r>
  <r>
    <s v="OI000748"/>
    <s v="O00429"/>
    <s v="PR067"/>
    <n v="1"/>
    <n v="0.1"/>
    <b v="0"/>
    <n v="1710"/>
    <x v="3"/>
    <n v="1539"/>
    <x v="84"/>
    <x v="204"/>
  </r>
  <r>
    <s v="OI000749"/>
    <s v="O00430"/>
    <s v="PR012"/>
    <n v="2"/>
    <n v="0.05"/>
    <b v="0"/>
    <n v="1240"/>
    <x v="2"/>
    <n v="2356"/>
    <x v="267"/>
    <x v="229"/>
  </r>
  <r>
    <s v="OI000750"/>
    <s v="O00430"/>
    <s v="PR005"/>
    <n v="3"/>
    <n v="0.15"/>
    <b v="1"/>
    <n v="1520"/>
    <x v="4"/>
    <n v="3876"/>
    <x v="267"/>
    <x v="229"/>
  </r>
  <r>
    <s v="OI000751"/>
    <s v="O00430"/>
    <s v="PR070"/>
    <n v="5"/>
    <n v="0"/>
    <b v="0"/>
    <n v="1030"/>
    <x v="5"/>
    <n v="5150"/>
    <x v="267"/>
    <x v="229"/>
  </r>
  <r>
    <s v="OI000752"/>
    <s v="O00431"/>
    <s v="PR044"/>
    <n v="5"/>
    <n v="0.2"/>
    <b v="0"/>
    <n v="1440"/>
    <x v="1"/>
    <n v="5760"/>
    <x v="130"/>
    <x v="48"/>
  </r>
  <r>
    <s v="OI000753"/>
    <s v="O00431"/>
    <s v="PR002"/>
    <n v="4"/>
    <n v="0.05"/>
    <b v="0"/>
    <n v="1630"/>
    <x v="5"/>
    <n v="6194"/>
    <x v="130"/>
    <x v="48"/>
  </r>
  <r>
    <s v="OI000754"/>
    <s v="O00432"/>
    <s v="PR061"/>
    <n v="5"/>
    <n v="0.15"/>
    <b v="0"/>
    <n v="1220"/>
    <x v="3"/>
    <n v="5185"/>
    <x v="207"/>
    <x v="198"/>
  </r>
  <r>
    <s v="OI000755"/>
    <s v="O00432"/>
    <s v="PR043"/>
    <n v="4"/>
    <n v="0"/>
    <b v="0"/>
    <n v="1660"/>
    <x v="2"/>
    <n v="6640"/>
    <x v="207"/>
    <x v="198"/>
  </r>
  <r>
    <s v="OI000756"/>
    <s v="O00433"/>
    <s v="PR038"/>
    <n v="3"/>
    <n v="0"/>
    <b v="0"/>
    <n v="99"/>
    <x v="1"/>
    <n v="297"/>
    <x v="6"/>
    <x v="230"/>
  </r>
  <r>
    <s v="OI000757"/>
    <s v="O00433"/>
    <s v="PR005"/>
    <n v="5"/>
    <n v="0.15"/>
    <b v="0"/>
    <n v="1520"/>
    <x v="4"/>
    <n v="6460"/>
    <x v="6"/>
    <x v="230"/>
  </r>
  <r>
    <s v="OI000758"/>
    <s v="O00433"/>
    <s v="PR039"/>
    <n v="5"/>
    <n v="0"/>
    <b v="0"/>
    <n v="210"/>
    <x v="4"/>
    <n v="1050"/>
    <x v="6"/>
    <x v="230"/>
  </r>
  <r>
    <s v="OI000759"/>
    <s v="O00433"/>
    <s v="PR008"/>
    <n v="4"/>
    <n v="0.1"/>
    <b v="0"/>
    <n v="2720"/>
    <x v="5"/>
    <n v="9792"/>
    <x v="6"/>
    <x v="230"/>
  </r>
  <r>
    <s v="OI000760"/>
    <s v="O00434"/>
    <s v="PR007"/>
    <n v="3"/>
    <n v="0.2"/>
    <b v="0"/>
    <n v="5550"/>
    <x v="3"/>
    <n v="13320"/>
    <x v="198"/>
    <x v="39"/>
  </r>
  <r>
    <s v="OI000761"/>
    <s v="O00435"/>
    <s v="PR004"/>
    <n v="3"/>
    <n v="0.05"/>
    <b v="0"/>
    <n v="3630"/>
    <x v="4"/>
    <n v="10345.5"/>
    <x v="280"/>
    <x v="130"/>
  </r>
  <r>
    <s v="OI000762"/>
    <s v="O00435"/>
    <s v="PR011"/>
    <n v="2"/>
    <n v="0.1"/>
    <b v="0"/>
    <n v="1240"/>
    <x v="2"/>
    <n v="2232"/>
    <x v="280"/>
    <x v="130"/>
  </r>
  <r>
    <s v="OI000763"/>
    <s v="O00436"/>
    <s v="PR036"/>
    <n v="3"/>
    <n v="0"/>
    <b v="0"/>
    <n v="330"/>
    <x v="0"/>
    <n v="990"/>
    <x v="97"/>
    <x v="186"/>
  </r>
  <r>
    <s v="OI000764"/>
    <s v="O00437"/>
    <s v="PR036"/>
    <n v="3"/>
    <n v="0"/>
    <b v="0"/>
    <n v="330"/>
    <x v="0"/>
    <n v="990"/>
    <x v="172"/>
    <x v="51"/>
  </r>
  <r>
    <s v="OI000765"/>
    <s v="O00437"/>
    <s v="PR015"/>
    <n v="5"/>
    <n v="0"/>
    <b v="0"/>
    <n v="1765"/>
    <x v="5"/>
    <n v="8825"/>
    <x v="172"/>
    <x v="51"/>
  </r>
  <r>
    <s v="OI000766"/>
    <s v="O00438"/>
    <s v="PR020"/>
    <n v="4"/>
    <n v="0"/>
    <b v="0"/>
    <n v="110"/>
    <x v="3"/>
    <n v="440"/>
    <x v="242"/>
    <x v="231"/>
  </r>
  <r>
    <s v="OI000767"/>
    <s v="O00438"/>
    <s v="PR023"/>
    <n v="3"/>
    <n v="0.2"/>
    <b v="0"/>
    <n v="1880"/>
    <x v="2"/>
    <n v="4512"/>
    <x v="242"/>
    <x v="231"/>
  </r>
  <r>
    <s v="OI000768"/>
    <s v="O00438"/>
    <s v="PR031"/>
    <n v="4"/>
    <n v="0"/>
    <b v="0"/>
    <n v="1080"/>
    <x v="3"/>
    <n v="4320"/>
    <x v="242"/>
    <x v="231"/>
  </r>
  <r>
    <s v="OI000769"/>
    <s v="O00439"/>
    <s v="PR005"/>
    <n v="3"/>
    <n v="0"/>
    <b v="0"/>
    <n v="1520"/>
    <x v="4"/>
    <n v="4560"/>
    <x v="161"/>
    <x v="232"/>
  </r>
  <r>
    <s v="OI000770"/>
    <s v="O00439"/>
    <s v="PR019"/>
    <n v="5"/>
    <n v="0.2"/>
    <b v="0"/>
    <n v="710"/>
    <x v="1"/>
    <n v="2840"/>
    <x v="161"/>
    <x v="232"/>
  </r>
  <r>
    <s v="OI000771"/>
    <s v="O00440"/>
    <s v="PR064"/>
    <n v="4"/>
    <n v="0.2"/>
    <b v="0"/>
    <n v="360"/>
    <x v="5"/>
    <n v="1152"/>
    <x v="41"/>
    <x v="233"/>
  </r>
  <r>
    <s v="OI000772"/>
    <s v="O00441"/>
    <s v="PR057"/>
    <n v="2"/>
    <n v="0"/>
    <b v="0"/>
    <n v="790"/>
    <x v="1"/>
    <n v="1580"/>
    <x v="264"/>
    <x v="92"/>
  </r>
  <r>
    <s v="OI000773"/>
    <s v="O00442"/>
    <s v="PR045"/>
    <n v="1"/>
    <n v="0.15"/>
    <b v="0"/>
    <n v="2250"/>
    <x v="3"/>
    <n v="1912.5"/>
    <x v="292"/>
    <x v="198"/>
  </r>
  <r>
    <s v="OI000774"/>
    <s v="O00442"/>
    <s v="PR034"/>
    <n v="1"/>
    <n v="0"/>
    <b v="0"/>
    <n v="530"/>
    <x v="5"/>
    <n v="530"/>
    <x v="292"/>
    <x v="198"/>
  </r>
  <r>
    <s v="OI000775"/>
    <s v="O00443"/>
    <s v="PR052"/>
    <n v="4"/>
    <n v="0"/>
    <b v="0"/>
    <n v="1340"/>
    <x v="4"/>
    <n v="5360"/>
    <x v="293"/>
    <x v="137"/>
  </r>
  <r>
    <s v="OI000776"/>
    <s v="O00444"/>
    <s v="PR069"/>
    <n v="2"/>
    <n v="0.05"/>
    <b v="0"/>
    <n v="2230"/>
    <x v="3"/>
    <n v="4237"/>
    <x v="181"/>
    <x v="91"/>
  </r>
  <r>
    <s v="OI000777"/>
    <s v="O00445"/>
    <s v="PR050"/>
    <n v="4"/>
    <n v="0"/>
    <b v="0"/>
    <n v="99"/>
    <x v="5"/>
    <n v="396"/>
    <x v="214"/>
    <x v="234"/>
  </r>
  <r>
    <s v="OI000778"/>
    <s v="O00445"/>
    <s v="PR019"/>
    <n v="5"/>
    <n v="0.2"/>
    <b v="0"/>
    <n v="710"/>
    <x v="1"/>
    <n v="2840"/>
    <x v="214"/>
    <x v="234"/>
  </r>
  <r>
    <s v="OI000779"/>
    <s v="O00446"/>
    <s v="PR037"/>
    <n v="4"/>
    <n v="0.05"/>
    <b v="0"/>
    <n v="2050"/>
    <x v="2"/>
    <n v="7790"/>
    <x v="148"/>
    <x v="235"/>
  </r>
  <r>
    <s v="OI000780"/>
    <s v="O00447"/>
    <s v="PR068"/>
    <n v="1"/>
    <n v="0"/>
    <b v="0"/>
    <n v="3000"/>
    <x v="3"/>
    <n v="3000"/>
    <x v="168"/>
    <x v="19"/>
  </r>
  <r>
    <s v="OI000781"/>
    <s v="O00447"/>
    <s v="PR069"/>
    <n v="3"/>
    <n v="0.2"/>
    <b v="0"/>
    <n v="2230"/>
    <x v="3"/>
    <n v="5352"/>
    <x v="168"/>
    <x v="19"/>
  </r>
  <r>
    <s v="OI000782"/>
    <s v="O00448"/>
    <s v="PR035"/>
    <n v="3"/>
    <n v="0"/>
    <b v="0"/>
    <n v="2790"/>
    <x v="1"/>
    <n v="8370"/>
    <x v="294"/>
    <x v="236"/>
  </r>
  <r>
    <s v="OI000783"/>
    <s v="O00449"/>
    <s v="PR013"/>
    <n v="3"/>
    <n v="0.15"/>
    <b v="0"/>
    <n v="2090"/>
    <x v="5"/>
    <n v="5329.5"/>
    <x v="64"/>
    <x v="223"/>
  </r>
  <r>
    <s v="OI000784"/>
    <s v="O00450"/>
    <s v="PR060"/>
    <n v="2"/>
    <n v="0.15"/>
    <b v="0"/>
    <n v="1910"/>
    <x v="2"/>
    <n v="3247"/>
    <x v="267"/>
    <x v="125"/>
  </r>
  <r>
    <s v="OI000785"/>
    <s v="O00450"/>
    <s v="PR076"/>
    <n v="2"/>
    <n v="0.1"/>
    <b v="0"/>
    <n v="2790"/>
    <x v="4"/>
    <n v="5022"/>
    <x v="267"/>
    <x v="125"/>
  </r>
  <r>
    <s v="OI000786"/>
    <s v="O00451"/>
    <s v="PR024"/>
    <n v="3"/>
    <n v="0.1"/>
    <b v="0"/>
    <n v="99"/>
    <x v="4"/>
    <n v="267.3"/>
    <x v="295"/>
    <x v="237"/>
  </r>
  <r>
    <s v="OI000787"/>
    <s v="O00452"/>
    <s v="PR002"/>
    <n v="1"/>
    <n v="0"/>
    <b v="0"/>
    <n v="1630"/>
    <x v="5"/>
    <n v="1630"/>
    <x v="296"/>
    <x v="238"/>
  </r>
  <r>
    <s v="OI000788"/>
    <s v="O00453"/>
    <s v="PR068"/>
    <n v="1"/>
    <n v="0.15"/>
    <b v="0"/>
    <n v="3000"/>
    <x v="3"/>
    <n v="2550"/>
    <x v="122"/>
    <x v="52"/>
  </r>
  <r>
    <s v="OI000789"/>
    <s v="O00454"/>
    <s v="PR029"/>
    <n v="3"/>
    <n v="0"/>
    <b v="0"/>
    <n v="1080"/>
    <x v="5"/>
    <n v="3240"/>
    <x v="137"/>
    <x v="183"/>
  </r>
  <r>
    <s v="OI000790"/>
    <s v="O00455"/>
    <s v="PR004"/>
    <n v="5"/>
    <n v="0"/>
    <b v="0"/>
    <n v="3630"/>
    <x v="4"/>
    <n v="18150"/>
    <x v="297"/>
    <x v="66"/>
  </r>
  <r>
    <s v="OI000791"/>
    <s v="O00456"/>
    <s v="PR077"/>
    <n v="2"/>
    <n v="0.1"/>
    <b v="0"/>
    <n v="1900"/>
    <x v="5"/>
    <n v="3420"/>
    <x v="298"/>
    <x v="239"/>
  </r>
  <r>
    <s v="OI000792"/>
    <s v="O00457"/>
    <s v="PR016"/>
    <n v="1"/>
    <n v="0.2"/>
    <b v="0"/>
    <n v="1130"/>
    <x v="0"/>
    <n v="904"/>
    <x v="150"/>
    <x v="228"/>
  </r>
  <r>
    <s v="OI000793"/>
    <s v="O00457"/>
    <s v="PR078"/>
    <n v="2"/>
    <n v="0.05"/>
    <b v="0"/>
    <n v="1440"/>
    <x v="3"/>
    <n v="2736"/>
    <x v="150"/>
    <x v="228"/>
  </r>
  <r>
    <s v="OI000794"/>
    <s v="O00458"/>
    <s v="PR073"/>
    <n v="2"/>
    <n v="0"/>
    <b v="0"/>
    <n v="1760"/>
    <x v="0"/>
    <n v="3520"/>
    <x v="299"/>
    <x v="40"/>
  </r>
  <r>
    <s v="OI000795"/>
    <s v="O00458"/>
    <s v="PR024"/>
    <n v="3"/>
    <n v="0"/>
    <b v="0"/>
    <n v="99"/>
    <x v="4"/>
    <n v="297"/>
    <x v="299"/>
    <x v="40"/>
  </r>
  <r>
    <s v="OI000796"/>
    <s v="O00459"/>
    <s v="PR010"/>
    <n v="4"/>
    <n v="0"/>
    <b v="0"/>
    <n v="2450"/>
    <x v="1"/>
    <n v="9800"/>
    <x v="300"/>
    <x v="240"/>
  </r>
  <r>
    <s v="OI000797"/>
    <s v="O00460"/>
    <s v="PR042"/>
    <n v="3"/>
    <n v="0"/>
    <b v="0"/>
    <n v="2010"/>
    <x v="5"/>
    <n v="6030"/>
    <x v="301"/>
    <x v="87"/>
  </r>
  <r>
    <s v="OI000798"/>
    <s v="O00460"/>
    <s v="PR010"/>
    <n v="3"/>
    <n v="0.2"/>
    <b v="0"/>
    <n v="2450"/>
    <x v="1"/>
    <n v="5880"/>
    <x v="301"/>
    <x v="87"/>
  </r>
  <r>
    <s v="OI000799"/>
    <s v="O00461"/>
    <s v="PR050"/>
    <n v="3"/>
    <n v="0"/>
    <b v="0"/>
    <n v="99"/>
    <x v="5"/>
    <n v="297"/>
    <x v="302"/>
    <x v="142"/>
  </r>
  <r>
    <s v="OI000800"/>
    <s v="O00462"/>
    <s v="PR034"/>
    <n v="3"/>
    <n v="0.05"/>
    <b v="1"/>
    <n v="530"/>
    <x v="5"/>
    <n v="1510.5"/>
    <x v="248"/>
    <x v="241"/>
  </r>
  <r>
    <s v="OI000801"/>
    <s v="O00463"/>
    <s v="PR026"/>
    <n v="5"/>
    <n v="0.05"/>
    <b v="0"/>
    <n v="1930"/>
    <x v="3"/>
    <n v="9167.5"/>
    <x v="186"/>
    <x v="52"/>
  </r>
  <r>
    <s v="OI000802"/>
    <s v="O00464"/>
    <s v="PR063"/>
    <n v="1"/>
    <n v="0"/>
    <b v="0"/>
    <n v="470"/>
    <x v="2"/>
    <n v="470"/>
    <x v="303"/>
    <x v="67"/>
  </r>
  <r>
    <s v="OI000803"/>
    <s v="O00465"/>
    <s v="PR056"/>
    <n v="2"/>
    <n v="0.1"/>
    <b v="0"/>
    <n v="2920"/>
    <x v="3"/>
    <n v="5256"/>
    <x v="45"/>
    <x v="168"/>
  </r>
  <r>
    <s v="OI000804"/>
    <s v="O00465"/>
    <s v="PR014"/>
    <n v="4"/>
    <n v="0.15"/>
    <b v="0"/>
    <n v="99"/>
    <x v="4"/>
    <n v="336.59999999999997"/>
    <x v="45"/>
    <x v="168"/>
  </r>
  <r>
    <s v="OI000805"/>
    <s v="O00466"/>
    <s v="PR005"/>
    <n v="1"/>
    <n v="0"/>
    <b v="0"/>
    <n v="1520"/>
    <x v="4"/>
    <n v="1520"/>
    <x v="304"/>
    <x v="20"/>
  </r>
  <r>
    <s v="OI000806"/>
    <s v="O00467"/>
    <s v="PR033"/>
    <n v="4"/>
    <n v="0"/>
    <b v="0"/>
    <n v="2670"/>
    <x v="5"/>
    <n v="10680"/>
    <x v="110"/>
    <x v="242"/>
  </r>
  <r>
    <s v="OI000807"/>
    <s v="O00467"/>
    <s v="PR064"/>
    <n v="2"/>
    <n v="0.15"/>
    <b v="0"/>
    <n v="360"/>
    <x v="5"/>
    <n v="612"/>
    <x v="110"/>
    <x v="242"/>
  </r>
  <r>
    <s v="OI000808"/>
    <s v="O00468"/>
    <s v="PR005"/>
    <n v="4"/>
    <n v="0"/>
    <b v="0"/>
    <n v="1520"/>
    <x v="4"/>
    <n v="6080"/>
    <x v="305"/>
    <x v="238"/>
  </r>
  <r>
    <s v="OI000809"/>
    <s v="O00468"/>
    <s v="PR020"/>
    <n v="3"/>
    <n v="0.05"/>
    <b v="0"/>
    <n v="110"/>
    <x v="3"/>
    <n v="313.5"/>
    <x v="305"/>
    <x v="238"/>
  </r>
  <r>
    <s v="OI000810"/>
    <s v="O00469"/>
    <s v="PR066"/>
    <n v="4"/>
    <n v="0.05"/>
    <b v="0"/>
    <n v="3430"/>
    <x v="0"/>
    <n v="13034"/>
    <x v="29"/>
    <x v="128"/>
  </r>
  <r>
    <s v="OI000811"/>
    <s v="O00469"/>
    <s v="PR056"/>
    <n v="4"/>
    <n v="0.2"/>
    <b v="0"/>
    <n v="2920"/>
    <x v="3"/>
    <n v="9344"/>
    <x v="29"/>
    <x v="128"/>
  </r>
  <r>
    <s v="OI000812"/>
    <s v="O00470"/>
    <s v="PR009"/>
    <n v="5"/>
    <n v="0"/>
    <b v="0"/>
    <n v="1240"/>
    <x v="5"/>
    <n v="6200"/>
    <x v="147"/>
    <x v="150"/>
  </r>
  <r>
    <s v="OI000813"/>
    <s v="O00470"/>
    <s v="PR001"/>
    <n v="4"/>
    <n v="0.15"/>
    <b v="0"/>
    <n v="2400"/>
    <x v="4"/>
    <n v="8160"/>
    <x v="147"/>
    <x v="150"/>
  </r>
  <r>
    <s v="OI000814"/>
    <s v="O00471"/>
    <s v="PR062"/>
    <n v="1"/>
    <n v="0.1"/>
    <b v="0"/>
    <n v="1580"/>
    <x v="2"/>
    <n v="1422"/>
    <x v="73"/>
    <x v="134"/>
  </r>
  <r>
    <s v="OI000815"/>
    <s v="O00471"/>
    <s v="PR069"/>
    <n v="3"/>
    <n v="0"/>
    <b v="0"/>
    <n v="2230"/>
    <x v="3"/>
    <n v="6690"/>
    <x v="73"/>
    <x v="134"/>
  </r>
  <r>
    <s v="OI000816"/>
    <s v="O00471"/>
    <s v="PR039"/>
    <n v="4"/>
    <n v="0"/>
    <b v="0"/>
    <n v="210"/>
    <x v="4"/>
    <n v="840"/>
    <x v="73"/>
    <x v="134"/>
  </r>
  <r>
    <s v="OI000817"/>
    <s v="O00472"/>
    <s v="PR012"/>
    <n v="3"/>
    <n v="0.1"/>
    <b v="0"/>
    <n v="1240"/>
    <x v="2"/>
    <n v="3348"/>
    <x v="306"/>
    <x v="77"/>
  </r>
  <r>
    <s v="OI000818"/>
    <s v="O00472"/>
    <s v="PR044"/>
    <n v="1"/>
    <n v="0.2"/>
    <b v="0"/>
    <n v="1440"/>
    <x v="1"/>
    <n v="1152"/>
    <x v="306"/>
    <x v="77"/>
  </r>
  <r>
    <s v="OI000819"/>
    <s v="O00473"/>
    <s v="PR038"/>
    <n v="2"/>
    <n v="0"/>
    <b v="0"/>
    <n v="99"/>
    <x v="1"/>
    <n v="198"/>
    <x v="126"/>
    <x v="38"/>
  </r>
  <r>
    <s v="OI000820"/>
    <s v="O00474"/>
    <s v="PR050"/>
    <n v="2"/>
    <n v="0"/>
    <b v="0"/>
    <n v="99"/>
    <x v="5"/>
    <n v="198"/>
    <x v="240"/>
    <x v="192"/>
  </r>
  <r>
    <s v="OI000821"/>
    <s v="O00474"/>
    <s v="PR050"/>
    <n v="1"/>
    <n v="0.15"/>
    <b v="0"/>
    <n v="99"/>
    <x v="5"/>
    <n v="84.149999999999991"/>
    <x v="240"/>
    <x v="192"/>
  </r>
  <r>
    <s v="OI000822"/>
    <s v="O00475"/>
    <s v="PR063"/>
    <n v="1"/>
    <n v="0.15"/>
    <b v="0"/>
    <n v="470"/>
    <x v="2"/>
    <n v="399.5"/>
    <x v="268"/>
    <x v="20"/>
  </r>
  <r>
    <s v="OI000823"/>
    <s v="O00475"/>
    <s v="PR057"/>
    <n v="2"/>
    <n v="0"/>
    <b v="0"/>
    <n v="790"/>
    <x v="1"/>
    <n v="1580"/>
    <x v="268"/>
    <x v="20"/>
  </r>
  <r>
    <s v="OI000824"/>
    <s v="O00476"/>
    <s v="PR004"/>
    <n v="5"/>
    <n v="0"/>
    <b v="0"/>
    <n v="3630"/>
    <x v="4"/>
    <n v="18150"/>
    <x v="242"/>
    <x v="173"/>
  </r>
  <r>
    <s v="OI000825"/>
    <s v="O00477"/>
    <s v="PR009"/>
    <n v="5"/>
    <n v="0.15"/>
    <b v="0"/>
    <n v="1240"/>
    <x v="5"/>
    <n v="5270"/>
    <x v="176"/>
    <x v="185"/>
  </r>
  <r>
    <s v="OI000826"/>
    <s v="O00478"/>
    <s v="PR069"/>
    <n v="4"/>
    <n v="0"/>
    <b v="0"/>
    <n v="2230"/>
    <x v="3"/>
    <n v="8920"/>
    <x v="120"/>
    <x v="88"/>
  </r>
  <r>
    <s v="OI000827"/>
    <s v="O00479"/>
    <s v="PR008"/>
    <n v="3"/>
    <n v="0.2"/>
    <b v="0"/>
    <n v="2720"/>
    <x v="5"/>
    <n v="6528"/>
    <x v="234"/>
    <x v="243"/>
  </r>
  <r>
    <s v="OI000828"/>
    <s v="O00480"/>
    <s v="PR052"/>
    <n v="1"/>
    <n v="0"/>
    <b v="0"/>
    <n v="1340"/>
    <x v="4"/>
    <n v="1340"/>
    <x v="307"/>
    <x v="17"/>
  </r>
  <r>
    <s v="OI000829"/>
    <s v="O00480"/>
    <s v="PR067"/>
    <n v="4"/>
    <n v="0.15"/>
    <b v="0"/>
    <n v="1710"/>
    <x v="3"/>
    <n v="5814"/>
    <x v="307"/>
    <x v="17"/>
  </r>
  <r>
    <s v="OI000830"/>
    <s v="O00481"/>
    <s v="PR069"/>
    <n v="2"/>
    <n v="0.15"/>
    <b v="0"/>
    <n v="2230"/>
    <x v="3"/>
    <n v="3791"/>
    <x v="308"/>
    <x v="133"/>
  </r>
  <r>
    <s v="OI000831"/>
    <s v="O00481"/>
    <s v="PR075"/>
    <n v="2"/>
    <n v="0"/>
    <b v="0"/>
    <n v="1475"/>
    <x v="0"/>
    <n v="2950"/>
    <x v="308"/>
    <x v="133"/>
  </r>
  <r>
    <s v="OI000832"/>
    <s v="O00481"/>
    <s v="PR005"/>
    <n v="2"/>
    <n v="0.05"/>
    <b v="0"/>
    <n v="1520"/>
    <x v="4"/>
    <n v="2888"/>
    <x v="308"/>
    <x v="133"/>
  </r>
  <r>
    <s v="OI000833"/>
    <s v="O00482"/>
    <s v="PR061"/>
    <n v="5"/>
    <n v="0"/>
    <b v="0"/>
    <n v="1220"/>
    <x v="3"/>
    <n v="6100"/>
    <x v="104"/>
    <x v="244"/>
  </r>
  <r>
    <s v="OI000834"/>
    <s v="O00482"/>
    <s v="PR032"/>
    <n v="2"/>
    <n v="0"/>
    <b v="0"/>
    <n v="4020"/>
    <x v="1"/>
    <n v="8040"/>
    <x v="104"/>
    <x v="244"/>
  </r>
  <r>
    <s v="OI000835"/>
    <s v="O00483"/>
    <s v="PR007"/>
    <n v="3"/>
    <n v="0.2"/>
    <b v="0"/>
    <n v="5550"/>
    <x v="3"/>
    <n v="13320"/>
    <x v="101"/>
    <x v="2"/>
  </r>
  <r>
    <s v="OI000836"/>
    <s v="O00484"/>
    <s v="PR059"/>
    <n v="5"/>
    <n v="0"/>
    <b v="0"/>
    <n v="2200"/>
    <x v="4"/>
    <n v="11000"/>
    <x v="309"/>
    <x v="3"/>
  </r>
  <r>
    <s v="OI000837"/>
    <s v="O00484"/>
    <s v="PR076"/>
    <n v="1"/>
    <n v="0.2"/>
    <b v="0"/>
    <n v="2790"/>
    <x v="4"/>
    <n v="2232"/>
    <x v="309"/>
    <x v="3"/>
  </r>
  <r>
    <s v="OI000838"/>
    <s v="O00485"/>
    <s v="PR015"/>
    <n v="4"/>
    <n v="0.1"/>
    <b v="0"/>
    <n v="1765"/>
    <x v="5"/>
    <n v="6354"/>
    <x v="181"/>
    <x v="245"/>
  </r>
  <r>
    <s v="OI000839"/>
    <s v="O00485"/>
    <s v="PR079"/>
    <n v="2"/>
    <n v="0"/>
    <b v="0"/>
    <n v="1910"/>
    <x v="2"/>
    <n v="3820"/>
    <x v="181"/>
    <x v="245"/>
  </r>
  <r>
    <s v="OI000840"/>
    <s v="O00485"/>
    <s v="PR026"/>
    <n v="4"/>
    <n v="0"/>
    <b v="0"/>
    <n v="1930"/>
    <x v="3"/>
    <n v="7720"/>
    <x v="181"/>
    <x v="245"/>
  </r>
  <r>
    <s v="OI000841"/>
    <s v="O00486"/>
    <s v="PR052"/>
    <n v="3"/>
    <n v="0"/>
    <b v="0"/>
    <n v="1340"/>
    <x v="4"/>
    <n v="4020"/>
    <x v="310"/>
    <x v="234"/>
  </r>
  <r>
    <s v="OI000842"/>
    <s v="O00486"/>
    <s v="PR074"/>
    <n v="5"/>
    <n v="0"/>
    <b v="0"/>
    <n v="3680"/>
    <x v="3"/>
    <n v="18400"/>
    <x v="310"/>
    <x v="234"/>
  </r>
  <r>
    <s v="OI000843"/>
    <s v="O00486"/>
    <s v="PR042"/>
    <n v="2"/>
    <n v="0.2"/>
    <b v="0"/>
    <n v="2010"/>
    <x v="5"/>
    <n v="3216"/>
    <x v="310"/>
    <x v="234"/>
  </r>
  <r>
    <s v="OI000844"/>
    <s v="O00487"/>
    <s v="PR023"/>
    <n v="3"/>
    <n v="0"/>
    <b v="0"/>
    <n v="1880"/>
    <x v="2"/>
    <n v="5640"/>
    <x v="311"/>
    <x v="99"/>
  </r>
  <r>
    <s v="OI000845"/>
    <s v="O00488"/>
    <s v="PR019"/>
    <n v="4"/>
    <n v="0"/>
    <b v="0"/>
    <n v="710"/>
    <x v="1"/>
    <n v="2840"/>
    <x v="214"/>
    <x v="141"/>
  </r>
  <r>
    <s v="OI000846"/>
    <s v="O00489"/>
    <s v="PR071"/>
    <n v="2"/>
    <n v="0.05"/>
    <b v="0"/>
    <n v="2230"/>
    <x v="1"/>
    <n v="4237"/>
    <x v="312"/>
    <x v="103"/>
  </r>
  <r>
    <s v="OI000847"/>
    <s v="O00489"/>
    <s v="PR032"/>
    <n v="5"/>
    <n v="0"/>
    <b v="0"/>
    <n v="4020"/>
    <x v="1"/>
    <n v="20100"/>
    <x v="312"/>
    <x v="103"/>
  </r>
  <r>
    <s v="OI000848"/>
    <s v="O00490"/>
    <s v="PR005"/>
    <n v="5"/>
    <n v="0.05"/>
    <b v="0"/>
    <n v="1520"/>
    <x v="4"/>
    <n v="7220"/>
    <x v="313"/>
    <x v="217"/>
  </r>
  <r>
    <s v="OI000849"/>
    <s v="O00491"/>
    <s v="PR003"/>
    <n v="4"/>
    <n v="0"/>
    <b v="0"/>
    <n v="2580"/>
    <x v="5"/>
    <n v="10320"/>
    <x v="314"/>
    <x v="246"/>
  </r>
  <r>
    <s v="OI000850"/>
    <s v="O00491"/>
    <s v="PR001"/>
    <n v="3"/>
    <n v="0"/>
    <b v="1"/>
    <n v="2400"/>
    <x v="4"/>
    <n v="7200"/>
    <x v="314"/>
    <x v="246"/>
  </r>
  <r>
    <s v="OI000851"/>
    <s v="O00492"/>
    <s v="PR076"/>
    <n v="3"/>
    <n v="0.05"/>
    <b v="0"/>
    <n v="2790"/>
    <x v="4"/>
    <n v="7951.5"/>
    <x v="303"/>
    <x v="247"/>
  </r>
  <r>
    <s v="OI000852"/>
    <s v="O00492"/>
    <s v="PR061"/>
    <n v="2"/>
    <n v="0"/>
    <b v="0"/>
    <n v="1220"/>
    <x v="3"/>
    <n v="2440"/>
    <x v="303"/>
    <x v="247"/>
  </r>
  <r>
    <s v="OI000853"/>
    <s v="O00492"/>
    <s v="PR019"/>
    <n v="3"/>
    <n v="0.1"/>
    <b v="0"/>
    <n v="710"/>
    <x v="1"/>
    <n v="1917"/>
    <x v="303"/>
    <x v="247"/>
  </r>
  <r>
    <s v="OI000854"/>
    <s v="O00493"/>
    <s v="PR031"/>
    <n v="2"/>
    <n v="0.1"/>
    <b v="0"/>
    <n v="1080"/>
    <x v="3"/>
    <n v="1944"/>
    <x v="145"/>
    <x v="26"/>
  </r>
  <r>
    <s v="OI000855"/>
    <s v="O00494"/>
    <s v="PR077"/>
    <n v="2"/>
    <n v="0.15"/>
    <b v="0"/>
    <n v="1900"/>
    <x v="5"/>
    <n v="3230"/>
    <x v="296"/>
    <x v="21"/>
  </r>
  <r>
    <s v="OI000856"/>
    <s v="O00494"/>
    <s v="PR064"/>
    <n v="5"/>
    <n v="0"/>
    <b v="0"/>
    <n v="360"/>
    <x v="5"/>
    <n v="1800"/>
    <x v="296"/>
    <x v="21"/>
  </r>
  <r>
    <s v="OI000857"/>
    <s v="O00495"/>
    <s v="PR039"/>
    <n v="3"/>
    <n v="0.05"/>
    <b v="0"/>
    <n v="210"/>
    <x v="4"/>
    <n v="598.5"/>
    <x v="245"/>
    <x v="126"/>
  </r>
  <r>
    <s v="OI000858"/>
    <s v="O00495"/>
    <s v="PR001"/>
    <n v="5"/>
    <n v="0"/>
    <b v="0"/>
    <n v="2400"/>
    <x v="4"/>
    <n v="12000"/>
    <x v="245"/>
    <x v="126"/>
  </r>
  <r>
    <s v="OI000859"/>
    <s v="O00496"/>
    <s v="PR068"/>
    <n v="1"/>
    <n v="0.1"/>
    <b v="0"/>
    <n v="3000"/>
    <x v="3"/>
    <n v="2700"/>
    <x v="22"/>
    <x v="47"/>
  </r>
  <r>
    <s v="OI000860"/>
    <s v="O00497"/>
    <s v="PR070"/>
    <n v="5"/>
    <n v="0"/>
    <b v="0"/>
    <n v="1030"/>
    <x v="5"/>
    <n v="5150"/>
    <x v="161"/>
    <x v="39"/>
  </r>
  <r>
    <s v="OI000861"/>
    <s v="O00498"/>
    <s v="PR005"/>
    <n v="2"/>
    <n v="0"/>
    <b v="0"/>
    <n v="1520"/>
    <x v="4"/>
    <n v="3040"/>
    <x v="51"/>
    <x v="85"/>
  </r>
  <r>
    <s v="OI000862"/>
    <s v="O00499"/>
    <s v="PR015"/>
    <n v="2"/>
    <n v="0.15"/>
    <b v="0"/>
    <n v="1765"/>
    <x v="5"/>
    <n v="3000.5"/>
    <x v="33"/>
    <x v="84"/>
  </r>
  <r>
    <s v="OI000863"/>
    <s v="O00500"/>
    <s v="PR061"/>
    <n v="4"/>
    <n v="0"/>
    <b v="0"/>
    <n v="1220"/>
    <x v="3"/>
    <n v="4880"/>
    <x v="315"/>
    <x v="139"/>
  </r>
  <r>
    <s v="OI000864"/>
    <s v="O00500"/>
    <s v="PR021"/>
    <n v="1"/>
    <n v="0"/>
    <b v="0"/>
    <n v="3560"/>
    <x v="1"/>
    <n v="3560"/>
    <x v="315"/>
    <x v="139"/>
  </r>
  <r>
    <s v="OI000865"/>
    <s v="O00500"/>
    <s v="PR047"/>
    <n v="3"/>
    <n v="0"/>
    <b v="0"/>
    <n v="1250"/>
    <x v="1"/>
    <n v="3750"/>
    <x v="315"/>
    <x v="139"/>
  </r>
  <r>
    <s v="OI000866"/>
    <s v="O00501"/>
    <s v="PR043"/>
    <n v="5"/>
    <n v="0.2"/>
    <b v="0"/>
    <n v="1660"/>
    <x v="2"/>
    <n v="6640"/>
    <x v="20"/>
    <x v="203"/>
  </r>
  <r>
    <s v="OI000867"/>
    <s v="O00502"/>
    <s v="PR059"/>
    <n v="1"/>
    <n v="0"/>
    <b v="0"/>
    <n v="2200"/>
    <x v="4"/>
    <n v="2200"/>
    <x v="316"/>
    <x v="248"/>
  </r>
  <r>
    <s v="OI000868"/>
    <s v="O00502"/>
    <s v="PR007"/>
    <n v="5"/>
    <n v="0"/>
    <b v="0"/>
    <n v="5550"/>
    <x v="3"/>
    <n v="27750"/>
    <x v="316"/>
    <x v="248"/>
  </r>
  <r>
    <s v="OI000869"/>
    <s v="O00502"/>
    <s v="PR021"/>
    <n v="1"/>
    <n v="0.05"/>
    <b v="0"/>
    <n v="3560"/>
    <x v="1"/>
    <n v="3382"/>
    <x v="316"/>
    <x v="248"/>
  </r>
  <r>
    <s v="OI000870"/>
    <s v="O00503"/>
    <s v="PR010"/>
    <n v="2"/>
    <n v="0.15"/>
    <b v="0"/>
    <n v="2450"/>
    <x v="1"/>
    <n v="4165"/>
    <x v="317"/>
    <x v="235"/>
  </r>
  <r>
    <s v="OI000871"/>
    <s v="O00503"/>
    <s v="PR057"/>
    <n v="5"/>
    <n v="0.1"/>
    <b v="0"/>
    <n v="790"/>
    <x v="1"/>
    <n v="3555"/>
    <x v="317"/>
    <x v="235"/>
  </r>
  <r>
    <s v="OI000872"/>
    <s v="O00504"/>
    <s v="PR026"/>
    <n v="3"/>
    <n v="0"/>
    <b v="0"/>
    <n v="1930"/>
    <x v="3"/>
    <n v="5790"/>
    <x v="318"/>
    <x v="246"/>
  </r>
  <r>
    <s v="OI000873"/>
    <s v="O00505"/>
    <s v="PR042"/>
    <n v="2"/>
    <n v="0"/>
    <b v="0"/>
    <n v="2010"/>
    <x v="5"/>
    <n v="4020"/>
    <x v="50"/>
    <x v="11"/>
  </r>
  <r>
    <s v="OI000874"/>
    <s v="O00505"/>
    <s v="PR031"/>
    <n v="4"/>
    <n v="0.2"/>
    <b v="0"/>
    <n v="1080"/>
    <x v="3"/>
    <n v="3456"/>
    <x v="50"/>
    <x v="11"/>
  </r>
  <r>
    <s v="OI000875"/>
    <s v="O00506"/>
    <s v="PR029"/>
    <n v="1"/>
    <n v="0.05"/>
    <b v="0"/>
    <n v="1080"/>
    <x v="5"/>
    <n v="1026"/>
    <x v="236"/>
    <x v="37"/>
  </r>
  <r>
    <s v="OI000876"/>
    <s v="O00507"/>
    <s v="PR007"/>
    <n v="4"/>
    <n v="0"/>
    <b v="0"/>
    <n v="5550"/>
    <x v="3"/>
    <n v="22200"/>
    <x v="250"/>
    <x v="216"/>
  </r>
  <r>
    <s v="OI000877"/>
    <s v="O00507"/>
    <s v="PR028"/>
    <n v="5"/>
    <n v="0.05"/>
    <b v="0"/>
    <n v="2250"/>
    <x v="3"/>
    <n v="10687.5"/>
    <x v="250"/>
    <x v="216"/>
  </r>
  <r>
    <s v="OI000878"/>
    <s v="O00508"/>
    <s v="PR048"/>
    <n v="2"/>
    <n v="0.05"/>
    <b v="0"/>
    <n v="3070"/>
    <x v="2"/>
    <n v="5833"/>
    <x v="19"/>
    <x v="249"/>
  </r>
  <r>
    <s v="OI000879"/>
    <s v="O00509"/>
    <s v="PR005"/>
    <n v="3"/>
    <n v="0"/>
    <b v="0"/>
    <n v="1520"/>
    <x v="4"/>
    <n v="4560"/>
    <x v="319"/>
    <x v="136"/>
  </r>
  <r>
    <s v="OI000880"/>
    <s v="O00509"/>
    <s v="PR026"/>
    <n v="3"/>
    <n v="0"/>
    <b v="0"/>
    <n v="1930"/>
    <x v="3"/>
    <n v="5790"/>
    <x v="319"/>
    <x v="136"/>
  </r>
  <r>
    <s v="OI000881"/>
    <s v="O00510"/>
    <s v="PR073"/>
    <n v="1"/>
    <n v="0"/>
    <b v="0"/>
    <n v="1760"/>
    <x v="0"/>
    <n v="1760"/>
    <x v="141"/>
    <x v="66"/>
  </r>
  <r>
    <s v="OI000882"/>
    <s v="O00511"/>
    <s v="PR060"/>
    <n v="4"/>
    <n v="0.05"/>
    <b v="0"/>
    <n v="1910"/>
    <x v="2"/>
    <n v="7258"/>
    <x v="320"/>
    <x v="198"/>
  </r>
  <r>
    <s v="OI000883"/>
    <s v="O00512"/>
    <s v="PR044"/>
    <n v="2"/>
    <n v="0"/>
    <b v="0"/>
    <n v="1440"/>
    <x v="1"/>
    <n v="2880"/>
    <x v="151"/>
    <x v="122"/>
  </r>
  <r>
    <s v="OI000884"/>
    <s v="O00513"/>
    <s v="PR079"/>
    <n v="2"/>
    <n v="0.1"/>
    <b v="0"/>
    <n v="1910"/>
    <x v="2"/>
    <n v="3438"/>
    <x v="321"/>
    <x v="16"/>
  </r>
  <r>
    <s v="OI000885"/>
    <s v="O00513"/>
    <s v="PR071"/>
    <n v="2"/>
    <n v="0"/>
    <b v="0"/>
    <n v="2230"/>
    <x v="1"/>
    <n v="4460"/>
    <x v="321"/>
    <x v="16"/>
  </r>
  <r>
    <s v="OI000886"/>
    <s v="O00514"/>
    <s v="PR067"/>
    <n v="4"/>
    <n v="0.2"/>
    <b v="0"/>
    <n v="1710"/>
    <x v="3"/>
    <n v="5472"/>
    <x v="207"/>
    <x v="163"/>
  </r>
  <r>
    <s v="OI000887"/>
    <s v="O00515"/>
    <s v="PR076"/>
    <n v="4"/>
    <n v="0.2"/>
    <b v="0"/>
    <n v="2790"/>
    <x v="4"/>
    <n v="8928"/>
    <x v="217"/>
    <x v="3"/>
  </r>
  <r>
    <s v="OI000888"/>
    <s v="O00515"/>
    <s v="PR060"/>
    <n v="3"/>
    <n v="0"/>
    <b v="0"/>
    <n v="1910"/>
    <x v="2"/>
    <n v="5730"/>
    <x v="217"/>
    <x v="3"/>
  </r>
  <r>
    <s v="OI000889"/>
    <s v="O00515"/>
    <s v="PR055"/>
    <n v="2"/>
    <n v="0"/>
    <b v="0"/>
    <n v="3040"/>
    <x v="4"/>
    <n v="6080"/>
    <x v="217"/>
    <x v="3"/>
  </r>
  <r>
    <s v="OI000890"/>
    <s v="O00515"/>
    <s v="PR042"/>
    <n v="4"/>
    <n v="0.1"/>
    <b v="0"/>
    <n v="2010"/>
    <x v="5"/>
    <n v="7236"/>
    <x v="217"/>
    <x v="3"/>
  </r>
  <r>
    <s v="OI000891"/>
    <s v="O00516"/>
    <s v="PR076"/>
    <n v="2"/>
    <n v="0.1"/>
    <b v="0"/>
    <n v="2790"/>
    <x v="4"/>
    <n v="5022"/>
    <x v="312"/>
    <x v="234"/>
  </r>
  <r>
    <s v="OI000892"/>
    <s v="O00517"/>
    <s v="PR054"/>
    <n v="1"/>
    <n v="0"/>
    <b v="0"/>
    <n v="2530"/>
    <x v="5"/>
    <n v="2530"/>
    <x v="322"/>
    <x v="84"/>
  </r>
  <r>
    <s v="OI000893"/>
    <s v="O00517"/>
    <s v="PR061"/>
    <n v="5"/>
    <n v="0"/>
    <b v="0"/>
    <n v="1220"/>
    <x v="3"/>
    <n v="6100"/>
    <x v="322"/>
    <x v="84"/>
  </r>
  <r>
    <s v="OI000894"/>
    <s v="O00517"/>
    <s v="PR055"/>
    <n v="5"/>
    <n v="0.05"/>
    <b v="0"/>
    <n v="3040"/>
    <x v="4"/>
    <n v="14440"/>
    <x v="322"/>
    <x v="84"/>
  </r>
  <r>
    <s v="OI000895"/>
    <s v="O00518"/>
    <s v="PR013"/>
    <n v="4"/>
    <n v="0.05"/>
    <b v="0"/>
    <n v="2090"/>
    <x v="5"/>
    <n v="7942"/>
    <x v="105"/>
    <x v="159"/>
  </r>
  <r>
    <s v="OI000896"/>
    <s v="O00519"/>
    <s v="PR072"/>
    <n v="1"/>
    <n v="0.15"/>
    <b v="0"/>
    <n v="3650"/>
    <x v="0"/>
    <n v="3102.5"/>
    <x v="60"/>
    <x v="163"/>
  </r>
  <r>
    <s v="OI000897"/>
    <s v="O00520"/>
    <s v="PR028"/>
    <n v="2"/>
    <n v="0"/>
    <b v="0"/>
    <n v="2250"/>
    <x v="3"/>
    <n v="4500"/>
    <x v="291"/>
    <x v="154"/>
  </r>
  <r>
    <s v="OI000898"/>
    <s v="O00520"/>
    <s v="PR038"/>
    <n v="2"/>
    <n v="0.15"/>
    <b v="0"/>
    <n v="99"/>
    <x v="1"/>
    <n v="168.29999999999998"/>
    <x v="291"/>
    <x v="154"/>
  </r>
  <r>
    <s v="OI000899"/>
    <s v="O00521"/>
    <s v="PR003"/>
    <n v="4"/>
    <n v="0.15"/>
    <b v="0"/>
    <n v="2580"/>
    <x v="5"/>
    <n v="8772"/>
    <x v="254"/>
    <x v="250"/>
  </r>
  <r>
    <s v="OI000900"/>
    <s v="O00521"/>
    <s v="PR040"/>
    <n v="3"/>
    <n v="0.15"/>
    <b v="1"/>
    <n v="2040"/>
    <x v="0"/>
    <n v="5202"/>
    <x v="254"/>
    <x v="250"/>
  </r>
  <r>
    <s v="OI000901"/>
    <s v="O00521"/>
    <s v="PR059"/>
    <n v="5"/>
    <n v="0.15"/>
    <b v="0"/>
    <n v="2200"/>
    <x v="4"/>
    <n v="9350"/>
    <x v="254"/>
    <x v="250"/>
  </r>
  <r>
    <s v="OI000902"/>
    <s v="O00521"/>
    <s v="PR075"/>
    <n v="1"/>
    <n v="0.05"/>
    <b v="0"/>
    <n v="1475"/>
    <x v="0"/>
    <n v="1401.25"/>
    <x v="254"/>
    <x v="250"/>
  </r>
  <r>
    <s v="OI000903"/>
    <s v="O00522"/>
    <s v="PR018"/>
    <n v="4"/>
    <n v="0"/>
    <b v="0"/>
    <n v="2180"/>
    <x v="4"/>
    <n v="8720"/>
    <x v="89"/>
    <x v="251"/>
  </r>
  <r>
    <s v="OI000904"/>
    <s v="O00523"/>
    <s v="PR048"/>
    <n v="4"/>
    <n v="0.15"/>
    <b v="0"/>
    <n v="3070"/>
    <x v="2"/>
    <n v="10438"/>
    <x v="323"/>
    <x v="139"/>
  </r>
  <r>
    <s v="OI000905"/>
    <s v="O00523"/>
    <s v="PR001"/>
    <n v="1"/>
    <n v="0.05"/>
    <b v="0"/>
    <n v="2400"/>
    <x v="4"/>
    <n v="2280"/>
    <x v="323"/>
    <x v="139"/>
  </r>
  <r>
    <s v="OI000906"/>
    <s v="O00524"/>
    <s v="PR043"/>
    <n v="5"/>
    <n v="0"/>
    <b v="0"/>
    <n v="1660"/>
    <x v="2"/>
    <n v="8300"/>
    <x v="324"/>
    <x v="252"/>
  </r>
  <r>
    <s v="OI000907"/>
    <s v="O00524"/>
    <s v="PR038"/>
    <n v="4"/>
    <n v="0.2"/>
    <b v="0"/>
    <n v="99"/>
    <x v="1"/>
    <n v="316.8"/>
    <x v="324"/>
    <x v="252"/>
  </r>
  <r>
    <s v="OI000908"/>
    <s v="O00524"/>
    <s v="PR035"/>
    <n v="5"/>
    <n v="0.1"/>
    <b v="0"/>
    <n v="2790"/>
    <x v="1"/>
    <n v="12555"/>
    <x v="324"/>
    <x v="252"/>
  </r>
  <r>
    <s v="OI000909"/>
    <s v="O00525"/>
    <s v="PR027"/>
    <n v="1"/>
    <n v="0.1"/>
    <b v="0"/>
    <n v="420"/>
    <x v="5"/>
    <n v="378"/>
    <x v="243"/>
    <x v="14"/>
  </r>
  <r>
    <s v="OI000910"/>
    <s v="O00525"/>
    <s v="PR043"/>
    <n v="1"/>
    <n v="0.1"/>
    <b v="0"/>
    <n v="1660"/>
    <x v="2"/>
    <n v="1494"/>
    <x v="243"/>
    <x v="14"/>
  </r>
  <r>
    <s v="OI000911"/>
    <s v="O00526"/>
    <s v="PR047"/>
    <n v="1"/>
    <n v="0"/>
    <b v="0"/>
    <n v="1250"/>
    <x v="1"/>
    <n v="1250"/>
    <x v="272"/>
    <x v="222"/>
  </r>
  <r>
    <s v="OI000912"/>
    <s v="O00526"/>
    <s v="PR050"/>
    <n v="3"/>
    <n v="0.05"/>
    <b v="0"/>
    <n v="99"/>
    <x v="5"/>
    <n v="282.14999999999998"/>
    <x v="272"/>
    <x v="222"/>
  </r>
  <r>
    <s v="OI000913"/>
    <s v="O00526"/>
    <s v="PR080"/>
    <n v="1"/>
    <n v="0"/>
    <b v="0"/>
    <n v="99"/>
    <x v="1"/>
    <n v="99"/>
    <x v="272"/>
    <x v="222"/>
  </r>
  <r>
    <s v="OI000914"/>
    <s v="O00527"/>
    <s v="PR072"/>
    <n v="1"/>
    <n v="0.1"/>
    <b v="0"/>
    <n v="3650"/>
    <x v="0"/>
    <n v="3285"/>
    <x v="121"/>
    <x v="95"/>
  </r>
  <r>
    <s v="OI000915"/>
    <s v="O00528"/>
    <s v="PR027"/>
    <n v="2"/>
    <n v="0"/>
    <b v="0"/>
    <n v="420"/>
    <x v="5"/>
    <n v="840"/>
    <x v="71"/>
    <x v="197"/>
  </r>
  <r>
    <s v="OI000916"/>
    <s v="O00528"/>
    <s v="PR031"/>
    <n v="5"/>
    <n v="0"/>
    <b v="0"/>
    <n v="1080"/>
    <x v="3"/>
    <n v="5400"/>
    <x v="71"/>
    <x v="197"/>
  </r>
  <r>
    <s v="OI000917"/>
    <s v="O00529"/>
    <s v="PR075"/>
    <n v="2"/>
    <n v="0.2"/>
    <b v="0"/>
    <n v="1475"/>
    <x v="0"/>
    <n v="2360"/>
    <x v="325"/>
    <x v="199"/>
  </r>
  <r>
    <s v="OI000918"/>
    <s v="O00529"/>
    <s v="PR029"/>
    <n v="3"/>
    <n v="0"/>
    <b v="0"/>
    <n v="1080"/>
    <x v="5"/>
    <n v="3240"/>
    <x v="325"/>
    <x v="199"/>
  </r>
  <r>
    <s v="OI000919"/>
    <s v="O00530"/>
    <s v="PR065"/>
    <n v="4"/>
    <n v="0"/>
    <b v="0"/>
    <n v="2780"/>
    <x v="2"/>
    <n v="11120"/>
    <x v="326"/>
    <x v="228"/>
  </r>
  <r>
    <s v="OI000920"/>
    <s v="O00530"/>
    <s v="PR007"/>
    <n v="1"/>
    <n v="0"/>
    <b v="0"/>
    <n v="5550"/>
    <x v="3"/>
    <n v="5550"/>
    <x v="326"/>
    <x v="228"/>
  </r>
  <r>
    <s v="OI000921"/>
    <s v="O00530"/>
    <s v="PR045"/>
    <n v="4"/>
    <n v="0.05"/>
    <b v="0"/>
    <n v="2250"/>
    <x v="3"/>
    <n v="8550"/>
    <x v="326"/>
    <x v="228"/>
  </r>
  <r>
    <s v="OI000922"/>
    <s v="O00531"/>
    <s v="PR016"/>
    <n v="4"/>
    <n v="0.15"/>
    <b v="0"/>
    <n v="1130"/>
    <x v="0"/>
    <n v="3842"/>
    <x v="152"/>
    <x v="8"/>
  </r>
  <r>
    <s v="OI000923"/>
    <s v="O00531"/>
    <s v="PR069"/>
    <n v="5"/>
    <n v="0"/>
    <b v="0"/>
    <n v="2230"/>
    <x v="3"/>
    <n v="11150"/>
    <x v="152"/>
    <x v="8"/>
  </r>
  <r>
    <s v="OI000924"/>
    <s v="O00532"/>
    <s v="PR048"/>
    <n v="1"/>
    <n v="0"/>
    <b v="0"/>
    <n v="3070"/>
    <x v="2"/>
    <n v="3070"/>
    <x v="327"/>
    <x v="156"/>
  </r>
  <r>
    <s v="OI000925"/>
    <s v="O00533"/>
    <s v="PR059"/>
    <n v="1"/>
    <n v="0"/>
    <b v="0"/>
    <n v="2200"/>
    <x v="4"/>
    <n v="2200"/>
    <x v="172"/>
    <x v="253"/>
  </r>
  <r>
    <s v="OI000926"/>
    <s v="O00533"/>
    <s v="PR051"/>
    <n v="2"/>
    <n v="0"/>
    <b v="0"/>
    <n v="2190"/>
    <x v="4"/>
    <n v="4380"/>
    <x v="172"/>
    <x v="253"/>
  </r>
  <r>
    <s v="OI000927"/>
    <s v="O00533"/>
    <s v="PR010"/>
    <n v="1"/>
    <n v="0"/>
    <b v="0"/>
    <n v="2450"/>
    <x v="1"/>
    <n v="2450"/>
    <x v="172"/>
    <x v="253"/>
  </r>
  <r>
    <s v="OI000928"/>
    <s v="O00534"/>
    <s v="PR019"/>
    <n v="4"/>
    <n v="0"/>
    <b v="0"/>
    <n v="710"/>
    <x v="1"/>
    <n v="2840"/>
    <x v="328"/>
    <x v="150"/>
  </r>
  <r>
    <s v="OI000929"/>
    <s v="O00535"/>
    <s v="PR067"/>
    <n v="1"/>
    <n v="0"/>
    <b v="0"/>
    <n v="1710"/>
    <x v="3"/>
    <n v="1710"/>
    <x v="329"/>
    <x v="254"/>
  </r>
  <r>
    <s v="OI000930"/>
    <s v="O00535"/>
    <s v="PR054"/>
    <n v="5"/>
    <n v="0"/>
    <b v="0"/>
    <n v="2530"/>
    <x v="5"/>
    <n v="12650"/>
    <x v="329"/>
    <x v="254"/>
  </r>
  <r>
    <s v="OI000931"/>
    <s v="O00535"/>
    <s v="PR061"/>
    <n v="3"/>
    <n v="0.05"/>
    <b v="0"/>
    <n v="1220"/>
    <x v="3"/>
    <n v="3477"/>
    <x v="329"/>
    <x v="254"/>
  </r>
  <r>
    <s v="OI000932"/>
    <s v="O00536"/>
    <s v="PR003"/>
    <n v="3"/>
    <n v="0"/>
    <b v="0"/>
    <n v="2580"/>
    <x v="5"/>
    <n v="7740"/>
    <x v="91"/>
    <x v="231"/>
  </r>
  <r>
    <s v="OI000933"/>
    <s v="O00537"/>
    <s v="PR030"/>
    <n v="5"/>
    <n v="0.15"/>
    <b v="0"/>
    <n v="1440"/>
    <x v="1"/>
    <n v="6120"/>
    <x v="165"/>
    <x v="63"/>
  </r>
  <r>
    <s v="OI000934"/>
    <s v="O00538"/>
    <s v="PR075"/>
    <n v="3"/>
    <n v="0.15"/>
    <b v="0"/>
    <n v="1475"/>
    <x v="0"/>
    <n v="3761.25"/>
    <x v="288"/>
    <x v="231"/>
  </r>
  <r>
    <s v="OI000935"/>
    <s v="O00539"/>
    <s v="PR042"/>
    <n v="4"/>
    <n v="0.1"/>
    <b v="0"/>
    <n v="2010"/>
    <x v="5"/>
    <n v="7236"/>
    <x v="170"/>
    <x v="94"/>
  </r>
  <r>
    <s v="OI000936"/>
    <s v="O00539"/>
    <s v="PR068"/>
    <n v="5"/>
    <n v="0.05"/>
    <b v="0"/>
    <n v="3000"/>
    <x v="3"/>
    <n v="14250"/>
    <x v="170"/>
    <x v="94"/>
  </r>
  <r>
    <s v="OI000937"/>
    <s v="O00540"/>
    <s v="PR073"/>
    <n v="2"/>
    <n v="0.2"/>
    <b v="0"/>
    <n v="1760"/>
    <x v="0"/>
    <n v="2816"/>
    <x v="330"/>
    <x v="102"/>
  </r>
  <r>
    <s v="OI000938"/>
    <s v="O00541"/>
    <s v="PR034"/>
    <n v="2"/>
    <n v="0.05"/>
    <b v="0"/>
    <n v="530"/>
    <x v="5"/>
    <n v="1007"/>
    <x v="275"/>
    <x v="9"/>
  </r>
  <r>
    <s v="OI000939"/>
    <s v="O00542"/>
    <s v="PR037"/>
    <n v="1"/>
    <n v="0"/>
    <b v="0"/>
    <n v="2050"/>
    <x v="2"/>
    <n v="2050"/>
    <x v="331"/>
    <x v="129"/>
  </r>
  <r>
    <s v="OI000940"/>
    <s v="O00543"/>
    <s v="PR059"/>
    <n v="2"/>
    <n v="0.1"/>
    <b v="0"/>
    <n v="2200"/>
    <x v="4"/>
    <n v="3960"/>
    <x v="317"/>
    <x v="255"/>
  </r>
  <r>
    <s v="OI000941"/>
    <s v="O00544"/>
    <s v="PR069"/>
    <n v="3"/>
    <n v="0"/>
    <b v="0"/>
    <n v="2230"/>
    <x v="3"/>
    <n v="6690"/>
    <x v="332"/>
    <x v="256"/>
  </r>
  <r>
    <s v="OI000942"/>
    <s v="O00544"/>
    <s v="PR023"/>
    <n v="2"/>
    <n v="0"/>
    <b v="0"/>
    <n v="1880"/>
    <x v="2"/>
    <n v="3760"/>
    <x v="332"/>
    <x v="256"/>
  </r>
  <r>
    <s v="OI000943"/>
    <s v="O00544"/>
    <s v="PR031"/>
    <n v="1"/>
    <n v="0"/>
    <b v="0"/>
    <n v="1080"/>
    <x v="3"/>
    <n v="1080"/>
    <x v="332"/>
    <x v="256"/>
  </r>
  <r>
    <s v="OI000944"/>
    <s v="O00545"/>
    <s v="PR074"/>
    <n v="2"/>
    <n v="0.05"/>
    <b v="0"/>
    <n v="3680"/>
    <x v="3"/>
    <n v="6992"/>
    <x v="285"/>
    <x v="28"/>
  </r>
  <r>
    <s v="OI000945"/>
    <s v="O00545"/>
    <s v="PR034"/>
    <n v="3"/>
    <n v="0"/>
    <b v="0"/>
    <n v="530"/>
    <x v="5"/>
    <n v="1590"/>
    <x v="285"/>
    <x v="28"/>
  </r>
  <r>
    <s v="OI000946"/>
    <s v="O00545"/>
    <s v="PR027"/>
    <n v="5"/>
    <n v="0.15"/>
    <b v="0"/>
    <n v="420"/>
    <x v="5"/>
    <n v="1785"/>
    <x v="285"/>
    <x v="28"/>
  </r>
  <r>
    <s v="OI000947"/>
    <s v="O00545"/>
    <s v="PR005"/>
    <n v="3"/>
    <n v="0"/>
    <b v="0"/>
    <n v="1520"/>
    <x v="4"/>
    <n v="4560"/>
    <x v="285"/>
    <x v="28"/>
  </r>
  <r>
    <s v="OI000948"/>
    <s v="O00546"/>
    <s v="PR058"/>
    <n v="5"/>
    <n v="0"/>
    <b v="0"/>
    <n v="1430"/>
    <x v="0"/>
    <n v="7150"/>
    <x v="333"/>
    <x v="38"/>
  </r>
  <r>
    <s v="OI000949"/>
    <s v="O00547"/>
    <s v="PR016"/>
    <n v="1"/>
    <n v="0.05"/>
    <b v="0"/>
    <n v="1130"/>
    <x v="0"/>
    <n v="1073.5"/>
    <x v="222"/>
    <x v="186"/>
  </r>
  <r>
    <s v="OI000950"/>
    <s v="O00547"/>
    <s v="PR064"/>
    <n v="3"/>
    <n v="0.05"/>
    <b v="1"/>
    <n v="360"/>
    <x v="5"/>
    <n v="1026"/>
    <x v="222"/>
    <x v="186"/>
  </r>
  <r>
    <s v="OI000951"/>
    <s v="O00548"/>
    <s v="PR020"/>
    <n v="1"/>
    <n v="0.15"/>
    <b v="0"/>
    <n v="110"/>
    <x v="3"/>
    <n v="93.5"/>
    <x v="303"/>
    <x v="257"/>
  </r>
  <r>
    <s v="OI000952"/>
    <s v="O00548"/>
    <s v="PR070"/>
    <n v="5"/>
    <n v="0"/>
    <b v="0"/>
    <n v="1030"/>
    <x v="5"/>
    <n v="5150"/>
    <x v="303"/>
    <x v="257"/>
  </r>
  <r>
    <s v="OI000953"/>
    <s v="O00548"/>
    <s v="PR038"/>
    <n v="4"/>
    <n v="0"/>
    <b v="0"/>
    <n v="99"/>
    <x v="1"/>
    <n v="396"/>
    <x v="303"/>
    <x v="257"/>
  </r>
  <r>
    <s v="OI000954"/>
    <s v="O00549"/>
    <s v="PR074"/>
    <n v="2"/>
    <n v="0.2"/>
    <b v="0"/>
    <n v="3680"/>
    <x v="3"/>
    <n v="5888"/>
    <x v="334"/>
    <x v="8"/>
  </r>
  <r>
    <s v="OI000955"/>
    <s v="O00549"/>
    <s v="PR073"/>
    <n v="4"/>
    <n v="0"/>
    <b v="0"/>
    <n v="1760"/>
    <x v="0"/>
    <n v="7040"/>
    <x v="334"/>
    <x v="8"/>
  </r>
  <r>
    <s v="OI000956"/>
    <s v="O00549"/>
    <s v="PR015"/>
    <n v="4"/>
    <n v="0"/>
    <b v="0"/>
    <n v="1765"/>
    <x v="5"/>
    <n v="7060"/>
    <x v="334"/>
    <x v="8"/>
  </r>
  <r>
    <s v="OI000957"/>
    <s v="O00549"/>
    <s v="PR018"/>
    <n v="5"/>
    <n v="0"/>
    <b v="0"/>
    <n v="2180"/>
    <x v="4"/>
    <n v="10900"/>
    <x v="334"/>
    <x v="8"/>
  </r>
  <r>
    <s v="OI000958"/>
    <s v="O00550"/>
    <s v="PR052"/>
    <n v="5"/>
    <n v="0.2"/>
    <b v="0"/>
    <n v="1340"/>
    <x v="4"/>
    <n v="5360"/>
    <x v="49"/>
    <x v="86"/>
  </r>
  <r>
    <s v="OI000959"/>
    <s v="O00551"/>
    <s v="PR046"/>
    <n v="1"/>
    <n v="0"/>
    <b v="0"/>
    <n v="940"/>
    <x v="2"/>
    <n v="940"/>
    <x v="177"/>
    <x v="106"/>
  </r>
  <r>
    <s v="OI000960"/>
    <s v="O00552"/>
    <s v="PR025"/>
    <n v="5"/>
    <n v="0.1"/>
    <b v="0"/>
    <n v="1150"/>
    <x v="2"/>
    <n v="5175"/>
    <x v="223"/>
    <x v="219"/>
  </r>
  <r>
    <s v="OI000961"/>
    <s v="O00553"/>
    <s v="PR036"/>
    <n v="2"/>
    <n v="0"/>
    <b v="0"/>
    <n v="330"/>
    <x v="0"/>
    <n v="660"/>
    <x v="325"/>
    <x v="258"/>
  </r>
  <r>
    <s v="OI000962"/>
    <s v="O00554"/>
    <s v="PR058"/>
    <n v="1"/>
    <n v="0.1"/>
    <b v="0"/>
    <n v="1430"/>
    <x v="0"/>
    <n v="1287"/>
    <x v="239"/>
    <x v="259"/>
  </r>
  <r>
    <s v="OI000963"/>
    <s v="O00555"/>
    <s v="PR063"/>
    <n v="3"/>
    <n v="0.1"/>
    <b v="0"/>
    <n v="470"/>
    <x v="2"/>
    <n v="1269"/>
    <x v="69"/>
    <x v="195"/>
  </r>
  <r>
    <s v="OI000964"/>
    <s v="O00556"/>
    <s v="PR008"/>
    <n v="3"/>
    <n v="0.05"/>
    <b v="0"/>
    <n v="2720"/>
    <x v="5"/>
    <n v="7752"/>
    <x v="225"/>
    <x v="247"/>
  </r>
  <r>
    <s v="OI000965"/>
    <s v="O00556"/>
    <s v="PR019"/>
    <n v="4"/>
    <n v="0"/>
    <b v="0"/>
    <n v="710"/>
    <x v="1"/>
    <n v="2840"/>
    <x v="225"/>
    <x v="247"/>
  </r>
  <r>
    <s v="OI000966"/>
    <s v="O00557"/>
    <s v="PR002"/>
    <n v="3"/>
    <n v="0"/>
    <b v="0"/>
    <n v="1630"/>
    <x v="5"/>
    <n v="4890"/>
    <x v="335"/>
    <x v="28"/>
  </r>
  <r>
    <s v="OI000967"/>
    <s v="O00558"/>
    <s v="PR058"/>
    <n v="5"/>
    <n v="0"/>
    <b v="0"/>
    <n v="1430"/>
    <x v="0"/>
    <n v="7150"/>
    <x v="84"/>
    <x v="196"/>
  </r>
  <r>
    <s v="OI000968"/>
    <s v="O00559"/>
    <s v="PR057"/>
    <n v="4"/>
    <n v="0.2"/>
    <b v="0"/>
    <n v="790"/>
    <x v="1"/>
    <n v="2528"/>
    <x v="290"/>
    <x v="228"/>
  </r>
  <r>
    <s v="OI000969"/>
    <s v="O00560"/>
    <s v="PR021"/>
    <n v="4"/>
    <n v="0.15"/>
    <b v="0"/>
    <n v="3560"/>
    <x v="1"/>
    <n v="12104"/>
    <x v="15"/>
    <x v="177"/>
  </r>
  <r>
    <s v="OI000970"/>
    <s v="O00561"/>
    <s v="PR018"/>
    <n v="5"/>
    <n v="0.1"/>
    <b v="0"/>
    <n v="2180"/>
    <x v="4"/>
    <n v="9810"/>
    <x v="231"/>
    <x v="19"/>
  </r>
  <r>
    <s v="OI000971"/>
    <s v="O00561"/>
    <s v="PR012"/>
    <n v="2"/>
    <n v="0"/>
    <b v="0"/>
    <n v="1240"/>
    <x v="2"/>
    <n v="2480"/>
    <x v="231"/>
    <x v="19"/>
  </r>
  <r>
    <s v="OI000972"/>
    <s v="O00561"/>
    <s v="PR039"/>
    <n v="4"/>
    <n v="0.2"/>
    <b v="0"/>
    <n v="210"/>
    <x v="4"/>
    <n v="672"/>
    <x v="231"/>
    <x v="19"/>
  </r>
  <r>
    <s v="OI000973"/>
    <s v="O00562"/>
    <s v="PR043"/>
    <n v="1"/>
    <n v="0.1"/>
    <b v="0"/>
    <n v="1660"/>
    <x v="2"/>
    <n v="1494"/>
    <x v="336"/>
    <x v="107"/>
  </r>
  <r>
    <s v="OI000974"/>
    <s v="O00562"/>
    <s v="PR049"/>
    <n v="1"/>
    <n v="0"/>
    <b v="0"/>
    <n v="2210"/>
    <x v="5"/>
    <n v="2210"/>
    <x v="336"/>
    <x v="107"/>
  </r>
  <r>
    <s v="OI000975"/>
    <s v="O00563"/>
    <s v="PR035"/>
    <n v="4"/>
    <n v="0"/>
    <b v="0"/>
    <n v="2790"/>
    <x v="1"/>
    <n v="11160"/>
    <x v="92"/>
    <x v="257"/>
  </r>
  <r>
    <s v="OI000976"/>
    <s v="O00564"/>
    <s v="PR073"/>
    <n v="2"/>
    <n v="0"/>
    <b v="0"/>
    <n v="1760"/>
    <x v="0"/>
    <n v="3520"/>
    <x v="18"/>
    <x v="260"/>
  </r>
  <r>
    <s v="OI000977"/>
    <s v="O00564"/>
    <s v="PR024"/>
    <n v="4"/>
    <n v="0"/>
    <b v="0"/>
    <n v="99"/>
    <x v="4"/>
    <n v="396"/>
    <x v="18"/>
    <x v="260"/>
  </r>
  <r>
    <s v="OI000978"/>
    <s v="O00565"/>
    <s v="PR006"/>
    <n v="3"/>
    <n v="0.2"/>
    <b v="0"/>
    <n v="1520"/>
    <x v="0"/>
    <n v="3648"/>
    <x v="111"/>
    <x v="103"/>
  </r>
  <r>
    <s v="OI000979"/>
    <s v="O00565"/>
    <s v="PR075"/>
    <n v="3"/>
    <n v="0.05"/>
    <b v="0"/>
    <n v="1475"/>
    <x v="0"/>
    <n v="4203.75"/>
    <x v="111"/>
    <x v="103"/>
  </r>
  <r>
    <s v="OI000980"/>
    <s v="O00566"/>
    <s v="PR060"/>
    <n v="2"/>
    <n v="0"/>
    <b v="0"/>
    <n v="1910"/>
    <x v="2"/>
    <n v="3820"/>
    <x v="337"/>
    <x v="193"/>
  </r>
  <r>
    <s v="OI000981"/>
    <s v="O00566"/>
    <s v="PR001"/>
    <n v="2"/>
    <n v="0"/>
    <b v="0"/>
    <n v="2400"/>
    <x v="4"/>
    <n v="4800"/>
    <x v="337"/>
    <x v="193"/>
  </r>
  <r>
    <s v="OI000982"/>
    <s v="O00567"/>
    <s v="PR061"/>
    <n v="1"/>
    <n v="0.15"/>
    <b v="0"/>
    <n v="1220"/>
    <x v="3"/>
    <n v="1037"/>
    <x v="338"/>
    <x v="146"/>
  </r>
  <r>
    <s v="OI000983"/>
    <s v="O00568"/>
    <s v="PR037"/>
    <n v="4"/>
    <n v="0"/>
    <b v="0"/>
    <n v="2050"/>
    <x v="2"/>
    <n v="8200"/>
    <x v="14"/>
    <x v="261"/>
  </r>
  <r>
    <s v="OI000984"/>
    <s v="O00568"/>
    <s v="PR063"/>
    <n v="2"/>
    <n v="0"/>
    <b v="0"/>
    <n v="470"/>
    <x v="2"/>
    <n v="940"/>
    <x v="14"/>
    <x v="261"/>
  </r>
  <r>
    <s v="OI000985"/>
    <s v="O00569"/>
    <s v="PR036"/>
    <n v="4"/>
    <n v="0"/>
    <b v="0"/>
    <n v="330"/>
    <x v="0"/>
    <n v="1320"/>
    <x v="186"/>
    <x v="125"/>
  </r>
  <r>
    <s v="OI000986"/>
    <s v="O00570"/>
    <s v="PR047"/>
    <n v="5"/>
    <n v="0.05"/>
    <b v="0"/>
    <n v="1250"/>
    <x v="1"/>
    <n v="5937.5"/>
    <x v="259"/>
    <x v="141"/>
  </r>
  <r>
    <s v="OI000987"/>
    <s v="O00570"/>
    <s v="PR073"/>
    <n v="4"/>
    <n v="0.2"/>
    <b v="0"/>
    <n v="1760"/>
    <x v="0"/>
    <n v="5632"/>
    <x v="259"/>
    <x v="141"/>
  </r>
  <r>
    <s v="OI000988"/>
    <s v="O00571"/>
    <s v="PR061"/>
    <n v="1"/>
    <n v="0"/>
    <b v="0"/>
    <n v="1220"/>
    <x v="3"/>
    <n v="1220"/>
    <x v="339"/>
    <x v="260"/>
  </r>
  <r>
    <s v="OI000989"/>
    <s v="O00572"/>
    <s v="PR074"/>
    <n v="1"/>
    <n v="0.2"/>
    <b v="0"/>
    <n v="3680"/>
    <x v="3"/>
    <n v="2944"/>
    <x v="340"/>
    <x v="191"/>
  </r>
  <r>
    <s v="OI000990"/>
    <s v="O00572"/>
    <s v="PR034"/>
    <n v="2"/>
    <n v="0.1"/>
    <b v="0"/>
    <n v="530"/>
    <x v="5"/>
    <n v="954"/>
    <x v="340"/>
    <x v="191"/>
  </r>
  <r>
    <s v="OI000991"/>
    <s v="O00573"/>
    <s v="PR041"/>
    <n v="4"/>
    <n v="0.15"/>
    <b v="0"/>
    <n v="2690"/>
    <x v="5"/>
    <n v="9146"/>
    <x v="135"/>
    <x v="100"/>
  </r>
  <r>
    <s v="OI000992"/>
    <s v="O00574"/>
    <s v="PR021"/>
    <n v="1"/>
    <n v="0"/>
    <b v="0"/>
    <n v="3560"/>
    <x v="1"/>
    <n v="3560"/>
    <x v="193"/>
    <x v="238"/>
  </r>
  <r>
    <s v="OI000993"/>
    <s v="O00575"/>
    <s v="PR046"/>
    <n v="1"/>
    <n v="0"/>
    <b v="0"/>
    <n v="940"/>
    <x v="2"/>
    <n v="940"/>
    <x v="6"/>
    <x v="187"/>
  </r>
  <r>
    <s v="OI000994"/>
    <s v="O00576"/>
    <s v="PR010"/>
    <n v="5"/>
    <n v="0"/>
    <b v="0"/>
    <n v="2450"/>
    <x v="1"/>
    <n v="12250"/>
    <x v="341"/>
    <x v="249"/>
  </r>
  <r>
    <s v="OI000995"/>
    <s v="O00577"/>
    <s v="PR024"/>
    <n v="1"/>
    <n v="0.1"/>
    <b v="0"/>
    <n v="99"/>
    <x v="4"/>
    <n v="89.100000000000009"/>
    <x v="305"/>
    <x v="234"/>
  </r>
  <r>
    <s v="OI000996"/>
    <s v="O00577"/>
    <s v="PR022"/>
    <n v="5"/>
    <n v="0"/>
    <b v="0"/>
    <n v="1530"/>
    <x v="5"/>
    <n v="7650"/>
    <x v="305"/>
    <x v="234"/>
  </r>
  <r>
    <s v="OI000997"/>
    <s v="O00578"/>
    <s v="PR039"/>
    <n v="3"/>
    <n v="0.15"/>
    <b v="0"/>
    <n v="210"/>
    <x v="4"/>
    <n v="535.5"/>
    <x v="235"/>
    <x v="19"/>
  </r>
  <r>
    <s v="OI000998"/>
    <s v="O00578"/>
    <s v="PR047"/>
    <n v="1"/>
    <n v="0.1"/>
    <b v="0"/>
    <n v="1250"/>
    <x v="1"/>
    <n v="1125"/>
    <x v="235"/>
    <x v="19"/>
  </r>
  <r>
    <s v="OI000999"/>
    <s v="O00578"/>
    <s v="PR075"/>
    <n v="3"/>
    <n v="0.2"/>
    <b v="0"/>
    <n v="1475"/>
    <x v="0"/>
    <n v="3540"/>
    <x v="235"/>
    <x v="19"/>
  </r>
  <r>
    <s v="OI001000"/>
    <s v="O00579"/>
    <s v="PR018"/>
    <n v="3"/>
    <n v="0"/>
    <b v="1"/>
    <n v="2180"/>
    <x v="4"/>
    <n v="6540"/>
    <x v="342"/>
    <x v="245"/>
  </r>
  <r>
    <s v="OI001001"/>
    <s v="O00580"/>
    <s v="PR063"/>
    <n v="4"/>
    <n v="0"/>
    <b v="0"/>
    <n v="470"/>
    <x v="2"/>
    <n v="1880"/>
    <x v="101"/>
    <x v="139"/>
  </r>
  <r>
    <s v="OI001002"/>
    <s v="O00581"/>
    <s v="PR021"/>
    <n v="1"/>
    <n v="0"/>
    <b v="0"/>
    <n v="3560"/>
    <x v="1"/>
    <n v="3560"/>
    <x v="343"/>
    <x v="226"/>
  </r>
  <r>
    <s v="OI001003"/>
    <s v="O00581"/>
    <s v="PR020"/>
    <n v="5"/>
    <n v="0"/>
    <b v="0"/>
    <n v="110"/>
    <x v="3"/>
    <n v="550"/>
    <x v="343"/>
    <x v="226"/>
  </r>
  <r>
    <s v="OI001004"/>
    <s v="O00581"/>
    <s v="PR025"/>
    <n v="5"/>
    <n v="0.1"/>
    <b v="0"/>
    <n v="1150"/>
    <x v="2"/>
    <n v="5175"/>
    <x v="343"/>
    <x v="226"/>
  </r>
  <r>
    <s v="OI001005"/>
    <s v="O00582"/>
    <s v="PR068"/>
    <n v="5"/>
    <n v="0.15"/>
    <b v="0"/>
    <n v="3000"/>
    <x v="3"/>
    <n v="12750"/>
    <x v="344"/>
    <x v="67"/>
  </r>
  <r>
    <s v="OI001006"/>
    <s v="O00582"/>
    <s v="PR071"/>
    <n v="1"/>
    <n v="0.05"/>
    <b v="0"/>
    <n v="2230"/>
    <x v="1"/>
    <n v="2118.5"/>
    <x v="344"/>
    <x v="67"/>
  </r>
  <r>
    <s v="OI001007"/>
    <s v="O00583"/>
    <s v="PR010"/>
    <n v="1"/>
    <n v="0.2"/>
    <b v="0"/>
    <n v="2450"/>
    <x v="1"/>
    <n v="1960"/>
    <x v="70"/>
    <x v="262"/>
  </r>
  <r>
    <s v="OI001008"/>
    <s v="O00584"/>
    <s v="PR003"/>
    <n v="4"/>
    <n v="0"/>
    <b v="0"/>
    <n v="2580"/>
    <x v="5"/>
    <n v="10320"/>
    <x v="345"/>
    <x v="257"/>
  </r>
  <r>
    <s v="OI001009"/>
    <s v="O00585"/>
    <s v="PR047"/>
    <n v="2"/>
    <n v="0.2"/>
    <b v="0"/>
    <n v="1250"/>
    <x v="1"/>
    <n v="2000"/>
    <x v="230"/>
    <x v="4"/>
  </r>
  <r>
    <s v="OI001010"/>
    <s v="O00586"/>
    <s v="PR077"/>
    <n v="5"/>
    <n v="0.2"/>
    <b v="0"/>
    <n v="1900"/>
    <x v="5"/>
    <n v="7600"/>
    <x v="274"/>
    <x v="122"/>
  </r>
  <r>
    <s v="OI001011"/>
    <s v="O00587"/>
    <s v="PR023"/>
    <n v="3"/>
    <n v="0"/>
    <b v="0"/>
    <n v="1880"/>
    <x v="2"/>
    <n v="5640"/>
    <x v="266"/>
    <x v="126"/>
  </r>
  <r>
    <s v="OI001012"/>
    <s v="O00587"/>
    <s v="PR016"/>
    <n v="2"/>
    <n v="0"/>
    <b v="0"/>
    <n v="1130"/>
    <x v="0"/>
    <n v="2260"/>
    <x v="266"/>
    <x v="126"/>
  </r>
  <r>
    <s v="OI001013"/>
    <s v="O00587"/>
    <s v="PR019"/>
    <n v="2"/>
    <n v="0"/>
    <b v="0"/>
    <n v="710"/>
    <x v="1"/>
    <n v="1420"/>
    <x v="266"/>
    <x v="126"/>
  </r>
  <r>
    <s v="OI001014"/>
    <s v="O00587"/>
    <s v="PR017"/>
    <n v="2"/>
    <n v="0"/>
    <b v="0"/>
    <n v="580"/>
    <x v="0"/>
    <n v="1160"/>
    <x v="266"/>
    <x v="126"/>
  </r>
  <r>
    <s v="OI001015"/>
    <s v="O00588"/>
    <s v="PR055"/>
    <n v="1"/>
    <n v="0"/>
    <b v="0"/>
    <n v="3040"/>
    <x v="4"/>
    <n v="3040"/>
    <x v="313"/>
    <x v="184"/>
  </r>
  <r>
    <s v="OI001016"/>
    <s v="O00588"/>
    <s v="PR003"/>
    <n v="4"/>
    <n v="0.2"/>
    <b v="0"/>
    <n v="2580"/>
    <x v="5"/>
    <n v="8256"/>
    <x v="313"/>
    <x v="184"/>
  </r>
  <r>
    <s v="OI001017"/>
    <s v="O00588"/>
    <s v="PR056"/>
    <n v="1"/>
    <n v="0"/>
    <b v="0"/>
    <n v="2920"/>
    <x v="3"/>
    <n v="2920"/>
    <x v="313"/>
    <x v="184"/>
  </r>
  <r>
    <s v="OI001018"/>
    <s v="O00588"/>
    <s v="PR014"/>
    <n v="1"/>
    <n v="0.2"/>
    <b v="0"/>
    <n v="99"/>
    <x v="4"/>
    <n v="79.2"/>
    <x v="313"/>
    <x v="184"/>
  </r>
  <r>
    <s v="OI001019"/>
    <s v="O00589"/>
    <s v="PR076"/>
    <n v="1"/>
    <n v="0.05"/>
    <b v="0"/>
    <n v="2790"/>
    <x v="4"/>
    <n v="2650.5"/>
    <x v="346"/>
    <x v="100"/>
  </r>
  <r>
    <s v="OI001020"/>
    <s v="O00589"/>
    <s v="PR016"/>
    <n v="3"/>
    <n v="0"/>
    <b v="0"/>
    <n v="1130"/>
    <x v="0"/>
    <n v="3390"/>
    <x v="346"/>
    <x v="100"/>
  </r>
  <r>
    <s v="OI001021"/>
    <s v="O00590"/>
    <s v="PR002"/>
    <n v="1"/>
    <n v="0.2"/>
    <b v="0"/>
    <n v="1630"/>
    <x v="5"/>
    <n v="1304"/>
    <x v="226"/>
    <x v="105"/>
  </r>
  <r>
    <s v="OI001022"/>
    <s v="O00591"/>
    <s v="PR078"/>
    <n v="2"/>
    <n v="0.1"/>
    <b v="0"/>
    <n v="1440"/>
    <x v="3"/>
    <n v="2592"/>
    <x v="347"/>
    <x v="35"/>
  </r>
  <r>
    <s v="OI001023"/>
    <s v="O00592"/>
    <s v="PR024"/>
    <n v="3"/>
    <n v="0"/>
    <b v="0"/>
    <n v="99"/>
    <x v="4"/>
    <n v="297"/>
    <x v="348"/>
    <x v="89"/>
  </r>
  <r>
    <s v="OI001024"/>
    <s v="O00592"/>
    <s v="PR012"/>
    <n v="2"/>
    <n v="0.2"/>
    <b v="0"/>
    <n v="1240"/>
    <x v="2"/>
    <n v="1984"/>
    <x v="348"/>
    <x v="89"/>
  </r>
  <r>
    <s v="OI001025"/>
    <s v="O00592"/>
    <s v="PR036"/>
    <n v="5"/>
    <n v="0"/>
    <b v="0"/>
    <n v="330"/>
    <x v="0"/>
    <n v="1650"/>
    <x v="348"/>
    <x v="89"/>
  </r>
  <r>
    <s v="OI001026"/>
    <s v="O00593"/>
    <s v="PR065"/>
    <n v="5"/>
    <n v="0"/>
    <b v="0"/>
    <n v="2780"/>
    <x v="2"/>
    <n v="13900"/>
    <x v="19"/>
    <x v="263"/>
  </r>
  <r>
    <s v="OI001027"/>
    <s v="O00594"/>
    <s v="PR009"/>
    <n v="1"/>
    <n v="0.2"/>
    <b v="0"/>
    <n v="1240"/>
    <x v="5"/>
    <n v="992"/>
    <x v="349"/>
    <x v="28"/>
  </r>
  <r>
    <s v="OI001028"/>
    <s v="O00594"/>
    <s v="PR075"/>
    <n v="1"/>
    <n v="0.1"/>
    <b v="0"/>
    <n v="1475"/>
    <x v="0"/>
    <n v="1327.5"/>
    <x v="349"/>
    <x v="28"/>
  </r>
  <r>
    <s v="OI001029"/>
    <s v="O00595"/>
    <s v="PR025"/>
    <n v="3"/>
    <n v="0"/>
    <b v="0"/>
    <n v="1150"/>
    <x v="2"/>
    <n v="3450"/>
    <x v="26"/>
    <x v="236"/>
  </r>
  <r>
    <s v="OI001030"/>
    <s v="O00596"/>
    <s v="PR069"/>
    <n v="1"/>
    <n v="0.15"/>
    <b v="0"/>
    <n v="2230"/>
    <x v="3"/>
    <n v="1895.5"/>
    <x v="350"/>
    <x v="192"/>
  </r>
  <r>
    <s v="OI001031"/>
    <s v="O00596"/>
    <s v="PR013"/>
    <n v="2"/>
    <n v="0.1"/>
    <b v="0"/>
    <n v="2090"/>
    <x v="5"/>
    <n v="3762"/>
    <x v="350"/>
    <x v="192"/>
  </r>
  <r>
    <s v="OI001032"/>
    <s v="O00596"/>
    <s v="PR061"/>
    <n v="3"/>
    <n v="0.15"/>
    <b v="0"/>
    <n v="1220"/>
    <x v="3"/>
    <n v="3111"/>
    <x v="350"/>
    <x v="192"/>
  </r>
  <r>
    <s v="OI001033"/>
    <s v="O00597"/>
    <s v="PR057"/>
    <n v="1"/>
    <n v="0"/>
    <b v="0"/>
    <n v="790"/>
    <x v="1"/>
    <n v="790"/>
    <x v="351"/>
    <x v="96"/>
  </r>
  <r>
    <s v="OI001034"/>
    <s v="O00597"/>
    <s v="PR046"/>
    <n v="4"/>
    <n v="0.05"/>
    <b v="0"/>
    <n v="940"/>
    <x v="2"/>
    <n v="3572"/>
    <x v="351"/>
    <x v="96"/>
  </r>
  <r>
    <s v="OI001035"/>
    <s v="O00598"/>
    <s v="PR030"/>
    <n v="4"/>
    <n v="0"/>
    <b v="0"/>
    <n v="1440"/>
    <x v="1"/>
    <n v="5760"/>
    <x v="271"/>
    <x v="83"/>
  </r>
  <r>
    <s v="OI001036"/>
    <s v="O00599"/>
    <s v="PR041"/>
    <n v="1"/>
    <n v="0.05"/>
    <b v="0"/>
    <n v="2690"/>
    <x v="5"/>
    <n v="2555.5"/>
    <x v="331"/>
    <x v="264"/>
  </r>
  <r>
    <s v="OI001037"/>
    <s v="O00599"/>
    <s v="PR015"/>
    <n v="5"/>
    <n v="0"/>
    <b v="0"/>
    <n v="1765"/>
    <x v="5"/>
    <n v="8825"/>
    <x v="331"/>
    <x v="264"/>
  </r>
  <r>
    <s v="OI001038"/>
    <s v="O00600"/>
    <s v="PR047"/>
    <n v="3"/>
    <n v="0.1"/>
    <b v="0"/>
    <n v="1250"/>
    <x v="1"/>
    <n v="3375"/>
    <x v="352"/>
    <x v="236"/>
  </r>
  <r>
    <s v="OI001039"/>
    <s v="O00601"/>
    <s v="PR011"/>
    <n v="3"/>
    <n v="0.05"/>
    <b v="0"/>
    <n v="1240"/>
    <x v="2"/>
    <n v="3534"/>
    <x v="131"/>
    <x v="34"/>
  </r>
  <r>
    <s v="OI001040"/>
    <s v="O00601"/>
    <s v="PR015"/>
    <n v="4"/>
    <n v="0"/>
    <b v="0"/>
    <n v="1765"/>
    <x v="5"/>
    <n v="7060"/>
    <x v="131"/>
    <x v="34"/>
  </r>
  <r>
    <s v="OI001041"/>
    <s v="O00602"/>
    <s v="PR040"/>
    <n v="4"/>
    <n v="0"/>
    <b v="0"/>
    <n v="2040"/>
    <x v="0"/>
    <n v="8160"/>
    <x v="73"/>
    <x v="217"/>
  </r>
  <r>
    <s v="OI001042"/>
    <s v="O00603"/>
    <s v="PR038"/>
    <n v="4"/>
    <n v="0"/>
    <b v="0"/>
    <n v="99"/>
    <x v="1"/>
    <n v="396"/>
    <x v="353"/>
    <x v="19"/>
  </r>
  <r>
    <s v="OI001043"/>
    <s v="O00603"/>
    <s v="PR009"/>
    <n v="4"/>
    <n v="0.15"/>
    <b v="0"/>
    <n v="1240"/>
    <x v="5"/>
    <n v="4216"/>
    <x v="353"/>
    <x v="19"/>
  </r>
  <r>
    <s v="OI001044"/>
    <s v="O00604"/>
    <s v="PR002"/>
    <n v="4"/>
    <n v="0.15"/>
    <b v="0"/>
    <n v="1630"/>
    <x v="5"/>
    <n v="5542"/>
    <x v="354"/>
    <x v="129"/>
  </r>
  <r>
    <s v="OI001045"/>
    <s v="O00605"/>
    <s v="PR057"/>
    <n v="5"/>
    <n v="0.15"/>
    <b v="0"/>
    <n v="790"/>
    <x v="1"/>
    <n v="3357.5"/>
    <x v="355"/>
    <x v="54"/>
  </r>
  <r>
    <s v="OI001046"/>
    <s v="O00606"/>
    <s v="PR016"/>
    <n v="2"/>
    <n v="0.05"/>
    <b v="0"/>
    <n v="1130"/>
    <x v="0"/>
    <n v="2147"/>
    <x v="322"/>
    <x v="121"/>
  </r>
  <r>
    <s v="OI001047"/>
    <s v="O00606"/>
    <s v="PR052"/>
    <n v="5"/>
    <n v="0"/>
    <b v="0"/>
    <n v="1340"/>
    <x v="4"/>
    <n v="6700"/>
    <x v="322"/>
    <x v="121"/>
  </r>
  <r>
    <s v="OI001048"/>
    <s v="O00607"/>
    <s v="PR022"/>
    <n v="1"/>
    <n v="0"/>
    <b v="0"/>
    <n v="1530"/>
    <x v="5"/>
    <n v="1530"/>
    <x v="264"/>
    <x v="10"/>
  </r>
  <r>
    <s v="OI001049"/>
    <s v="O00607"/>
    <s v="PR026"/>
    <n v="3"/>
    <n v="0"/>
    <b v="0"/>
    <n v="1930"/>
    <x v="3"/>
    <n v="5790"/>
    <x v="264"/>
    <x v="10"/>
  </r>
  <r>
    <s v="OI001050"/>
    <s v="O00608"/>
    <s v="PR052"/>
    <n v="3"/>
    <n v="0"/>
    <b v="1"/>
    <n v="1340"/>
    <x v="4"/>
    <n v="4020"/>
    <x v="356"/>
    <x v="136"/>
  </r>
  <r>
    <s v="OI001051"/>
    <s v="O00608"/>
    <s v="PR055"/>
    <n v="4"/>
    <n v="0"/>
    <b v="0"/>
    <n v="3040"/>
    <x v="4"/>
    <n v="12160"/>
    <x v="356"/>
    <x v="136"/>
  </r>
  <r>
    <s v="OI001052"/>
    <s v="O00609"/>
    <s v="PR075"/>
    <n v="5"/>
    <n v="0"/>
    <b v="0"/>
    <n v="1475"/>
    <x v="0"/>
    <n v="7375"/>
    <x v="320"/>
    <x v="11"/>
  </r>
  <r>
    <s v="OI001053"/>
    <s v="O00609"/>
    <s v="PR052"/>
    <n v="3"/>
    <n v="0.05"/>
    <b v="0"/>
    <n v="1340"/>
    <x v="4"/>
    <n v="3819"/>
    <x v="320"/>
    <x v="11"/>
  </r>
  <r>
    <s v="OI001054"/>
    <s v="O00610"/>
    <s v="PR052"/>
    <n v="4"/>
    <n v="0.1"/>
    <b v="0"/>
    <n v="1340"/>
    <x v="4"/>
    <n v="4824"/>
    <x v="187"/>
    <x v="221"/>
  </r>
  <r>
    <s v="OI001055"/>
    <s v="O00610"/>
    <s v="PR036"/>
    <n v="2"/>
    <n v="0.2"/>
    <b v="0"/>
    <n v="330"/>
    <x v="0"/>
    <n v="528"/>
    <x v="187"/>
    <x v="221"/>
  </r>
  <r>
    <s v="OI001056"/>
    <s v="O00611"/>
    <s v="PR016"/>
    <n v="3"/>
    <n v="0.05"/>
    <b v="0"/>
    <n v="1130"/>
    <x v="0"/>
    <n v="3220.5"/>
    <x v="357"/>
    <x v="249"/>
  </r>
  <r>
    <s v="OI001057"/>
    <s v="O00612"/>
    <s v="PR005"/>
    <n v="2"/>
    <n v="0"/>
    <b v="0"/>
    <n v="1520"/>
    <x v="4"/>
    <n v="3040"/>
    <x v="358"/>
    <x v="179"/>
  </r>
  <r>
    <s v="OI001058"/>
    <s v="O00613"/>
    <s v="PR007"/>
    <n v="1"/>
    <n v="0.05"/>
    <b v="0"/>
    <n v="5550"/>
    <x v="3"/>
    <n v="5272.5"/>
    <x v="159"/>
    <x v="32"/>
  </r>
  <r>
    <s v="OI001059"/>
    <s v="O00614"/>
    <s v="PR023"/>
    <n v="4"/>
    <n v="0.1"/>
    <b v="0"/>
    <n v="1880"/>
    <x v="2"/>
    <n v="6768"/>
    <x v="359"/>
    <x v="265"/>
  </r>
  <r>
    <s v="OI001060"/>
    <s v="O00614"/>
    <s v="PR042"/>
    <n v="2"/>
    <n v="0"/>
    <b v="0"/>
    <n v="2010"/>
    <x v="5"/>
    <n v="4020"/>
    <x v="359"/>
    <x v="265"/>
  </r>
  <r>
    <s v="OI001061"/>
    <s v="O00615"/>
    <s v="PR013"/>
    <n v="1"/>
    <n v="0.15"/>
    <b v="0"/>
    <n v="2090"/>
    <x v="5"/>
    <n v="1776.5"/>
    <x v="27"/>
    <x v="75"/>
  </r>
  <r>
    <s v="OI001062"/>
    <s v="O00615"/>
    <s v="PR067"/>
    <n v="4"/>
    <n v="0.2"/>
    <b v="0"/>
    <n v="1710"/>
    <x v="3"/>
    <n v="5472"/>
    <x v="27"/>
    <x v="75"/>
  </r>
  <r>
    <s v="OI001063"/>
    <s v="O00616"/>
    <s v="PR038"/>
    <n v="4"/>
    <n v="0.05"/>
    <b v="0"/>
    <n v="99"/>
    <x v="1"/>
    <n v="376.2"/>
    <x v="233"/>
    <x v="173"/>
  </r>
  <r>
    <s v="OI001064"/>
    <s v="O00617"/>
    <s v="PR070"/>
    <n v="3"/>
    <n v="0.2"/>
    <b v="0"/>
    <n v="1030"/>
    <x v="5"/>
    <n v="2472"/>
    <x v="87"/>
    <x v="122"/>
  </r>
  <r>
    <s v="OI001065"/>
    <s v="O00617"/>
    <s v="PR070"/>
    <n v="5"/>
    <n v="0"/>
    <b v="0"/>
    <n v="1030"/>
    <x v="5"/>
    <n v="5150"/>
    <x v="87"/>
    <x v="122"/>
  </r>
  <r>
    <s v="OI001066"/>
    <s v="O00618"/>
    <s v="PR005"/>
    <n v="4"/>
    <n v="0"/>
    <b v="0"/>
    <n v="1520"/>
    <x v="4"/>
    <n v="6080"/>
    <x v="360"/>
    <x v="266"/>
  </r>
  <r>
    <s v="OI001067"/>
    <s v="O00618"/>
    <s v="PR050"/>
    <n v="4"/>
    <n v="0"/>
    <b v="0"/>
    <n v="99"/>
    <x v="5"/>
    <n v="396"/>
    <x v="360"/>
    <x v="266"/>
  </r>
  <r>
    <s v="OI001068"/>
    <s v="O00618"/>
    <s v="PR049"/>
    <n v="4"/>
    <n v="0.05"/>
    <b v="0"/>
    <n v="2210"/>
    <x v="5"/>
    <n v="8398"/>
    <x v="360"/>
    <x v="266"/>
  </r>
  <r>
    <s v="OI001069"/>
    <s v="O00618"/>
    <s v="PR005"/>
    <n v="1"/>
    <n v="0"/>
    <b v="0"/>
    <n v="1520"/>
    <x v="4"/>
    <n v="1520"/>
    <x v="360"/>
    <x v="266"/>
  </r>
  <r>
    <s v="OI001070"/>
    <s v="O00619"/>
    <s v="PR039"/>
    <n v="2"/>
    <n v="0.05"/>
    <b v="0"/>
    <n v="210"/>
    <x v="4"/>
    <n v="399"/>
    <x v="361"/>
    <x v="12"/>
  </r>
  <r>
    <s v="OI001071"/>
    <s v="O00619"/>
    <s v="PR056"/>
    <n v="2"/>
    <n v="0"/>
    <b v="0"/>
    <n v="2920"/>
    <x v="3"/>
    <n v="5840"/>
    <x v="361"/>
    <x v="12"/>
  </r>
  <r>
    <s v="OI001072"/>
    <s v="O00620"/>
    <s v="PR063"/>
    <n v="1"/>
    <n v="0.1"/>
    <b v="0"/>
    <n v="470"/>
    <x v="2"/>
    <n v="423"/>
    <x v="362"/>
    <x v="54"/>
  </r>
  <r>
    <s v="OI001073"/>
    <s v="O00620"/>
    <s v="PR063"/>
    <n v="5"/>
    <n v="0.15"/>
    <b v="0"/>
    <n v="470"/>
    <x v="2"/>
    <n v="1997.5"/>
    <x v="362"/>
    <x v="54"/>
  </r>
  <r>
    <s v="OI001074"/>
    <s v="O00621"/>
    <s v="PR061"/>
    <n v="4"/>
    <n v="0.1"/>
    <b v="0"/>
    <n v="1220"/>
    <x v="3"/>
    <n v="4392"/>
    <x v="363"/>
    <x v="128"/>
  </r>
  <r>
    <s v="OI001075"/>
    <s v="O00621"/>
    <s v="PR021"/>
    <n v="5"/>
    <n v="0"/>
    <b v="0"/>
    <n v="3560"/>
    <x v="1"/>
    <n v="17800"/>
    <x v="363"/>
    <x v="128"/>
  </r>
  <r>
    <s v="OI001076"/>
    <s v="O00622"/>
    <s v="PR064"/>
    <n v="5"/>
    <n v="0.05"/>
    <b v="0"/>
    <n v="360"/>
    <x v="5"/>
    <n v="1710"/>
    <x v="146"/>
    <x v="57"/>
  </r>
  <r>
    <s v="OI001077"/>
    <s v="O00623"/>
    <s v="PR046"/>
    <n v="3"/>
    <n v="0"/>
    <b v="0"/>
    <n v="940"/>
    <x v="2"/>
    <n v="2820"/>
    <x v="364"/>
    <x v="119"/>
  </r>
  <r>
    <s v="OI001078"/>
    <s v="O00623"/>
    <s v="PR008"/>
    <n v="1"/>
    <n v="0.1"/>
    <b v="0"/>
    <n v="2720"/>
    <x v="5"/>
    <n v="2448"/>
    <x v="364"/>
    <x v="119"/>
  </r>
  <r>
    <s v="OI001079"/>
    <s v="O00624"/>
    <s v="PR047"/>
    <n v="3"/>
    <n v="0.2"/>
    <b v="0"/>
    <n v="1250"/>
    <x v="1"/>
    <n v="3000"/>
    <x v="245"/>
    <x v="264"/>
  </r>
  <r>
    <s v="OI001080"/>
    <s v="O00625"/>
    <s v="PR004"/>
    <n v="3"/>
    <n v="0.05"/>
    <b v="0"/>
    <n v="3630"/>
    <x v="4"/>
    <n v="10345.5"/>
    <x v="111"/>
    <x v="88"/>
  </r>
  <r>
    <s v="OI001081"/>
    <s v="O00625"/>
    <s v="PR013"/>
    <n v="4"/>
    <n v="0"/>
    <b v="0"/>
    <n v="2090"/>
    <x v="5"/>
    <n v="8360"/>
    <x v="111"/>
    <x v="88"/>
  </r>
  <r>
    <s v="OI001082"/>
    <s v="O00626"/>
    <s v="PR053"/>
    <n v="3"/>
    <n v="0"/>
    <b v="0"/>
    <n v="990"/>
    <x v="0"/>
    <n v="2970"/>
    <x v="365"/>
    <x v="152"/>
  </r>
  <r>
    <s v="OI001083"/>
    <s v="O00626"/>
    <s v="PR032"/>
    <n v="2"/>
    <n v="0"/>
    <b v="0"/>
    <n v="4020"/>
    <x v="1"/>
    <n v="8040"/>
    <x v="365"/>
    <x v="152"/>
  </r>
  <r>
    <s v="OI001084"/>
    <s v="O00626"/>
    <s v="PR040"/>
    <n v="5"/>
    <n v="0"/>
    <b v="0"/>
    <n v="2040"/>
    <x v="0"/>
    <n v="10200"/>
    <x v="365"/>
    <x v="152"/>
  </r>
  <r>
    <s v="OI001085"/>
    <s v="O00626"/>
    <s v="PR009"/>
    <n v="3"/>
    <n v="0"/>
    <b v="0"/>
    <n v="1240"/>
    <x v="5"/>
    <n v="3720"/>
    <x v="365"/>
    <x v="152"/>
  </r>
  <r>
    <s v="OI001086"/>
    <s v="O00627"/>
    <s v="PR003"/>
    <n v="5"/>
    <n v="0"/>
    <b v="0"/>
    <n v="2580"/>
    <x v="5"/>
    <n v="12900"/>
    <x v="66"/>
    <x v="238"/>
  </r>
  <r>
    <s v="OI001087"/>
    <s v="O00628"/>
    <s v="PR055"/>
    <n v="5"/>
    <n v="0.1"/>
    <b v="0"/>
    <n v="3040"/>
    <x v="4"/>
    <n v="13680"/>
    <x v="366"/>
    <x v="222"/>
  </r>
  <r>
    <s v="OI001088"/>
    <s v="O00629"/>
    <s v="PR035"/>
    <n v="1"/>
    <n v="0.15"/>
    <b v="0"/>
    <n v="2790"/>
    <x v="1"/>
    <n v="2371.5"/>
    <x v="174"/>
    <x v="80"/>
  </r>
  <r>
    <s v="OI001089"/>
    <s v="O00629"/>
    <s v="PR061"/>
    <n v="5"/>
    <n v="0"/>
    <b v="0"/>
    <n v="1220"/>
    <x v="3"/>
    <n v="6100"/>
    <x v="174"/>
    <x v="80"/>
  </r>
  <r>
    <s v="OI001090"/>
    <s v="O00629"/>
    <s v="PR041"/>
    <n v="4"/>
    <n v="0.1"/>
    <b v="0"/>
    <n v="2690"/>
    <x v="5"/>
    <n v="9684"/>
    <x v="174"/>
    <x v="80"/>
  </r>
  <r>
    <s v="OI001091"/>
    <s v="O00630"/>
    <s v="PR074"/>
    <n v="1"/>
    <n v="0.2"/>
    <b v="0"/>
    <n v="3680"/>
    <x v="3"/>
    <n v="2944"/>
    <x v="306"/>
    <x v="126"/>
  </r>
  <r>
    <s v="OI001092"/>
    <s v="O00631"/>
    <s v="PR027"/>
    <n v="3"/>
    <n v="0.05"/>
    <b v="0"/>
    <n v="420"/>
    <x v="5"/>
    <n v="1197"/>
    <x v="367"/>
    <x v="121"/>
  </r>
  <r>
    <s v="OI001093"/>
    <s v="O00632"/>
    <s v="PR044"/>
    <n v="2"/>
    <n v="0.1"/>
    <b v="0"/>
    <n v="1440"/>
    <x v="1"/>
    <n v="2592"/>
    <x v="260"/>
    <x v="123"/>
  </r>
  <r>
    <s v="OI001094"/>
    <s v="O00632"/>
    <s v="PR039"/>
    <n v="3"/>
    <n v="0.05"/>
    <b v="0"/>
    <n v="210"/>
    <x v="4"/>
    <n v="598.5"/>
    <x v="260"/>
    <x v="123"/>
  </r>
  <r>
    <s v="OI001095"/>
    <s v="O00633"/>
    <s v="PR010"/>
    <n v="5"/>
    <n v="0"/>
    <b v="0"/>
    <n v="2450"/>
    <x v="1"/>
    <n v="12250"/>
    <x v="368"/>
    <x v="185"/>
  </r>
  <r>
    <s v="OI001096"/>
    <s v="O00634"/>
    <s v="PR007"/>
    <n v="3"/>
    <n v="0.1"/>
    <b v="0"/>
    <n v="5550"/>
    <x v="3"/>
    <n v="14985"/>
    <x v="335"/>
    <x v="238"/>
  </r>
  <r>
    <s v="OI001097"/>
    <s v="O00635"/>
    <s v="PR029"/>
    <n v="5"/>
    <n v="0.15"/>
    <b v="0"/>
    <n v="1080"/>
    <x v="5"/>
    <n v="4590"/>
    <x v="369"/>
    <x v="122"/>
  </r>
  <r>
    <s v="OI001098"/>
    <s v="O00636"/>
    <s v="PR075"/>
    <n v="1"/>
    <n v="0.1"/>
    <b v="0"/>
    <n v="1475"/>
    <x v="0"/>
    <n v="1327.5"/>
    <x v="227"/>
    <x v="97"/>
  </r>
  <r>
    <s v="OI001099"/>
    <s v="O00636"/>
    <s v="PR044"/>
    <n v="3"/>
    <n v="0"/>
    <b v="0"/>
    <n v="1440"/>
    <x v="1"/>
    <n v="4320"/>
    <x v="227"/>
    <x v="97"/>
  </r>
  <r>
    <s v="OI001100"/>
    <s v="O00636"/>
    <s v="PR073"/>
    <n v="3"/>
    <n v="0.05"/>
    <b v="1"/>
    <n v="1760"/>
    <x v="0"/>
    <n v="5016"/>
    <x v="227"/>
    <x v="97"/>
  </r>
  <r>
    <s v="OI001101"/>
    <s v="O00636"/>
    <s v="PR055"/>
    <n v="2"/>
    <n v="0"/>
    <b v="0"/>
    <n v="3040"/>
    <x v="4"/>
    <n v="6080"/>
    <x v="227"/>
    <x v="97"/>
  </r>
  <r>
    <s v="OI001102"/>
    <s v="O00637"/>
    <s v="PR039"/>
    <n v="5"/>
    <n v="0.2"/>
    <b v="0"/>
    <n v="210"/>
    <x v="4"/>
    <n v="840"/>
    <x v="31"/>
    <x v="73"/>
  </r>
  <r>
    <s v="OI001103"/>
    <s v="O00637"/>
    <s v="PR039"/>
    <n v="4"/>
    <n v="0.15"/>
    <b v="0"/>
    <n v="210"/>
    <x v="4"/>
    <n v="714"/>
    <x v="31"/>
    <x v="73"/>
  </r>
  <r>
    <s v="OI001104"/>
    <s v="O00638"/>
    <s v="PR026"/>
    <n v="4"/>
    <n v="0.05"/>
    <b v="0"/>
    <n v="1930"/>
    <x v="3"/>
    <n v="7334"/>
    <x v="368"/>
    <x v="207"/>
  </r>
  <r>
    <s v="OI001105"/>
    <s v="O00638"/>
    <s v="PR033"/>
    <n v="5"/>
    <n v="0.1"/>
    <b v="0"/>
    <n v="2670"/>
    <x v="5"/>
    <n v="12015"/>
    <x v="368"/>
    <x v="207"/>
  </r>
  <r>
    <s v="OI001106"/>
    <s v="O00639"/>
    <s v="PR071"/>
    <n v="2"/>
    <n v="0"/>
    <b v="0"/>
    <n v="2230"/>
    <x v="1"/>
    <n v="4460"/>
    <x v="117"/>
    <x v="187"/>
  </r>
  <r>
    <s v="OI001107"/>
    <s v="O00640"/>
    <s v="PR067"/>
    <n v="2"/>
    <n v="0.1"/>
    <b v="0"/>
    <n v="1710"/>
    <x v="3"/>
    <n v="3078"/>
    <x v="370"/>
    <x v="267"/>
  </r>
  <r>
    <s v="OI001108"/>
    <s v="O00640"/>
    <s v="PR064"/>
    <n v="2"/>
    <n v="0.15"/>
    <b v="0"/>
    <n v="360"/>
    <x v="5"/>
    <n v="612"/>
    <x v="370"/>
    <x v="267"/>
  </r>
  <r>
    <s v="OI001109"/>
    <s v="O00641"/>
    <s v="PR060"/>
    <n v="3"/>
    <n v="0.15"/>
    <b v="0"/>
    <n v="1910"/>
    <x v="2"/>
    <n v="4870.5"/>
    <x v="371"/>
    <x v="268"/>
  </r>
  <r>
    <s v="OI001110"/>
    <s v="O00641"/>
    <s v="PR069"/>
    <n v="5"/>
    <n v="0.2"/>
    <b v="0"/>
    <n v="2230"/>
    <x v="3"/>
    <n v="8920"/>
    <x v="371"/>
    <x v="268"/>
  </r>
  <r>
    <s v="OI001111"/>
    <s v="O00641"/>
    <s v="PR056"/>
    <n v="5"/>
    <n v="0.15"/>
    <b v="0"/>
    <n v="2920"/>
    <x v="3"/>
    <n v="12410"/>
    <x v="371"/>
    <x v="268"/>
  </r>
  <r>
    <s v="OI001112"/>
    <s v="O00641"/>
    <s v="PR005"/>
    <n v="1"/>
    <n v="0.1"/>
    <b v="0"/>
    <n v="1520"/>
    <x v="4"/>
    <n v="1368"/>
    <x v="371"/>
    <x v="268"/>
  </r>
  <r>
    <s v="OI001113"/>
    <s v="O00642"/>
    <s v="PR060"/>
    <n v="2"/>
    <n v="0"/>
    <b v="0"/>
    <n v="1910"/>
    <x v="2"/>
    <n v="3820"/>
    <x v="372"/>
    <x v="99"/>
  </r>
  <r>
    <s v="OI001114"/>
    <s v="O00643"/>
    <s v="PR039"/>
    <n v="4"/>
    <n v="0.05"/>
    <b v="0"/>
    <n v="210"/>
    <x v="4"/>
    <n v="798"/>
    <x v="373"/>
    <x v="176"/>
  </r>
  <r>
    <s v="OI001115"/>
    <s v="O00644"/>
    <s v="PR009"/>
    <n v="2"/>
    <n v="0.2"/>
    <b v="0"/>
    <n v="1240"/>
    <x v="5"/>
    <n v="1984"/>
    <x v="115"/>
    <x v="12"/>
  </r>
  <r>
    <s v="OI001116"/>
    <s v="O00645"/>
    <s v="PR037"/>
    <n v="2"/>
    <n v="0"/>
    <b v="0"/>
    <n v="2050"/>
    <x v="2"/>
    <n v="4100"/>
    <x v="143"/>
    <x v="113"/>
  </r>
  <r>
    <s v="OI001117"/>
    <s v="O00646"/>
    <s v="PR031"/>
    <n v="4"/>
    <n v="0"/>
    <b v="0"/>
    <n v="1080"/>
    <x v="3"/>
    <n v="4320"/>
    <x v="107"/>
    <x v="269"/>
  </r>
  <r>
    <s v="OI001118"/>
    <s v="O00646"/>
    <s v="PR015"/>
    <n v="2"/>
    <n v="0"/>
    <b v="0"/>
    <n v="1765"/>
    <x v="5"/>
    <n v="3530"/>
    <x v="107"/>
    <x v="269"/>
  </r>
  <r>
    <s v="OI001119"/>
    <s v="O00647"/>
    <s v="PR040"/>
    <n v="4"/>
    <n v="0.05"/>
    <b v="0"/>
    <n v="2040"/>
    <x v="0"/>
    <n v="7752"/>
    <x v="374"/>
    <x v="249"/>
  </r>
  <r>
    <s v="OI001120"/>
    <s v="O00648"/>
    <s v="PR056"/>
    <n v="4"/>
    <n v="0.15"/>
    <b v="0"/>
    <n v="2920"/>
    <x v="3"/>
    <n v="9928"/>
    <x v="117"/>
    <x v="137"/>
  </r>
  <r>
    <s v="OI001121"/>
    <s v="O00648"/>
    <s v="PR005"/>
    <n v="2"/>
    <n v="0"/>
    <b v="0"/>
    <n v="1520"/>
    <x v="4"/>
    <n v="3040"/>
    <x v="117"/>
    <x v="137"/>
  </r>
  <r>
    <s v="OI001122"/>
    <s v="O00649"/>
    <s v="PR004"/>
    <n v="3"/>
    <n v="0.2"/>
    <b v="0"/>
    <n v="3630"/>
    <x v="4"/>
    <n v="8712"/>
    <x v="197"/>
    <x v="80"/>
  </r>
  <r>
    <s v="OI001123"/>
    <s v="O00650"/>
    <s v="PR071"/>
    <n v="2"/>
    <n v="0.15"/>
    <b v="0"/>
    <n v="2230"/>
    <x v="1"/>
    <n v="3791"/>
    <x v="351"/>
    <x v="216"/>
  </r>
  <r>
    <s v="OI001124"/>
    <s v="O00650"/>
    <s v="PR006"/>
    <n v="4"/>
    <n v="0.2"/>
    <b v="0"/>
    <n v="1520"/>
    <x v="0"/>
    <n v="4864"/>
    <x v="351"/>
    <x v="216"/>
  </r>
  <r>
    <s v="OI001125"/>
    <s v="O00650"/>
    <s v="PR003"/>
    <n v="1"/>
    <n v="0.2"/>
    <b v="0"/>
    <n v="2580"/>
    <x v="5"/>
    <n v="2064"/>
    <x v="351"/>
    <x v="216"/>
  </r>
  <r>
    <s v="OI001126"/>
    <s v="O00651"/>
    <s v="PR041"/>
    <n v="5"/>
    <n v="0"/>
    <b v="0"/>
    <n v="2690"/>
    <x v="5"/>
    <n v="13450"/>
    <x v="375"/>
    <x v="107"/>
  </r>
  <r>
    <s v="OI001127"/>
    <s v="O00651"/>
    <s v="PR009"/>
    <n v="4"/>
    <n v="0"/>
    <b v="0"/>
    <n v="1240"/>
    <x v="5"/>
    <n v="4960"/>
    <x v="375"/>
    <x v="107"/>
  </r>
  <r>
    <s v="OI001128"/>
    <s v="O00651"/>
    <s v="PR012"/>
    <n v="4"/>
    <n v="0.2"/>
    <b v="0"/>
    <n v="1240"/>
    <x v="2"/>
    <n v="3968"/>
    <x v="375"/>
    <x v="107"/>
  </r>
  <r>
    <s v="OI001129"/>
    <s v="O00652"/>
    <s v="PR018"/>
    <n v="2"/>
    <n v="0"/>
    <b v="0"/>
    <n v="2180"/>
    <x v="4"/>
    <n v="4360"/>
    <x v="376"/>
    <x v="37"/>
  </r>
  <r>
    <s v="OI001130"/>
    <s v="O00652"/>
    <s v="PR074"/>
    <n v="5"/>
    <n v="0"/>
    <b v="0"/>
    <n v="3680"/>
    <x v="3"/>
    <n v="18400"/>
    <x v="376"/>
    <x v="37"/>
  </r>
  <r>
    <s v="OI001131"/>
    <s v="O00653"/>
    <s v="PR075"/>
    <n v="5"/>
    <n v="0"/>
    <b v="0"/>
    <n v="1475"/>
    <x v="0"/>
    <n v="7375"/>
    <x v="377"/>
    <x v="132"/>
  </r>
  <r>
    <s v="OI001132"/>
    <s v="O00653"/>
    <s v="PR064"/>
    <n v="1"/>
    <n v="0"/>
    <b v="0"/>
    <n v="360"/>
    <x v="5"/>
    <n v="360"/>
    <x v="377"/>
    <x v="132"/>
  </r>
  <r>
    <s v="OI001133"/>
    <s v="O00654"/>
    <s v="PR041"/>
    <n v="3"/>
    <n v="0.2"/>
    <b v="0"/>
    <n v="2690"/>
    <x v="5"/>
    <n v="6456"/>
    <x v="103"/>
    <x v="173"/>
  </r>
  <r>
    <s v="OI001134"/>
    <s v="O00654"/>
    <s v="PR075"/>
    <n v="4"/>
    <n v="0.2"/>
    <b v="0"/>
    <n v="1475"/>
    <x v="0"/>
    <n v="4720"/>
    <x v="103"/>
    <x v="173"/>
  </r>
  <r>
    <s v="OI001135"/>
    <s v="O00655"/>
    <s v="PR031"/>
    <n v="4"/>
    <n v="0"/>
    <b v="0"/>
    <n v="1080"/>
    <x v="3"/>
    <n v="4320"/>
    <x v="378"/>
    <x v="270"/>
  </r>
  <r>
    <s v="OI001136"/>
    <s v="O00655"/>
    <s v="PR019"/>
    <n v="1"/>
    <n v="0"/>
    <b v="0"/>
    <n v="710"/>
    <x v="1"/>
    <n v="710"/>
    <x v="378"/>
    <x v="270"/>
  </r>
  <r>
    <s v="OI001137"/>
    <s v="O00656"/>
    <s v="PR036"/>
    <n v="4"/>
    <n v="0.05"/>
    <b v="0"/>
    <n v="330"/>
    <x v="0"/>
    <n v="1254"/>
    <x v="311"/>
    <x v="3"/>
  </r>
  <r>
    <s v="OI001138"/>
    <s v="O00657"/>
    <s v="PR076"/>
    <n v="1"/>
    <n v="0.05"/>
    <b v="0"/>
    <n v="2790"/>
    <x v="4"/>
    <n v="2650.5"/>
    <x v="115"/>
    <x v="129"/>
  </r>
  <r>
    <s v="OI001139"/>
    <s v="O00658"/>
    <s v="PR015"/>
    <n v="3"/>
    <n v="0.1"/>
    <b v="0"/>
    <n v="1765"/>
    <x v="5"/>
    <n v="4765.5"/>
    <x v="312"/>
    <x v="128"/>
  </r>
  <r>
    <s v="OI001140"/>
    <s v="O00658"/>
    <s v="PR055"/>
    <n v="4"/>
    <n v="0.15"/>
    <b v="0"/>
    <n v="3040"/>
    <x v="4"/>
    <n v="10336"/>
    <x v="312"/>
    <x v="128"/>
  </r>
  <r>
    <s v="OI001141"/>
    <s v="O00659"/>
    <s v="PR036"/>
    <n v="2"/>
    <n v="0"/>
    <b v="0"/>
    <n v="330"/>
    <x v="0"/>
    <n v="660"/>
    <x v="200"/>
    <x v="92"/>
  </r>
  <r>
    <s v="OI001142"/>
    <s v="O00660"/>
    <s v="PR048"/>
    <n v="3"/>
    <n v="0"/>
    <b v="0"/>
    <n v="3070"/>
    <x v="2"/>
    <n v="9210"/>
    <x v="379"/>
    <x v="133"/>
  </r>
  <r>
    <s v="OI001143"/>
    <s v="O00661"/>
    <s v="PR078"/>
    <n v="1"/>
    <n v="0.2"/>
    <b v="0"/>
    <n v="1440"/>
    <x v="3"/>
    <n v="1152"/>
    <x v="180"/>
    <x v="18"/>
  </r>
  <r>
    <s v="OI001144"/>
    <s v="O00661"/>
    <s v="PR007"/>
    <n v="2"/>
    <n v="0"/>
    <b v="0"/>
    <n v="5550"/>
    <x v="3"/>
    <n v="11100"/>
    <x v="180"/>
    <x v="18"/>
  </r>
  <r>
    <s v="OI001145"/>
    <s v="O00662"/>
    <s v="PR040"/>
    <n v="3"/>
    <n v="0.2"/>
    <b v="0"/>
    <n v="2040"/>
    <x v="0"/>
    <n v="4896"/>
    <x v="337"/>
    <x v="173"/>
  </r>
  <r>
    <s v="OI001146"/>
    <s v="O00662"/>
    <s v="PR016"/>
    <n v="5"/>
    <n v="0.2"/>
    <b v="0"/>
    <n v="1130"/>
    <x v="0"/>
    <n v="4520"/>
    <x v="337"/>
    <x v="173"/>
  </r>
  <r>
    <s v="OI001147"/>
    <s v="O00663"/>
    <s v="PR057"/>
    <n v="4"/>
    <n v="0"/>
    <b v="0"/>
    <n v="790"/>
    <x v="1"/>
    <n v="3160"/>
    <x v="107"/>
    <x v="65"/>
  </r>
  <r>
    <s v="OI001148"/>
    <s v="O00664"/>
    <s v="PR051"/>
    <n v="3"/>
    <n v="0"/>
    <b v="0"/>
    <n v="2190"/>
    <x v="4"/>
    <n v="6570"/>
    <x v="171"/>
    <x v="98"/>
  </r>
  <r>
    <s v="OI001149"/>
    <s v="O00664"/>
    <s v="PR012"/>
    <n v="2"/>
    <n v="0"/>
    <b v="0"/>
    <n v="1240"/>
    <x v="2"/>
    <n v="2480"/>
    <x v="171"/>
    <x v="98"/>
  </r>
  <r>
    <s v="OI001150"/>
    <s v="O00664"/>
    <s v="PR027"/>
    <n v="3"/>
    <n v="0.05"/>
    <b v="1"/>
    <n v="420"/>
    <x v="5"/>
    <n v="1197"/>
    <x v="171"/>
    <x v="98"/>
  </r>
  <r>
    <s v="OI001151"/>
    <s v="O00665"/>
    <s v="PR053"/>
    <n v="1"/>
    <n v="0"/>
    <b v="0"/>
    <n v="990"/>
    <x v="0"/>
    <n v="990"/>
    <x v="170"/>
    <x v="255"/>
  </r>
  <r>
    <s v="OI001152"/>
    <s v="O00665"/>
    <s v="PR011"/>
    <n v="4"/>
    <n v="0.05"/>
    <b v="0"/>
    <n v="1240"/>
    <x v="2"/>
    <n v="4712"/>
    <x v="170"/>
    <x v="255"/>
  </r>
  <r>
    <s v="OI001153"/>
    <s v="O00666"/>
    <s v="PR043"/>
    <n v="4"/>
    <n v="0.2"/>
    <b v="0"/>
    <n v="1660"/>
    <x v="2"/>
    <n v="5312"/>
    <x v="12"/>
    <x v="76"/>
  </r>
  <r>
    <s v="OI001154"/>
    <s v="O00666"/>
    <s v="PR013"/>
    <n v="2"/>
    <n v="0.15"/>
    <b v="0"/>
    <n v="2090"/>
    <x v="5"/>
    <n v="3553"/>
    <x v="12"/>
    <x v="76"/>
  </r>
  <r>
    <s v="OI001155"/>
    <s v="O00667"/>
    <s v="PR009"/>
    <n v="3"/>
    <n v="0.05"/>
    <b v="0"/>
    <n v="1240"/>
    <x v="5"/>
    <n v="3534"/>
    <x v="380"/>
    <x v="36"/>
  </r>
  <r>
    <s v="OI001156"/>
    <s v="O00668"/>
    <s v="PR071"/>
    <n v="3"/>
    <n v="0.05"/>
    <b v="0"/>
    <n v="2230"/>
    <x v="1"/>
    <n v="6355.5"/>
    <x v="213"/>
    <x v="215"/>
  </r>
  <r>
    <s v="OI001157"/>
    <s v="O00668"/>
    <s v="PR004"/>
    <n v="1"/>
    <n v="0.15"/>
    <b v="0"/>
    <n v="3630"/>
    <x v="4"/>
    <n v="3085.5"/>
    <x v="213"/>
    <x v="215"/>
  </r>
  <r>
    <s v="OI001158"/>
    <s v="O00669"/>
    <s v="PR005"/>
    <n v="4"/>
    <n v="0.2"/>
    <b v="0"/>
    <n v="1520"/>
    <x v="4"/>
    <n v="4864"/>
    <x v="232"/>
    <x v="271"/>
  </r>
  <r>
    <s v="OI001159"/>
    <s v="O00669"/>
    <s v="PR018"/>
    <n v="1"/>
    <n v="0.05"/>
    <b v="0"/>
    <n v="2180"/>
    <x v="4"/>
    <n v="2071"/>
    <x v="232"/>
    <x v="271"/>
  </r>
  <r>
    <s v="OI001160"/>
    <s v="O00670"/>
    <s v="PR040"/>
    <n v="3"/>
    <n v="0.1"/>
    <b v="0"/>
    <n v="2040"/>
    <x v="0"/>
    <n v="5508"/>
    <x v="261"/>
    <x v="156"/>
  </r>
  <r>
    <s v="OI001161"/>
    <s v="O00671"/>
    <s v="PR021"/>
    <n v="2"/>
    <n v="0.1"/>
    <b v="0"/>
    <n v="3560"/>
    <x v="1"/>
    <n v="6408"/>
    <x v="42"/>
    <x v="193"/>
  </r>
  <r>
    <s v="OI001162"/>
    <s v="O00672"/>
    <s v="PR017"/>
    <n v="5"/>
    <n v="0.15"/>
    <b v="0"/>
    <n v="580"/>
    <x v="0"/>
    <n v="2465"/>
    <x v="29"/>
    <x v="211"/>
  </r>
  <r>
    <s v="OI001163"/>
    <s v="O00672"/>
    <s v="PR053"/>
    <n v="3"/>
    <n v="0.05"/>
    <b v="0"/>
    <n v="990"/>
    <x v="0"/>
    <n v="2821.5"/>
    <x v="29"/>
    <x v="211"/>
  </r>
  <r>
    <s v="OI001164"/>
    <s v="O00673"/>
    <s v="PR018"/>
    <n v="3"/>
    <n v="0"/>
    <b v="0"/>
    <n v="2180"/>
    <x v="4"/>
    <n v="6540"/>
    <x v="233"/>
    <x v="87"/>
  </r>
  <r>
    <s v="OI001165"/>
    <s v="O00674"/>
    <s v="PR042"/>
    <n v="3"/>
    <n v="0"/>
    <b v="0"/>
    <n v="2010"/>
    <x v="5"/>
    <n v="6030"/>
    <x v="381"/>
    <x v="88"/>
  </r>
  <r>
    <s v="OI001166"/>
    <s v="O00674"/>
    <s v="PR011"/>
    <n v="4"/>
    <n v="0"/>
    <b v="0"/>
    <n v="1240"/>
    <x v="2"/>
    <n v="4960"/>
    <x v="381"/>
    <x v="88"/>
  </r>
  <r>
    <s v="OI001167"/>
    <s v="O00675"/>
    <s v="PR049"/>
    <n v="5"/>
    <n v="0"/>
    <b v="0"/>
    <n v="2210"/>
    <x v="5"/>
    <n v="11050"/>
    <x v="302"/>
    <x v="216"/>
  </r>
  <r>
    <s v="OI001168"/>
    <s v="O00676"/>
    <s v="PR003"/>
    <n v="5"/>
    <n v="0.15"/>
    <b v="0"/>
    <n v="2580"/>
    <x v="5"/>
    <n v="10965"/>
    <x v="20"/>
    <x v="156"/>
  </r>
  <r>
    <s v="OI001169"/>
    <s v="O00677"/>
    <s v="PR030"/>
    <n v="1"/>
    <n v="0.05"/>
    <b v="0"/>
    <n v="1440"/>
    <x v="1"/>
    <n v="1368"/>
    <x v="382"/>
    <x v="126"/>
  </r>
  <r>
    <s v="OI001170"/>
    <s v="O00677"/>
    <s v="PR026"/>
    <n v="3"/>
    <n v="0.15"/>
    <b v="0"/>
    <n v="1930"/>
    <x v="3"/>
    <n v="4921.5"/>
    <x v="382"/>
    <x v="126"/>
  </r>
  <r>
    <s v="OI001171"/>
    <s v="O00678"/>
    <s v="PR007"/>
    <n v="4"/>
    <n v="0.1"/>
    <b v="0"/>
    <n v="5550"/>
    <x v="3"/>
    <n v="19980"/>
    <x v="360"/>
    <x v="49"/>
  </r>
  <r>
    <s v="OI001172"/>
    <s v="O00678"/>
    <s v="PR055"/>
    <n v="5"/>
    <n v="0"/>
    <b v="0"/>
    <n v="3040"/>
    <x v="4"/>
    <n v="15200"/>
    <x v="360"/>
    <x v="49"/>
  </r>
  <r>
    <s v="OI001173"/>
    <s v="O00678"/>
    <s v="PR020"/>
    <n v="1"/>
    <n v="0"/>
    <b v="0"/>
    <n v="110"/>
    <x v="3"/>
    <n v="110"/>
    <x v="360"/>
    <x v="49"/>
  </r>
  <r>
    <s v="OI001174"/>
    <s v="O00679"/>
    <s v="PR073"/>
    <n v="1"/>
    <n v="0"/>
    <b v="0"/>
    <n v="1760"/>
    <x v="0"/>
    <n v="1760"/>
    <x v="383"/>
    <x v="41"/>
  </r>
  <r>
    <s v="OI001175"/>
    <s v="O00680"/>
    <s v="PR056"/>
    <n v="4"/>
    <n v="0.2"/>
    <b v="0"/>
    <n v="2920"/>
    <x v="3"/>
    <n v="9344"/>
    <x v="187"/>
    <x v="272"/>
  </r>
  <r>
    <s v="OI001176"/>
    <s v="O00680"/>
    <s v="PR064"/>
    <n v="1"/>
    <n v="0"/>
    <b v="0"/>
    <n v="360"/>
    <x v="5"/>
    <n v="360"/>
    <x v="187"/>
    <x v="272"/>
  </r>
  <r>
    <s v="OI001177"/>
    <s v="O00681"/>
    <s v="PR025"/>
    <n v="3"/>
    <n v="0"/>
    <b v="0"/>
    <n v="1150"/>
    <x v="2"/>
    <n v="3450"/>
    <x v="114"/>
    <x v="187"/>
  </r>
  <r>
    <s v="OI001178"/>
    <s v="O00681"/>
    <s v="PR064"/>
    <n v="4"/>
    <n v="0"/>
    <b v="0"/>
    <n v="360"/>
    <x v="5"/>
    <n v="1440"/>
    <x v="114"/>
    <x v="187"/>
  </r>
  <r>
    <s v="OI001179"/>
    <s v="O00682"/>
    <s v="PR027"/>
    <n v="5"/>
    <n v="0"/>
    <b v="0"/>
    <n v="420"/>
    <x v="5"/>
    <n v="2100"/>
    <x v="180"/>
    <x v="273"/>
  </r>
  <r>
    <s v="OI001180"/>
    <s v="O00683"/>
    <s v="PR037"/>
    <n v="2"/>
    <n v="0.05"/>
    <b v="0"/>
    <n v="2050"/>
    <x v="2"/>
    <n v="3895"/>
    <x v="384"/>
    <x v="60"/>
  </r>
  <r>
    <s v="OI001181"/>
    <s v="O00683"/>
    <s v="PR024"/>
    <n v="4"/>
    <n v="0.2"/>
    <b v="0"/>
    <n v="99"/>
    <x v="4"/>
    <n v="316.8"/>
    <x v="384"/>
    <x v="60"/>
  </r>
  <r>
    <s v="OI001182"/>
    <s v="O00683"/>
    <s v="PR019"/>
    <n v="1"/>
    <n v="0"/>
    <b v="0"/>
    <n v="710"/>
    <x v="1"/>
    <n v="710"/>
    <x v="384"/>
    <x v="60"/>
  </r>
  <r>
    <s v="OI001183"/>
    <s v="O00683"/>
    <s v="PR034"/>
    <n v="2"/>
    <n v="0.1"/>
    <b v="0"/>
    <n v="530"/>
    <x v="5"/>
    <n v="954"/>
    <x v="384"/>
    <x v="60"/>
  </r>
  <r>
    <s v="OI001184"/>
    <s v="O00684"/>
    <s v="PR032"/>
    <n v="3"/>
    <n v="0.1"/>
    <b v="0"/>
    <n v="4020"/>
    <x v="1"/>
    <n v="10854"/>
    <x v="294"/>
    <x v="186"/>
  </r>
  <r>
    <s v="OI001185"/>
    <s v="O00685"/>
    <s v="PR059"/>
    <n v="1"/>
    <n v="0"/>
    <b v="0"/>
    <n v="2200"/>
    <x v="4"/>
    <n v="2200"/>
    <x v="224"/>
    <x v="88"/>
  </r>
  <r>
    <s v="OI001186"/>
    <s v="O00685"/>
    <s v="PR061"/>
    <n v="2"/>
    <n v="0.2"/>
    <b v="0"/>
    <n v="1220"/>
    <x v="3"/>
    <n v="1952"/>
    <x v="224"/>
    <x v="88"/>
  </r>
  <r>
    <s v="OI001187"/>
    <s v="O00686"/>
    <s v="PR051"/>
    <n v="2"/>
    <n v="0.15"/>
    <b v="0"/>
    <n v="2190"/>
    <x v="4"/>
    <n v="3723"/>
    <x v="365"/>
    <x v="40"/>
  </r>
  <r>
    <s v="OI001188"/>
    <s v="O00687"/>
    <s v="PR055"/>
    <n v="5"/>
    <n v="0"/>
    <b v="0"/>
    <n v="3040"/>
    <x v="4"/>
    <n v="15200"/>
    <x v="286"/>
    <x v="240"/>
  </r>
  <r>
    <s v="OI001189"/>
    <s v="O00688"/>
    <s v="PR072"/>
    <n v="1"/>
    <n v="0"/>
    <b v="0"/>
    <n v="3650"/>
    <x v="0"/>
    <n v="3650"/>
    <x v="62"/>
    <x v="75"/>
  </r>
  <r>
    <s v="OI001190"/>
    <s v="O00689"/>
    <s v="PR031"/>
    <n v="4"/>
    <n v="0"/>
    <b v="0"/>
    <n v="1080"/>
    <x v="3"/>
    <n v="4320"/>
    <x v="58"/>
    <x v="274"/>
  </r>
  <r>
    <s v="OI001191"/>
    <s v="O00690"/>
    <s v="PR077"/>
    <n v="1"/>
    <n v="0"/>
    <b v="0"/>
    <n v="1900"/>
    <x v="5"/>
    <n v="1900"/>
    <x v="385"/>
    <x v="10"/>
  </r>
  <r>
    <s v="OI001192"/>
    <s v="O00690"/>
    <s v="PR033"/>
    <n v="5"/>
    <n v="0.1"/>
    <b v="0"/>
    <n v="2670"/>
    <x v="5"/>
    <n v="12015"/>
    <x v="385"/>
    <x v="10"/>
  </r>
  <r>
    <s v="OI001193"/>
    <s v="O00690"/>
    <s v="PR049"/>
    <n v="3"/>
    <n v="0.05"/>
    <b v="0"/>
    <n v="2210"/>
    <x v="5"/>
    <n v="6298.5"/>
    <x v="385"/>
    <x v="10"/>
  </r>
  <r>
    <s v="OI001194"/>
    <s v="O00690"/>
    <s v="PR048"/>
    <n v="2"/>
    <n v="0.1"/>
    <b v="0"/>
    <n v="3070"/>
    <x v="2"/>
    <n v="5526"/>
    <x v="385"/>
    <x v="10"/>
  </r>
  <r>
    <s v="OI001195"/>
    <s v="O00691"/>
    <s v="PR023"/>
    <n v="3"/>
    <n v="0"/>
    <b v="0"/>
    <n v="1880"/>
    <x v="2"/>
    <n v="5640"/>
    <x v="386"/>
    <x v="238"/>
  </r>
  <r>
    <s v="OI001196"/>
    <s v="O00692"/>
    <s v="PR044"/>
    <n v="4"/>
    <n v="0"/>
    <b v="0"/>
    <n v="1440"/>
    <x v="1"/>
    <n v="5760"/>
    <x v="387"/>
    <x v="253"/>
  </r>
  <r>
    <s v="OI001197"/>
    <s v="O00692"/>
    <s v="PR012"/>
    <n v="3"/>
    <n v="0.15"/>
    <b v="0"/>
    <n v="1240"/>
    <x v="2"/>
    <n v="3162"/>
    <x v="387"/>
    <x v="253"/>
  </r>
  <r>
    <s v="OI001198"/>
    <s v="O00693"/>
    <s v="PR019"/>
    <n v="3"/>
    <n v="0"/>
    <b v="0"/>
    <n v="710"/>
    <x v="1"/>
    <n v="2130"/>
    <x v="246"/>
    <x v="86"/>
  </r>
  <r>
    <s v="OI001199"/>
    <s v="O00693"/>
    <s v="PR041"/>
    <n v="1"/>
    <n v="0"/>
    <b v="0"/>
    <n v="2690"/>
    <x v="5"/>
    <n v="2690"/>
    <x v="246"/>
    <x v="86"/>
  </r>
  <r>
    <s v="OI001200"/>
    <s v="O00694"/>
    <s v="PR036"/>
    <n v="3"/>
    <n v="0.05"/>
    <b v="1"/>
    <n v="330"/>
    <x v="0"/>
    <n v="940.5"/>
    <x v="185"/>
    <x v="169"/>
  </r>
  <r>
    <s v="OI001201"/>
    <s v="O00695"/>
    <s v="PR034"/>
    <n v="5"/>
    <n v="0.2"/>
    <b v="0"/>
    <n v="530"/>
    <x v="5"/>
    <n v="2120"/>
    <x v="190"/>
    <x v="201"/>
  </r>
  <r>
    <s v="OI001202"/>
    <s v="O00696"/>
    <s v="PR034"/>
    <n v="5"/>
    <n v="0"/>
    <b v="0"/>
    <n v="530"/>
    <x v="5"/>
    <n v="2650"/>
    <x v="131"/>
    <x v="97"/>
  </r>
  <r>
    <s v="OI001203"/>
    <s v="O00696"/>
    <s v="PR056"/>
    <n v="2"/>
    <n v="0"/>
    <b v="0"/>
    <n v="2920"/>
    <x v="3"/>
    <n v="5840"/>
    <x v="131"/>
    <x v="97"/>
  </r>
  <r>
    <s v="OI001204"/>
    <s v="O00697"/>
    <s v="PR063"/>
    <n v="2"/>
    <n v="0.1"/>
    <b v="0"/>
    <n v="470"/>
    <x v="2"/>
    <n v="846"/>
    <x v="239"/>
    <x v="9"/>
  </r>
  <r>
    <s v="OI001205"/>
    <s v="O00697"/>
    <s v="PR057"/>
    <n v="1"/>
    <n v="0"/>
    <b v="0"/>
    <n v="790"/>
    <x v="1"/>
    <n v="790"/>
    <x v="239"/>
    <x v="9"/>
  </r>
  <r>
    <s v="OI001206"/>
    <s v="O00698"/>
    <s v="PR030"/>
    <n v="2"/>
    <n v="0"/>
    <b v="0"/>
    <n v="1440"/>
    <x v="1"/>
    <n v="2880"/>
    <x v="59"/>
    <x v="238"/>
  </r>
  <r>
    <s v="OI001207"/>
    <s v="O00699"/>
    <s v="PR021"/>
    <n v="4"/>
    <n v="0.05"/>
    <b v="0"/>
    <n v="3560"/>
    <x v="1"/>
    <n v="13528"/>
    <x v="388"/>
    <x v="69"/>
  </r>
  <r>
    <s v="OI001208"/>
    <s v="O00700"/>
    <s v="PR064"/>
    <n v="1"/>
    <n v="0.05"/>
    <b v="0"/>
    <n v="360"/>
    <x v="5"/>
    <n v="342"/>
    <x v="155"/>
    <x v="275"/>
  </r>
  <r>
    <s v="OI001209"/>
    <s v="O00701"/>
    <s v="PR072"/>
    <n v="4"/>
    <n v="0.05"/>
    <b v="0"/>
    <n v="3650"/>
    <x v="0"/>
    <n v="13870"/>
    <x v="238"/>
    <x v="199"/>
  </r>
  <r>
    <s v="OI001210"/>
    <s v="O00702"/>
    <s v="PR019"/>
    <n v="1"/>
    <n v="0"/>
    <b v="0"/>
    <n v="710"/>
    <x v="1"/>
    <n v="710"/>
    <x v="8"/>
    <x v="68"/>
  </r>
  <r>
    <s v="OI001211"/>
    <s v="O00703"/>
    <s v="PR037"/>
    <n v="2"/>
    <n v="0.2"/>
    <b v="0"/>
    <n v="2050"/>
    <x v="2"/>
    <n v="3280"/>
    <x v="237"/>
    <x v="54"/>
  </r>
  <r>
    <s v="OI001212"/>
    <s v="O00704"/>
    <s v="PR066"/>
    <n v="3"/>
    <n v="0.1"/>
    <b v="0"/>
    <n v="3430"/>
    <x v="0"/>
    <n v="9261"/>
    <x v="195"/>
    <x v="224"/>
  </r>
  <r>
    <s v="OI001213"/>
    <s v="O00705"/>
    <s v="PR075"/>
    <n v="2"/>
    <n v="0.1"/>
    <b v="0"/>
    <n v="1475"/>
    <x v="0"/>
    <n v="2655"/>
    <x v="389"/>
    <x v="136"/>
  </r>
  <r>
    <s v="OI001214"/>
    <s v="O00705"/>
    <s v="PR001"/>
    <n v="5"/>
    <n v="0.2"/>
    <b v="0"/>
    <n v="2400"/>
    <x v="4"/>
    <n v="9600"/>
    <x v="389"/>
    <x v="136"/>
  </r>
  <r>
    <s v="OI001215"/>
    <s v="O00705"/>
    <s v="PR074"/>
    <n v="2"/>
    <n v="0.05"/>
    <b v="0"/>
    <n v="3680"/>
    <x v="3"/>
    <n v="6992"/>
    <x v="389"/>
    <x v="136"/>
  </r>
  <r>
    <s v="OI001216"/>
    <s v="O00706"/>
    <s v="PR032"/>
    <n v="4"/>
    <n v="0.15"/>
    <b v="0"/>
    <n v="4020"/>
    <x v="1"/>
    <n v="13668"/>
    <x v="70"/>
    <x v="144"/>
  </r>
  <r>
    <s v="OI001217"/>
    <s v="O00706"/>
    <s v="PR013"/>
    <n v="3"/>
    <n v="0"/>
    <b v="0"/>
    <n v="2090"/>
    <x v="5"/>
    <n v="6270"/>
    <x v="70"/>
    <x v="144"/>
  </r>
  <r>
    <s v="OI001218"/>
    <s v="O00706"/>
    <s v="PR037"/>
    <n v="1"/>
    <n v="0.05"/>
    <b v="0"/>
    <n v="2050"/>
    <x v="2"/>
    <n v="1947.5"/>
    <x v="70"/>
    <x v="144"/>
  </r>
  <r>
    <s v="OI001219"/>
    <s v="O00707"/>
    <s v="PR014"/>
    <n v="3"/>
    <n v="0"/>
    <b v="0"/>
    <n v="99"/>
    <x v="4"/>
    <n v="297"/>
    <x v="390"/>
    <x v="194"/>
  </r>
  <r>
    <s v="OI001220"/>
    <s v="O00708"/>
    <s v="PR059"/>
    <n v="4"/>
    <n v="0.05"/>
    <b v="0"/>
    <n v="2200"/>
    <x v="4"/>
    <n v="8360"/>
    <x v="231"/>
    <x v="24"/>
  </r>
  <r>
    <s v="OI001221"/>
    <s v="O00709"/>
    <s v="PR035"/>
    <n v="5"/>
    <n v="0.15"/>
    <b v="0"/>
    <n v="2790"/>
    <x v="1"/>
    <n v="11857.5"/>
    <x v="351"/>
    <x v="35"/>
  </r>
  <r>
    <s v="OI001222"/>
    <s v="O00709"/>
    <s v="PR001"/>
    <n v="3"/>
    <n v="0"/>
    <b v="0"/>
    <n v="2400"/>
    <x v="4"/>
    <n v="7200"/>
    <x v="351"/>
    <x v="35"/>
  </r>
  <r>
    <s v="OI001223"/>
    <s v="O00710"/>
    <s v="PR058"/>
    <n v="3"/>
    <n v="0.15"/>
    <b v="0"/>
    <n v="1430"/>
    <x v="0"/>
    <n v="3646.5"/>
    <x v="344"/>
    <x v="194"/>
  </r>
  <r>
    <s v="OI001224"/>
    <s v="O00710"/>
    <s v="PR073"/>
    <n v="2"/>
    <n v="0"/>
    <b v="0"/>
    <n v="1760"/>
    <x v="0"/>
    <n v="3520"/>
    <x v="344"/>
    <x v="194"/>
  </r>
  <r>
    <s v="OI001225"/>
    <s v="O00711"/>
    <s v="PR037"/>
    <n v="3"/>
    <n v="0.2"/>
    <b v="0"/>
    <n v="2050"/>
    <x v="2"/>
    <n v="4920"/>
    <x v="355"/>
    <x v="276"/>
  </r>
  <r>
    <s v="OI001226"/>
    <s v="O00711"/>
    <s v="PR008"/>
    <n v="1"/>
    <n v="0.1"/>
    <b v="0"/>
    <n v="2720"/>
    <x v="5"/>
    <n v="2448"/>
    <x v="355"/>
    <x v="276"/>
  </r>
  <r>
    <s v="OI001227"/>
    <s v="O00711"/>
    <s v="PR078"/>
    <n v="4"/>
    <n v="0"/>
    <b v="0"/>
    <n v="1440"/>
    <x v="3"/>
    <n v="5760"/>
    <x v="355"/>
    <x v="276"/>
  </r>
  <r>
    <s v="OI001228"/>
    <s v="O00712"/>
    <s v="PR023"/>
    <n v="2"/>
    <n v="0.2"/>
    <b v="0"/>
    <n v="1880"/>
    <x v="2"/>
    <n v="3008"/>
    <x v="73"/>
    <x v="2"/>
  </r>
  <r>
    <s v="OI001229"/>
    <s v="O00713"/>
    <s v="PR012"/>
    <n v="1"/>
    <n v="0.2"/>
    <b v="0"/>
    <n v="1240"/>
    <x v="2"/>
    <n v="992"/>
    <x v="391"/>
    <x v="7"/>
  </r>
  <r>
    <s v="OI001230"/>
    <s v="O00713"/>
    <s v="PR027"/>
    <n v="2"/>
    <n v="0.05"/>
    <b v="0"/>
    <n v="420"/>
    <x v="5"/>
    <n v="798"/>
    <x v="391"/>
    <x v="7"/>
  </r>
  <r>
    <s v="OI001231"/>
    <s v="O00713"/>
    <s v="PR052"/>
    <n v="3"/>
    <n v="0.15"/>
    <b v="0"/>
    <n v="1340"/>
    <x v="4"/>
    <n v="3417"/>
    <x v="391"/>
    <x v="7"/>
  </r>
  <r>
    <s v="OI001232"/>
    <s v="O00714"/>
    <s v="PR020"/>
    <n v="1"/>
    <n v="0"/>
    <b v="0"/>
    <n v="110"/>
    <x v="3"/>
    <n v="110"/>
    <x v="364"/>
    <x v="118"/>
  </r>
  <r>
    <s v="OI001233"/>
    <s v="O00714"/>
    <s v="PR063"/>
    <n v="4"/>
    <n v="0.15"/>
    <b v="0"/>
    <n v="470"/>
    <x v="2"/>
    <n v="1598"/>
    <x v="364"/>
    <x v="118"/>
  </r>
  <r>
    <s v="OI001234"/>
    <s v="O00715"/>
    <s v="PR040"/>
    <n v="5"/>
    <n v="0"/>
    <b v="0"/>
    <n v="2040"/>
    <x v="0"/>
    <n v="10200"/>
    <x v="392"/>
    <x v="209"/>
  </r>
  <r>
    <s v="OI001235"/>
    <s v="O00715"/>
    <s v="PR046"/>
    <n v="1"/>
    <n v="0.2"/>
    <b v="0"/>
    <n v="940"/>
    <x v="2"/>
    <n v="752"/>
    <x v="392"/>
    <x v="209"/>
  </r>
  <r>
    <s v="OI001236"/>
    <s v="O00715"/>
    <s v="PR048"/>
    <n v="5"/>
    <n v="0"/>
    <b v="0"/>
    <n v="3070"/>
    <x v="2"/>
    <n v="15350"/>
    <x v="392"/>
    <x v="209"/>
  </r>
  <r>
    <s v="OI001237"/>
    <s v="O00716"/>
    <s v="PR050"/>
    <n v="4"/>
    <n v="0"/>
    <b v="0"/>
    <n v="99"/>
    <x v="5"/>
    <n v="396"/>
    <x v="393"/>
    <x v="29"/>
  </r>
  <r>
    <s v="OI001238"/>
    <s v="O00717"/>
    <s v="PR055"/>
    <n v="1"/>
    <n v="0.2"/>
    <b v="0"/>
    <n v="3040"/>
    <x v="4"/>
    <n v="2432"/>
    <x v="394"/>
    <x v="181"/>
  </r>
  <r>
    <s v="OI001239"/>
    <s v="O00717"/>
    <s v="PR055"/>
    <n v="3"/>
    <n v="0.1"/>
    <b v="0"/>
    <n v="3040"/>
    <x v="4"/>
    <n v="8208"/>
    <x v="394"/>
    <x v="181"/>
  </r>
  <r>
    <s v="OI001240"/>
    <s v="O00718"/>
    <s v="PR005"/>
    <n v="4"/>
    <n v="0"/>
    <b v="0"/>
    <n v="1520"/>
    <x v="4"/>
    <n v="6080"/>
    <x v="69"/>
    <x v="70"/>
  </r>
  <r>
    <s v="OI001241"/>
    <s v="O00719"/>
    <s v="PR044"/>
    <n v="4"/>
    <n v="0.15"/>
    <b v="0"/>
    <n v="1440"/>
    <x v="1"/>
    <n v="4896"/>
    <x v="395"/>
    <x v="104"/>
  </r>
  <r>
    <s v="OI001242"/>
    <s v="O00720"/>
    <s v="PR020"/>
    <n v="4"/>
    <n v="0.1"/>
    <b v="0"/>
    <n v="110"/>
    <x v="3"/>
    <n v="396"/>
    <x v="396"/>
    <x v="90"/>
  </r>
  <r>
    <s v="OI001243"/>
    <s v="O00721"/>
    <s v="PR068"/>
    <n v="1"/>
    <n v="0"/>
    <b v="0"/>
    <n v="3000"/>
    <x v="3"/>
    <n v="3000"/>
    <x v="397"/>
    <x v="162"/>
  </r>
  <r>
    <s v="OI001244"/>
    <s v="O00721"/>
    <s v="PR060"/>
    <n v="4"/>
    <n v="0"/>
    <b v="0"/>
    <n v="1910"/>
    <x v="2"/>
    <n v="7640"/>
    <x v="397"/>
    <x v="162"/>
  </r>
  <r>
    <s v="OI001245"/>
    <s v="O00722"/>
    <s v="PR062"/>
    <n v="3"/>
    <n v="0"/>
    <b v="0"/>
    <n v="1580"/>
    <x v="2"/>
    <n v="4740"/>
    <x v="63"/>
    <x v="39"/>
  </r>
  <r>
    <s v="OI001246"/>
    <s v="O00722"/>
    <s v="PR017"/>
    <n v="3"/>
    <n v="0.2"/>
    <b v="0"/>
    <n v="580"/>
    <x v="0"/>
    <n v="1392"/>
    <x v="63"/>
    <x v="39"/>
  </r>
  <r>
    <s v="OI001247"/>
    <s v="O00722"/>
    <s v="PR032"/>
    <n v="5"/>
    <n v="0.05"/>
    <b v="0"/>
    <n v="4020"/>
    <x v="1"/>
    <n v="19095"/>
    <x v="63"/>
    <x v="39"/>
  </r>
  <r>
    <s v="OI001248"/>
    <s v="O00723"/>
    <s v="PR007"/>
    <n v="5"/>
    <n v="0"/>
    <b v="0"/>
    <n v="5550"/>
    <x v="3"/>
    <n v="27750"/>
    <x v="289"/>
    <x v="232"/>
  </r>
  <r>
    <s v="OI001249"/>
    <s v="O00724"/>
    <s v="PR066"/>
    <n v="1"/>
    <n v="0.1"/>
    <b v="0"/>
    <n v="3430"/>
    <x v="0"/>
    <n v="3087"/>
    <x v="398"/>
    <x v="245"/>
  </r>
  <r>
    <s v="OI001250"/>
    <s v="O00724"/>
    <s v="PR055"/>
    <n v="3"/>
    <n v="0"/>
    <b v="1"/>
    <n v="3040"/>
    <x v="4"/>
    <n v="9120"/>
    <x v="398"/>
    <x v="245"/>
  </r>
  <r>
    <s v="OI001251"/>
    <s v="O00724"/>
    <s v="PR060"/>
    <n v="5"/>
    <n v="0.2"/>
    <b v="0"/>
    <n v="1910"/>
    <x v="2"/>
    <n v="7640"/>
    <x v="398"/>
    <x v="245"/>
  </r>
  <r>
    <s v="OI001252"/>
    <s v="O00725"/>
    <s v="PR033"/>
    <n v="5"/>
    <n v="0"/>
    <b v="0"/>
    <n v="2670"/>
    <x v="5"/>
    <n v="13350"/>
    <x v="399"/>
    <x v="61"/>
  </r>
  <r>
    <s v="OI001253"/>
    <s v="O00726"/>
    <s v="PR003"/>
    <n v="1"/>
    <n v="0.15"/>
    <b v="0"/>
    <n v="2580"/>
    <x v="5"/>
    <n v="2193"/>
    <x v="400"/>
    <x v="264"/>
  </r>
  <r>
    <s v="OI001254"/>
    <s v="O00726"/>
    <s v="PR060"/>
    <n v="2"/>
    <n v="0.2"/>
    <b v="0"/>
    <n v="1910"/>
    <x v="2"/>
    <n v="3056"/>
    <x v="400"/>
    <x v="264"/>
  </r>
  <r>
    <s v="OI001255"/>
    <s v="O00727"/>
    <s v="PR051"/>
    <n v="1"/>
    <n v="0"/>
    <b v="0"/>
    <n v="2190"/>
    <x v="4"/>
    <n v="2190"/>
    <x v="177"/>
    <x v="25"/>
  </r>
  <r>
    <s v="OI001256"/>
    <s v="O00728"/>
    <s v="PR039"/>
    <n v="3"/>
    <n v="0.1"/>
    <b v="0"/>
    <n v="210"/>
    <x v="4"/>
    <n v="567"/>
    <x v="34"/>
    <x v="32"/>
  </r>
  <r>
    <s v="OI001257"/>
    <s v="O00729"/>
    <s v="PR058"/>
    <n v="5"/>
    <n v="0.2"/>
    <b v="0"/>
    <n v="1430"/>
    <x v="0"/>
    <n v="5720"/>
    <x v="24"/>
    <x v="277"/>
  </r>
  <r>
    <s v="OI001258"/>
    <s v="O00729"/>
    <s v="PR034"/>
    <n v="3"/>
    <n v="0.2"/>
    <b v="0"/>
    <n v="530"/>
    <x v="5"/>
    <n v="1272"/>
    <x v="24"/>
    <x v="277"/>
  </r>
  <r>
    <s v="OI001259"/>
    <s v="O00730"/>
    <s v="PR028"/>
    <n v="2"/>
    <n v="0"/>
    <b v="0"/>
    <n v="2250"/>
    <x v="3"/>
    <n v="4500"/>
    <x v="172"/>
    <x v="197"/>
  </r>
  <r>
    <s v="OI001260"/>
    <s v="O00730"/>
    <s v="PR078"/>
    <n v="3"/>
    <n v="0.2"/>
    <b v="0"/>
    <n v="1440"/>
    <x v="3"/>
    <n v="3456"/>
    <x v="172"/>
    <x v="197"/>
  </r>
  <r>
    <s v="OI001261"/>
    <s v="O00730"/>
    <s v="PR014"/>
    <n v="4"/>
    <n v="0.1"/>
    <b v="0"/>
    <n v="99"/>
    <x v="4"/>
    <n v="356.40000000000003"/>
    <x v="172"/>
    <x v="197"/>
  </r>
  <r>
    <s v="OI001262"/>
    <s v="O00731"/>
    <s v="PR051"/>
    <n v="1"/>
    <n v="0"/>
    <b v="0"/>
    <n v="2190"/>
    <x v="4"/>
    <n v="2190"/>
    <x v="269"/>
    <x v="220"/>
  </r>
  <r>
    <s v="OI001263"/>
    <s v="O00732"/>
    <s v="PR062"/>
    <n v="4"/>
    <n v="0.15"/>
    <b v="0"/>
    <n v="1580"/>
    <x v="2"/>
    <n v="5372"/>
    <x v="164"/>
    <x v="21"/>
  </r>
  <r>
    <s v="OI001264"/>
    <s v="O00733"/>
    <s v="PR078"/>
    <n v="4"/>
    <n v="0"/>
    <b v="0"/>
    <n v="1440"/>
    <x v="3"/>
    <n v="5760"/>
    <x v="386"/>
    <x v="150"/>
  </r>
  <r>
    <s v="OI001265"/>
    <s v="O00734"/>
    <s v="PR079"/>
    <n v="3"/>
    <n v="0.15"/>
    <b v="0"/>
    <n v="1910"/>
    <x v="2"/>
    <n v="4870.5"/>
    <x v="41"/>
    <x v="72"/>
  </r>
  <r>
    <s v="OI001266"/>
    <s v="O00734"/>
    <s v="PR051"/>
    <n v="3"/>
    <n v="0"/>
    <b v="0"/>
    <n v="2190"/>
    <x v="4"/>
    <n v="6570"/>
    <x v="41"/>
    <x v="72"/>
  </r>
  <r>
    <s v="OI001267"/>
    <s v="O00735"/>
    <s v="PR002"/>
    <n v="2"/>
    <n v="0"/>
    <b v="0"/>
    <n v="1630"/>
    <x v="5"/>
    <n v="3260"/>
    <x v="401"/>
    <x v="174"/>
  </r>
  <r>
    <s v="OI001268"/>
    <s v="O00736"/>
    <s v="PR025"/>
    <n v="1"/>
    <n v="0"/>
    <b v="0"/>
    <n v="1150"/>
    <x v="2"/>
    <n v="1150"/>
    <x v="402"/>
    <x v="151"/>
  </r>
  <r>
    <s v="OI001269"/>
    <s v="O00736"/>
    <s v="PR062"/>
    <n v="2"/>
    <n v="0.15"/>
    <b v="0"/>
    <n v="1580"/>
    <x v="2"/>
    <n v="2686"/>
    <x v="402"/>
    <x v="151"/>
  </r>
  <r>
    <s v="OI001270"/>
    <s v="O00736"/>
    <s v="PR031"/>
    <n v="4"/>
    <n v="0.2"/>
    <b v="0"/>
    <n v="1080"/>
    <x v="3"/>
    <n v="3456"/>
    <x v="402"/>
    <x v="151"/>
  </r>
  <r>
    <s v="OI001271"/>
    <s v="O00737"/>
    <s v="PR069"/>
    <n v="2"/>
    <n v="0"/>
    <b v="0"/>
    <n v="2230"/>
    <x v="3"/>
    <n v="4460"/>
    <x v="394"/>
    <x v="260"/>
  </r>
  <r>
    <s v="OI001272"/>
    <s v="O00737"/>
    <s v="PR039"/>
    <n v="4"/>
    <n v="0"/>
    <b v="0"/>
    <n v="210"/>
    <x v="4"/>
    <n v="840"/>
    <x v="394"/>
    <x v="260"/>
  </r>
  <r>
    <s v="OI001273"/>
    <s v="O00738"/>
    <s v="PR003"/>
    <n v="1"/>
    <n v="0"/>
    <b v="0"/>
    <n v="2580"/>
    <x v="5"/>
    <n v="2580"/>
    <x v="403"/>
    <x v="225"/>
  </r>
  <r>
    <s v="OI001274"/>
    <s v="O00739"/>
    <s v="PR057"/>
    <n v="4"/>
    <n v="0.05"/>
    <b v="0"/>
    <n v="790"/>
    <x v="1"/>
    <n v="3002"/>
    <x v="382"/>
    <x v="110"/>
  </r>
  <r>
    <s v="OI001275"/>
    <s v="O00739"/>
    <s v="PR003"/>
    <n v="4"/>
    <n v="0.1"/>
    <b v="0"/>
    <n v="2580"/>
    <x v="5"/>
    <n v="9288"/>
    <x v="382"/>
    <x v="110"/>
  </r>
  <r>
    <s v="OI001276"/>
    <s v="O00739"/>
    <s v="PR032"/>
    <n v="2"/>
    <n v="0"/>
    <b v="0"/>
    <n v="4020"/>
    <x v="1"/>
    <n v="8040"/>
    <x v="382"/>
    <x v="110"/>
  </r>
  <r>
    <s v="OI001277"/>
    <s v="O00740"/>
    <s v="PR051"/>
    <n v="1"/>
    <n v="0"/>
    <b v="0"/>
    <n v="2190"/>
    <x v="4"/>
    <n v="2190"/>
    <x v="404"/>
    <x v="272"/>
  </r>
  <r>
    <s v="OI001278"/>
    <s v="O00740"/>
    <s v="PR002"/>
    <n v="1"/>
    <n v="0.15"/>
    <b v="0"/>
    <n v="1630"/>
    <x v="5"/>
    <n v="1385.5"/>
    <x v="404"/>
    <x v="272"/>
  </r>
  <r>
    <s v="OI001279"/>
    <s v="O00741"/>
    <s v="PR056"/>
    <n v="4"/>
    <n v="0.2"/>
    <b v="0"/>
    <n v="2920"/>
    <x v="3"/>
    <n v="9344"/>
    <x v="84"/>
    <x v="56"/>
  </r>
  <r>
    <s v="OI001280"/>
    <s v="O00741"/>
    <s v="PR064"/>
    <n v="5"/>
    <n v="0.1"/>
    <b v="0"/>
    <n v="360"/>
    <x v="5"/>
    <n v="1620"/>
    <x v="84"/>
    <x v="56"/>
  </r>
  <r>
    <s v="OI001281"/>
    <s v="O00741"/>
    <s v="PR071"/>
    <n v="3"/>
    <n v="0"/>
    <b v="0"/>
    <n v="2230"/>
    <x v="1"/>
    <n v="6690"/>
    <x v="84"/>
    <x v="56"/>
  </r>
  <r>
    <s v="OI001282"/>
    <s v="O00742"/>
    <s v="PR063"/>
    <n v="5"/>
    <n v="0.1"/>
    <b v="0"/>
    <n v="470"/>
    <x v="2"/>
    <n v="2115"/>
    <x v="65"/>
    <x v="24"/>
  </r>
  <r>
    <s v="OI001283"/>
    <s v="O00743"/>
    <s v="PR063"/>
    <n v="2"/>
    <n v="0.15"/>
    <b v="0"/>
    <n v="470"/>
    <x v="2"/>
    <n v="799"/>
    <x v="405"/>
    <x v="125"/>
  </r>
  <r>
    <s v="OI001284"/>
    <s v="O00743"/>
    <s v="PR008"/>
    <n v="5"/>
    <n v="0"/>
    <b v="0"/>
    <n v="2720"/>
    <x v="5"/>
    <n v="13600"/>
    <x v="405"/>
    <x v="125"/>
  </r>
  <r>
    <s v="OI001285"/>
    <s v="O00744"/>
    <s v="PR041"/>
    <n v="5"/>
    <n v="0"/>
    <b v="0"/>
    <n v="2690"/>
    <x v="5"/>
    <n v="13450"/>
    <x v="241"/>
    <x v="162"/>
  </r>
  <r>
    <s v="OI001286"/>
    <s v="O00745"/>
    <s v="PR054"/>
    <n v="4"/>
    <n v="0"/>
    <b v="0"/>
    <n v="2530"/>
    <x v="5"/>
    <n v="10120"/>
    <x v="406"/>
    <x v="278"/>
  </r>
  <r>
    <s v="OI001287"/>
    <s v="O00746"/>
    <s v="PR045"/>
    <n v="4"/>
    <n v="0.15"/>
    <b v="0"/>
    <n v="2250"/>
    <x v="3"/>
    <n v="7650"/>
    <x v="277"/>
    <x v="204"/>
  </r>
  <r>
    <s v="OI001288"/>
    <s v="O00747"/>
    <s v="PR021"/>
    <n v="3"/>
    <n v="0.15"/>
    <b v="0"/>
    <n v="3560"/>
    <x v="1"/>
    <n v="9078"/>
    <x v="309"/>
    <x v="172"/>
  </r>
  <r>
    <s v="OI001289"/>
    <s v="O00748"/>
    <s v="PR045"/>
    <n v="4"/>
    <n v="0"/>
    <b v="0"/>
    <n v="2250"/>
    <x v="3"/>
    <n v="9000"/>
    <x v="217"/>
    <x v="43"/>
  </r>
  <r>
    <s v="OI001290"/>
    <s v="O00749"/>
    <s v="PR076"/>
    <n v="3"/>
    <n v="0.1"/>
    <b v="0"/>
    <n v="2790"/>
    <x v="4"/>
    <n v="7533"/>
    <x v="27"/>
    <x v="250"/>
  </r>
  <r>
    <s v="OI001291"/>
    <s v="O00749"/>
    <s v="PR060"/>
    <n v="2"/>
    <n v="0"/>
    <b v="0"/>
    <n v="1910"/>
    <x v="2"/>
    <n v="3820"/>
    <x v="27"/>
    <x v="250"/>
  </r>
  <r>
    <s v="OI001292"/>
    <s v="O00750"/>
    <s v="PR050"/>
    <n v="4"/>
    <n v="0.2"/>
    <b v="0"/>
    <n v="99"/>
    <x v="5"/>
    <n v="316.8"/>
    <x v="407"/>
    <x v="245"/>
  </r>
  <r>
    <s v="OI001293"/>
    <s v="O00750"/>
    <s v="PR047"/>
    <n v="4"/>
    <n v="0.2"/>
    <b v="0"/>
    <n v="1250"/>
    <x v="1"/>
    <n v="4000"/>
    <x v="407"/>
    <x v="245"/>
  </r>
  <r>
    <s v="OI001294"/>
    <s v="O00751"/>
    <s v="PR021"/>
    <n v="5"/>
    <n v="0"/>
    <b v="0"/>
    <n v="3560"/>
    <x v="1"/>
    <n v="17800"/>
    <x v="408"/>
    <x v="98"/>
  </r>
  <r>
    <s v="OI001295"/>
    <s v="O00751"/>
    <s v="PR037"/>
    <n v="1"/>
    <n v="0.15"/>
    <b v="0"/>
    <n v="2050"/>
    <x v="2"/>
    <n v="1742.5"/>
    <x v="408"/>
    <x v="98"/>
  </r>
  <r>
    <s v="OI001296"/>
    <s v="O00751"/>
    <s v="PR062"/>
    <n v="2"/>
    <n v="0"/>
    <b v="0"/>
    <n v="1580"/>
    <x v="2"/>
    <n v="3160"/>
    <x v="408"/>
    <x v="98"/>
  </r>
  <r>
    <s v="OI001297"/>
    <s v="O00751"/>
    <s v="PR026"/>
    <n v="2"/>
    <n v="0.1"/>
    <b v="0"/>
    <n v="1930"/>
    <x v="3"/>
    <n v="3474"/>
    <x v="408"/>
    <x v="98"/>
  </r>
  <r>
    <s v="OI001298"/>
    <s v="O00752"/>
    <s v="PR054"/>
    <n v="4"/>
    <n v="0"/>
    <b v="0"/>
    <n v="2530"/>
    <x v="5"/>
    <n v="10120"/>
    <x v="409"/>
    <x v="46"/>
  </r>
  <r>
    <s v="OI001299"/>
    <s v="O00753"/>
    <s v="PR072"/>
    <n v="1"/>
    <n v="0"/>
    <b v="0"/>
    <n v="3650"/>
    <x v="0"/>
    <n v="3650"/>
    <x v="410"/>
    <x v="119"/>
  </r>
  <r>
    <s v="OI001300"/>
    <s v="O00754"/>
    <s v="PR034"/>
    <n v="3"/>
    <n v="0.15"/>
    <b v="1"/>
    <n v="530"/>
    <x v="5"/>
    <n v="1351.5"/>
    <x v="106"/>
    <x v="217"/>
  </r>
  <r>
    <s v="OI001301"/>
    <s v="O00755"/>
    <s v="PR065"/>
    <n v="1"/>
    <n v="0.2"/>
    <b v="0"/>
    <n v="2780"/>
    <x v="2"/>
    <n v="2224"/>
    <x v="191"/>
    <x v="178"/>
  </r>
  <r>
    <s v="OI001302"/>
    <s v="O00756"/>
    <s v="PR056"/>
    <n v="1"/>
    <n v="0.1"/>
    <b v="0"/>
    <n v="2920"/>
    <x v="3"/>
    <n v="2628"/>
    <x v="411"/>
    <x v="279"/>
  </r>
  <r>
    <s v="OI001303"/>
    <s v="O00757"/>
    <s v="PR072"/>
    <n v="2"/>
    <n v="0.05"/>
    <b v="0"/>
    <n v="3650"/>
    <x v="0"/>
    <n v="6935"/>
    <x v="412"/>
    <x v="107"/>
  </r>
  <r>
    <s v="OI001304"/>
    <s v="O00758"/>
    <s v="PR044"/>
    <n v="3"/>
    <n v="0.2"/>
    <b v="0"/>
    <n v="1440"/>
    <x v="1"/>
    <n v="3456"/>
    <x v="413"/>
    <x v="93"/>
  </r>
  <r>
    <s v="OI001305"/>
    <s v="O00759"/>
    <s v="PR072"/>
    <n v="3"/>
    <n v="0"/>
    <b v="0"/>
    <n v="3650"/>
    <x v="0"/>
    <n v="10950"/>
    <x v="405"/>
    <x v="230"/>
  </r>
  <r>
    <s v="OI001306"/>
    <s v="O00760"/>
    <s v="PR066"/>
    <n v="5"/>
    <n v="0.15"/>
    <b v="0"/>
    <n v="3430"/>
    <x v="0"/>
    <n v="14577.5"/>
    <x v="15"/>
    <x v="140"/>
  </r>
  <r>
    <s v="OI001307"/>
    <s v="O00760"/>
    <s v="PR014"/>
    <n v="1"/>
    <n v="0.05"/>
    <b v="0"/>
    <n v="99"/>
    <x v="4"/>
    <n v="94.05"/>
    <x v="15"/>
    <x v="140"/>
  </r>
  <r>
    <s v="OI001308"/>
    <s v="O00760"/>
    <s v="PR059"/>
    <n v="1"/>
    <n v="0"/>
    <b v="0"/>
    <n v="2200"/>
    <x v="4"/>
    <n v="2200"/>
    <x v="15"/>
    <x v="140"/>
  </r>
  <r>
    <s v="OI001309"/>
    <s v="O00761"/>
    <s v="PR079"/>
    <n v="1"/>
    <n v="0.2"/>
    <b v="0"/>
    <n v="1910"/>
    <x v="2"/>
    <n v="1528"/>
    <x v="414"/>
    <x v="68"/>
  </r>
  <r>
    <s v="OI001310"/>
    <s v="O00761"/>
    <s v="PR072"/>
    <n v="1"/>
    <n v="0.1"/>
    <b v="0"/>
    <n v="3650"/>
    <x v="0"/>
    <n v="3285"/>
    <x v="414"/>
    <x v="68"/>
  </r>
  <r>
    <s v="OI001311"/>
    <s v="O00762"/>
    <s v="PR005"/>
    <n v="1"/>
    <n v="0.2"/>
    <b v="0"/>
    <n v="1520"/>
    <x v="4"/>
    <n v="1216"/>
    <x v="0"/>
    <x v="169"/>
  </r>
  <r>
    <s v="OI001312"/>
    <s v="O00763"/>
    <s v="PR047"/>
    <n v="2"/>
    <n v="0.15"/>
    <b v="0"/>
    <n v="1250"/>
    <x v="1"/>
    <n v="2125"/>
    <x v="35"/>
    <x v="234"/>
  </r>
  <r>
    <s v="OI001313"/>
    <s v="O00764"/>
    <s v="PR057"/>
    <n v="5"/>
    <n v="0.05"/>
    <b v="0"/>
    <n v="790"/>
    <x v="1"/>
    <n v="3752.5"/>
    <x v="36"/>
    <x v="119"/>
  </r>
  <r>
    <s v="OI001314"/>
    <s v="O00765"/>
    <s v="PR013"/>
    <n v="2"/>
    <n v="0.15"/>
    <b v="0"/>
    <n v="2090"/>
    <x v="5"/>
    <n v="3553"/>
    <x v="415"/>
    <x v="142"/>
  </r>
  <r>
    <s v="OI001315"/>
    <s v="O00765"/>
    <s v="PR047"/>
    <n v="3"/>
    <n v="0.2"/>
    <b v="0"/>
    <n v="1250"/>
    <x v="1"/>
    <n v="3000"/>
    <x v="415"/>
    <x v="142"/>
  </r>
  <r>
    <s v="OI001316"/>
    <s v="O00766"/>
    <s v="PR026"/>
    <n v="4"/>
    <n v="0.05"/>
    <b v="0"/>
    <n v="1930"/>
    <x v="3"/>
    <n v="7334"/>
    <x v="190"/>
    <x v="266"/>
  </r>
  <r>
    <s v="OI001317"/>
    <s v="O00767"/>
    <s v="PR001"/>
    <n v="2"/>
    <n v="0.2"/>
    <b v="0"/>
    <n v="2400"/>
    <x v="4"/>
    <n v="3840"/>
    <x v="403"/>
    <x v="93"/>
  </r>
  <r>
    <s v="OI001318"/>
    <s v="O00767"/>
    <s v="PR061"/>
    <n v="3"/>
    <n v="0"/>
    <b v="0"/>
    <n v="1220"/>
    <x v="3"/>
    <n v="3660"/>
    <x v="403"/>
    <x v="93"/>
  </r>
  <r>
    <s v="OI001319"/>
    <s v="O00768"/>
    <s v="PR011"/>
    <n v="3"/>
    <n v="0"/>
    <b v="0"/>
    <n v="1240"/>
    <x v="2"/>
    <n v="3720"/>
    <x v="260"/>
    <x v="236"/>
  </r>
  <r>
    <s v="OI001320"/>
    <s v="O00768"/>
    <s v="PR054"/>
    <n v="3"/>
    <n v="0.15"/>
    <b v="0"/>
    <n v="2530"/>
    <x v="5"/>
    <n v="6451.5"/>
    <x v="260"/>
    <x v="236"/>
  </r>
  <r>
    <s v="OI001321"/>
    <s v="O00769"/>
    <s v="PR020"/>
    <n v="5"/>
    <n v="0.05"/>
    <b v="0"/>
    <n v="110"/>
    <x v="3"/>
    <n v="522.5"/>
    <x v="381"/>
    <x v="68"/>
  </r>
  <r>
    <s v="OI001322"/>
    <s v="O00769"/>
    <s v="PR030"/>
    <n v="2"/>
    <n v="0.2"/>
    <b v="0"/>
    <n v="1440"/>
    <x v="1"/>
    <n v="2304"/>
    <x v="381"/>
    <x v="68"/>
  </r>
  <r>
    <s v="OI001323"/>
    <s v="O00770"/>
    <s v="PR053"/>
    <n v="4"/>
    <n v="0.2"/>
    <b v="0"/>
    <n v="990"/>
    <x v="0"/>
    <n v="3168"/>
    <x v="97"/>
    <x v="159"/>
  </r>
  <r>
    <s v="OI001324"/>
    <s v="O00771"/>
    <s v="PR047"/>
    <n v="1"/>
    <n v="0.05"/>
    <b v="0"/>
    <n v="1250"/>
    <x v="1"/>
    <n v="1187.5"/>
    <x v="16"/>
    <x v="259"/>
  </r>
  <r>
    <s v="OI001325"/>
    <s v="O00771"/>
    <s v="PR019"/>
    <n v="1"/>
    <n v="0.15"/>
    <b v="0"/>
    <n v="710"/>
    <x v="1"/>
    <n v="603.5"/>
    <x v="16"/>
    <x v="259"/>
  </r>
  <r>
    <s v="OI001326"/>
    <s v="O00772"/>
    <s v="PR009"/>
    <n v="1"/>
    <n v="0"/>
    <b v="0"/>
    <n v="1240"/>
    <x v="5"/>
    <n v="1240"/>
    <x v="410"/>
    <x v="12"/>
  </r>
  <r>
    <s v="OI001327"/>
    <s v="O00772"/>
    <s v="PR041"/>
    <n v="4"/>
    <n v="0.2"/>
    <b v="0"/>
    <n v="2690"/>
    <x v="5"/>
    <n v="8608"/>
    <x v="410"/>
    <x v="12"/>
  </r>
  <r>
    <s v="OI001328"/>
    <s v="O00772"/>
    <s v="PR022"/>
    <n v="4"/>
    <n v="0"/>
    <b v="0"/>
    <n v="1530"/>
    <x v="5"/>
    <n v="6120"/>
    <x v="410"/>
    <x v="12"/>
  </r>
  <r>
    <s v="OI001329"/>
    <s v="O00773"/>
    <s v="PR005"/>
    <n v="2"/>
    <n v="0.1"/>
    <b v="0"/>
    <n v="1520"/>
    <x v="4"/>
    <n v="2736"/>
    <x v="416"/>
    <x v="81"/>
  </r>
  <r>
    <s v="OI001330"/>
    <s v="O00774"/>
    <s v="PR005"/>
    <n v="5"/>
    <n v="0"/>
    <b v="0"/>
    <n v="1520"/>
    <x v="4"/>
    <n v="7600"/>
    <x v="351"/>
    <x v="276"/>
  </r>
  <r>
    <s v="OI001331"/>
    <s v="O00775"/>
    <s v="PR071"/>
    <n v="3"/>
    <n v="0.15"/>
    <b v="0"/>
    <n v="2230"/>
    <x v="1"/>
    <n v="5686.5"/>
    <x v="62"/>
    <x v="55"/>
  </r>
  <r>
    <s v="OI001332"/>
    <s v="O00776"/>
    <s v="PR045"/>
    <n v="1"/>
    <n v="0.2"/>
    <b v="0"/>
    <n v="2250"/>
    <x v="3"/>
    <n v="1800"/>
    <x v="253"/>
    <x v="280"/>
  </r>
  <r>
    <s v="OI001333"/>
    <s v="O00776"/>
    <s v="PR036"/>
    <n v="5"/>
    <n v="0.1"/>
    <b v="0"/>
    <n v="330"/>
    <x v="0"/>
    <n v="1485"/>
    <x v="253"/>
    <x v="280"/>
  </r>
  <r>
    <s v="OI001334"/>
    <s v="O00777"/>
    <s v="PR052"/>
    <n v="4"/>
    <n v="0.15"/>
    <b v="0"/>
    <n v="1340"/>
    <x v="4"/>
    <n v="4556"/>
    <x v="417"/>
    <x v="36"/>
  </r>
  <r>
    <s v="OI001335"/>
    <s v="O00777"/>
    <s v="PR027"/>
    <n v="5"/>
    <n v="0.1"/>
    <b v="0"/>
    <n v="420"/>
    <x v="5"/>
    <n v="1890"/>
    <x v="417"/>
    <x v="36"/>
  </r>
  <r>
    <s v="OI001336"/>
    <s v="O00777"/>
    <s v="PR080"/>
    <n v="4"/>
    <n v="0.15"/>
    <b v="0"/>
    <n v="99"/>
    <x v="1"/>
    <n v="336.59999999999997"/>
    <x v="417"/>
    <x v="36"/>
  </r>
  <r>
    <s v="OI001337"/>
    <s v="O00778"/>
    <s v="PR052"/>
    <n v="2"/>
    <n v="0"/>
    <b v="0"/>
    <n v="1340"/>
    <x v="4"/>
    <n v="2680"/>
    <x v="418"/>
    <x v="112"/>
  </r>
  <r>
    <s v="OI001338"/>
    <s v="O00779"/>
    <s v="PR069"/>
    <n v="3"/>
    <n v="0.05"/>
    <b v="0"/>
    <n v="2230"/>
    <x v="3"/>
    <n v="6355.5"/>
    <x v="312"/>
    <x v="62"/>
  </r>
  <r>
    <s v="OI001339"/>
    <s v="O00780"/>
    <s v="PR017"/>
    <n v="5"/>
    <n v="0.1"/>
    <b v="0"/>
    <n v="580"/>
    <x v="0"/>
    <n v="2610"/>
    <x v="97"/>
    <x v="20"/>
  </r>
  <r>
    <s v="OI001340"/>
    <s v="O00780"/>
    <s v="PR037"/>
    <n v="2"/>
    <n v="0"/>
    <b v="0"/>
    <n v="2050"/>
    <x v="2"/>
    <n v="4100"/>
    <x v="97"/>
    <x v="20"/>
  </r>
  <r>
    <s v="OI001341"/>
    <s v="O00781"/>
    <s v="PR040"/>
    <n v="5"/>
    <n v="0"/>
    <b v="0"/>
    <n v="2040"/>
    <x v="0"/>
    <n v="10200"/>
    <x v="419"/>
    <x v="231"/>
  </r>
  <r>
    <s v="OI001342"/>
    <s v="O00781"/>
    <s v="PR021"/>
    <n v="1"/>
    <n v="0"/>
    <b v="0"/>
    <n v="3560"/>
    <x v="1"/>
    <n v="3560"/>
    <x v="419"/>
    <x v="231"/>
  </r>
  <r>
    <s v="OI001343"/>
    <s v="O00782"/>
    <s v="PR070"/>
    <n v="5"/>
    <n v="0"/>
    <b v="0"/>
    <n v="1030"/>
    <x v="5"/>
    <n v="5150"/>
    <x v="314"/>
    <x v="151"/>
  </r>
  <r>
    <s v="OI001344"/>
    <s v="O00782"/>
    <s v="PR031"/>
    <n v="3"/>
    <n v="0.15"/>
    <b v="0"/>
    <n v="1080"/>
    <x v="3"/>
    <n v="2754"/>
    <x v="314"/>
    <x v="151"/>
  </r>
  <r>
    <s v="OI001345"/>
    <s v="O00782"/>
    <s v="PR055"/>
    <n v="5"/>
    <n v="0"/>
    <b v="0"/>
    <n v="3040"/>
    <x v="4"/>
    <n v="15200"/>
    <x v="314"/>
    <x v="151"/>
  </r>
  <r>
    <s v="OI001346"/>
    <s v="O00783"/>
    <s v="PR048"/>
    <n v="3"/>
    <n v="0.15"/>
    <b v="0"/>
    <n v="3070"/>
    <x v="2"/>
    <n v="7828.5"/>
    <x v="232"/>
    <x v="35"/>
  </r>
  <r>
    <s v="OI001347"/>
    <s v="O00783"/>
    <s v="PR065"/>
    <n v="3"/>
    <n v="0"/>
    <b v="0"/>
    <n v="2780"/>
    <x v="2"/>
    <n v="8340"/>
    <x v="232"/>
    <x v="35"/>
  </r>
  <r>
    <s v="OI001348"/>
    <s v="O00784"/>
    <s v="PR016"/>
    <n v="4"/>
    <n v="0"/>
    <b v="0"/>
    <n v="1130"/>
    <x v="0"/>
    <n v="4520"/>
    <x v="81"/>
    <x v="156"/>
  </r>
  <r>
    <s v="OI001349"/>
    <s v="O00785"/>
    <s v="PR001"/>
    <n v="4"/>
    <n v="0"/>
    <b v="0"/>
    <n v="2400"/>
    <x v="4"/>
    <n v="9600"/>
    <x v="335"/>
    <x v="211"/>
  </r>
  <r>
    <s v="OI001350"/>
    <s v="O00785"/>
    <s v="PR031"/>
    <n v="3"/>
    <n v="0.1"/>
    <b v="1"/>
    <n v="1080"/>
    <x v="3"/>
    <n v="2916"/>
    <x v="335"/>
    <x v="211"/>
  </r>
  <r>
    <s v="OI001351"/>
    <s v="O00786"/>
    <s v="PR005"/>
    <n v="5"/>
    <n v="0.2"/>
    <b v="0"/>
    <n v="1520"/>
    <x v="4"/>
    <n v="6080"/>
    <x v="125"/>
    <x v="251"/>
  </r>
  <r>
    <s v="OI001352"/>
    <s v="O00786"/>
    <s v="PR077"/>
    <n v="2"/>
    <n v="0"/>
    <b v="0"/>
    <n v="1900"/>
    <x v="5"/>
    <n v="3800"/>
    <x v="125"/>
    <x v="251"/>
  </r>
  <r>
    <s v="OI001353"/>
    <s v="O00787"/>
    <s v="PR074"/>
    <n v="2"/>
    <n v="0.15"/>
    <b v="0"/>
    <n v="3680"/>
    <x v="3"/>
    <n v="6256"/>
    <x v="420"/>
    <x v="89"/>
  </r>
  <r>
    <s v="OI001354"/>
    <s v="O00788"/>
    <s v="PR032"/>
    <n v="1"/>
    <n v="0"/>
    <b v="0"/>
    <n v="4020"/>
    <x v="1"/>
    <n v="4020"/>
    <x v="421"/>
    <x v="281"/>
  </r>
  <r>
    <s v="OI001355"/>
    <s v="O00789"/>
    <s v="PR025"/>
    <n v="3"/>
    <n v="0.05"/>
    <b v="0"/>
    <n v="1150"/>
    <x v="2"/>
    <n v="3277.5"/>
    <x v="115"/>
    <x v="199"/>
  </r>
  <r>
    <s v="OI001356"/>
    <s v="O00789"/>
    <s v="PR013"/>
    <n v="2"/>
    <n v="0.15"/>
    <b v="0"/>
    <n v="2090"/>
    <x v="5"/>
    <n v="3553"/>
    <x v="115"/>
    <x v="199"/>
  </r>
  <r>
    <s v="OI001357"/>
    <s v="O00790"/>
    <s v="PR053"/>
    <n v="1"/>
    <n v="0"/>
    <b v="0"/>
    <n v="990"/>
    <x v="0"/>
    <n v="990"/>
    <x v="380"/>
    <x v="169"/>
  </r>
  <r>
    <s v="OI001358"/>
    <s v="O00791"/>
    <s v="PR017"/>
    <n v="4"/>
    <n v="0"/>
    <b v="0"/>
    <n v="580"/>
    <x v="0"/>
    <n v="2320"/>
    <x v="274"/>
    <x v="201"/>
  </r>
  <r>
    <s v="OI001359"/>
    <s v="O00792"/>
    <s v="PR048"/>
    <n v="5"/>
    <n v="0.05"/>
    <b v="0"/>
    <n v="3070"/>
    <x v="2"/>
    <n v="14582.5"/>
    <x v="339"/>
    <x v="196"/>
  </r>
  <r>
    <s v="OI001360"/>
    <s v="O00793"/>
    <s v="PR067"/>
    <n v="4"/>
    <n v="0.2"/>
    <b v="0"/>
    <n v="1710"/>
    <x v="3"/>
    <n v="5472"/>
    <x v="36"/>
    <x v="206"/>
  </r>
  <r>
    <s v="OI001361"/>
    <s v="O00793"/>
    <s v="PR034"/>
    <n v="5"/>
    <n v="0.05"/>
    <b v="0"/>
    <n v="530"/>
    <x v="5"/>
    <n v="2517.5"/>
    <x v="36"/>
    <x v="206"/>
  </r>
  <r>
    <s v="OI001362"/>
    <s v="O00794"/>
    <s v="PR057"/>
    <n v="4"/>
    <n v="0.15"/>
    <b v="0"/>
    <n v="790"/>
    <x v="1"/>
    <n v="2686"/>
    <x v="422"/>
    <x v="282"/>
  </r>
  <r>
    <s v="OI001363"/>
    <s v="O00794"/>
    <s v="PR054"/>
    <n v="2"/>
    <n v="0"/>
    <b v="0"/>
    <n v="2530"/>
    <x v="5"/>
    <n v="5060"/>
    <x v="422"/>
    <x v="282"/>
  </r>
  <r>
    <s v="OI001364"/>
    <s v="O00795"/>
    <s v="PR063"/>
    <n v="4"/>
    <n v="0"/>
    <b v="0"/>
    <n v="470"/>
    <x v="2"/>
    <n v="1880"/>
    <x v="150"/>
    <x v="232"/>
  </r>
  <r>
    <s v="OI001365"/>
    <s v="O00795"/>
    <s v="PR066"/>
    <n v="5"/>
    <n v="0"/>
    <b v="0"/>
    <n v="3430"/>
    <x v="0"/>
    <n v="17150"/>
    <x v="150"/>
    <x v="232"/>
  </r>
  <r>
    <s v="OI001366"/>
    <s v="O00796"/>
    <s v="PR059"/>
    <n v="4"/>
    <n v="0"/>
    <b v="0"/>
    <n v="2200"/>
    <x v="4"/>
    <n v="8800"/>
    <x v="208"/>
    <x v="265"/>
  </r>
  <r>
    <s v="OI001367"/>
    <s v="O00796"/>
    <s v="PR021"/>
    <n v="5"/>
    <n v="0"/>
    <b v="0"/>
    <n v="3560"/>
    <x v="1"/>
    <n v="17800"/>
    <x v="208"/>
    <x v="265"/>
  </r>
  <r>
    <s v="OI001368"/>
    <s v="O00797"/>
    <s v="PR016"/>
    <n v="5"/>
    <n v="0.2"/>
    <b v="0"/>
    <n v="1130"/>
    <x v="0"/>
    <n v="4520"/>
    <x v="323"/>
    <x v="124"/>
  </r>
  <r>
    <s v="OI001369"/>
    <s v="O00797"/>
    <s v="PR053"/>
    <n v="1"/>
    <n v="0"/>
    <b v="0"/>
    <n v="990"/>
    <x v="0"/>
    <n v="990"/>
    <x v="323"/>
    <x v="124"/>
  </r>
  <r>
    <s v="OI001370"/>
    <s v="O00797"/>
    <s v="PR048"/>
    <n v="5"/>
    <n v="0"/>
    <b v="0"/>
    <n v="3070"/>
    <x v="2"/>
    <n v="15350"/>
    <x v="323"/>
    <x v="124"/>
  </r>
  <r>
    <s v="OI001371"/>
    <s v="O00798"/>
    <s v="PR020"/>
    <n v="1"/>
    <n v="0"/>
    <b v="0"/>
    <n v="110"/>
    <x v="3"/>
    <n v="110"/>
    <x v="215"/>
    <x v="54"/>
  </r>
  <r>
    <s v="OI001372"/>
    <s v="O00799"/>
    <s v="PR048"/>
    <n v="3"/>
    <n v="0"/>
    <b v="0"/>
    <n v="3070"/>
    <x v="2"/>
    <n v="9210"/>
    <x v="203"/>
    <x v="183"/>
  </r>
  <r>
    <s v="OI001373"/>
    <s v="O00800"/>
    <s v="PR019"/>
    <n v="2"/>
    <n v="0.2"/>
    <b v="0"/>
    <n v="710"/>
    <x v="1"/>
    <n v="1136"/>
    <x v="0"/>
    <x v="118"/>
  </r>
  <r>
    <s v="OI001374"/>
    <s v="O00801"/>
    <s v="PR007"/>
    <n v="3"/>
    <n v="0"/>
    <b v="0"/>
    <n v="5550"/>
    <x v="3"/>
    <n v="16650"/>
    <x v="423"/>
    <x v="70"/>
  </r>
  <r>
    <s v="OI001375"/>
    <s v="O00801"/>
    <s v="PR028"/>
    <n v="2"/>
    <n v="0.2"/>
    <b v="0"/>
    <n v="2250"/>
    <x v="3"/>
    <n v="3600"/>
    <x v="423"/>
    <x v="70"/>
  </r>
  <r>
    <s v="OI001376"/>
    <s v="O00802"/>
    <s v="PR001"/>
    <n v="1"/>
    <n v="0.1"/>
    <b v="0"/>
    <n v="2400"/>
    <x v="4"/>
    <n v="2160"/>
    <x v="89"/>
    <x v="28"/>
  </r>
  <r>
    <s v="OI001377"/>
    <s v="O00802"/>
    <s v="PR045"/>
    <n v="1"/>
    <n v="0.2"/>
    <b v="0"/>
    <n v="2250"/>
    <x v="3"/>
    <n v="1800"/>
    <x v="89"/>
    <x v="28"/>
  </r>
  <r>
    <s v="OI001378"/>
    <s v="O00803"/>
    <s v="PR062"/>
    <n v="5"/>
    <n v="0"/>
    <b v="0"/>
    <n v="1580"/>
    <x v="2"/>
    <n v="7900"/>
    <x v="320"/>
    <x v="99"/>
  </r>
  <r>
    <s v="OI001379"/>
    <s v="O00804"/>
    <s v="PR044"/>
    <n v="4"/>
    <n v="0.05"/>
    <b v="0"/>
    <n v="1440"/>
    <x v="1"/>
    <n v="5472"/>
    <x v="370"/>
    <x v="181"/>
  </r>
  <r>
    <s v="OI001380"/>
    <s v="O00804"/>
    <s v="PR078"/>
    <n v="2"/>
    <n v="0.2"/>
    <b v="0"/>
    <n v="1440"/>
    <x v="3"/>
    <n v="2304"/>
    <x v="370"/>
    <x v="181"/>
  </r>
  <r>
    <s v="OI001381"/>
    <s v="O00805"/>
    <s v="PR059"/>
    <n v="4"/>
    <n v="0.15"/>
    <b v="0"/>
    <n v="2200"/>
    <x v="4"/>
    <n v="7480"/>
    <x v="12"/>
    <x v="35"/>
  </r>
  <r>
    <s v="OI001382"/>
    <s v="O00806"/>
    <s v="PR042"/>
    <n v="1"/>
    <n v="0.2"/>
    <b v="0"/>
    <n v="2010"/>
    <x v="5"/>
    <n v="1608"/>
    <x v="122"/>
    <x v="248"/>
  </r>
  <r>
    <s v="OI001383"/>
    <s v="O00807"/>
    <s v="PR080"/>
    <n v="4"/>
    <n v="0.05"/>
    <b v="0"/>
    <n v="99"/>
    <x v="1"/>
    <n v="376.2"/>
    <x v="30"/>
    <x v="92"/>
  </r>
  <r>
    <s v="OI001384"/>
    <s v="O00807"/>
    <s v="PR030"/>
    <n v="4"/>
    <n v="0"/>
    <b v="0"/>
    <n v="1440"/>
    <x v="1"/>
    <n v="5760"/>
    <x v="30"/>
    <x v="92"/>
  </r>
  <r>
    <s v="OI001385"/>
    <s v="O00808"/>
    <s v="PR057"/>
    <n v="3"/>
    <n v="0.15"/>
    <b v="0"/>
    <n v="790"/>
    <x v="1"/>
    <n v="2014.5"/>
    <x v="424"/>
    <x v="42"/>
  </r>
  <r>
    <s v="OI001386"/>
    <s v="O00808"/>
    <s v="PR012"/>
    <n v="2"/>
    <n v="0.15"/>
    <b v="0"/>
    <n v="1240"/>
    <x v="2"/>
    <n v="2108"/>
    <x v="424"/>
    <x v="42"/>
  </r>
  <r>
    <s v="OI001387"/>
    <s v="O00809"/>
    <s v="PR005"/>
    <n v="3"/>
    <n v="0.1"/>
    <b v="0"/>
    <n v="1520"/>
    <x v="4"/>
    <n v="4104"/>
    <x v="298"/>
    <x v="204"/>
  </r>
  <r>
    <s v="OI001388"/>
    <s v="O00810"/>
    <s v="PR072"/>
    <n v="1"/>
    <n v="0"/>
    <b v="0"/>
    <n v="3650"/>
    <x v="0"/>
    <n v="3650"/>
    <x v="54"/>
    <x v="28"/>
  </r>
  <r>
    <s v="OI001389"/>
    <s v="O00810"/>
    <s v="PR080"/>
    <n v="5"/>
    <n v="0.1"/>
    <b v="0"/>
    <n v="99"/>
    <x v="1"/>
    <n v="445.5"/>
    <x v="54"/>
    <x v="28"/>
  </r>
  <r>
    <s v="OI001390"/>
    <s v="O00811"/>
    <s v="PR073"/>
    <n v="5"/>
    <n v="0"/>
    <b v="0"/>
    <n v="1760"/>
    <x v="0"/>
    <n v="8800"/>
    <x v="198"/>
    <x v="139"/>
  </r>
  <r>
    <s v="OI001391"/>
    <s v="O00811"/>
    <s v="PR061"/>
    <n v="5"/>
    <n v="0"/>
    <b v="0"/>
    <n v="1220"/>
    <x v="3"/>
    <n v="6100"/>
    <x v="198"/>
    <x v="139"/>
  </r>
  <r>
    <s v="OI001392"/>
    <s v="O00812"/>
    <s v="PR069"/>
    <n v="2"/>
    <n v="0"/>
    <b v="0"/>
    <n v="2230"/>
    <x v="3"/>
    <n v="4460"/>
    <x v="425"/>
    <x v="255"/>
  </r>
  <r>
    <s v="OI001393"/>
    <s v="O00813"/>
    <s v="PR027"/>
    <n v="2"/>
    <n v="0.2"/>
    <b v="0"/>
    <n v="420"/>
    <x v="5"/>
    <n v="672"/>
    <x v="426"/>
    <x v="132"/>
  </r>
  <r>
    <s v="OI001394"/>
    <s v="O00814"/>
    <s v="PR075"/>
    <n v="4"/>
    <n v="0"/>
    <b v="0"/>
    <n v="1475"/>
    <x v="0"/>
    <n v="5900"/>
    <x v="286"/>
    <x v="26"/>
  </r>
  <r>
    <s v="OI001395"/>
    <s v="O00814"/>
    <s v="PR069"/>
    <n v="5"/>
    <n v="0"/>
    <b v="0"/>
    <n v="2230"/>
    <x v="3"/>
    <n v="11150"/>
    <x v="286"/>
    <x v="26"/>
  </r>
  <r>
    <s v="OI001396"/>
    <s v="O00815"/>
    <s v="PR006"/>
    <n v="4"/>
    <n v="0.2"/>
    <b v="0"/>
    <n v="1520"/>
    <x v="0"/>
    <n v="4864"/>
    <x v="200"/>
    <x v="258"/>
  </r>
  <r>
    <s v="OI001397"/>
    <s v="O00816"/>
    <s v="PR044"/>
    <n v="4"/>
    <n v="0"/>
    <b v="0"/>
    <n v="1440"/>
    <x v="1"/>
    <n v="5760"/>
    <x v="8"/>
    <x v="161"/>
  </r>
  <r>
    <s v="OI001398"/>
    <s v="O00816"/>
    <s v="PR054"/>
    <n v="1"/>
    <n v="0.2"/>
    <b v="0"/>
    <n v="2530"/>
    <x v="5"/>
    <n v="2024"/>
    <x v="8"/>
    <x v="161"/>
  </r>
  <r>
    <s v="OI001399"/>
    <s v="O00816"/>
    <s v="PR068"/>
    <n v="3"/>
    <n v="0.05"/>
    <b v="0"/>
    <n v="3000"/>
    <x v="3"/>
    <n v="8550"/>
    <x v="8"/>
    <x v="161"/>
  </r>
  <r>
    <s v="OI001400"/>
    <s v="O00817"/>
    <s v="PR015"/>
    <n v="3"/>
    <n v="0.1"/>
    <b v="1"/>
    <n v="1765"/>
    <x v="5"/>
    <n v="4765.5"/>
    <x v="9"/>
    <x v="270"/>
  </r>
  <r>
    <s v="OI001401"/>
    <s v="O00818"/>
    <s v="PR019"/>
    <n v="2"/>
    <n v="0"/>
    <b v="0"/>
    <n v="710"/>
    <x v="1"/>
    <n v="1420"/>
    <x v="215"/>
    <x v="206"/>
  </r>
  <r>
    <s v="OI001402"/>
    <s v="O00819"/>
    <s v="PR020"/>
    <n v="3"/>
    <n v="0.05"/>
    <b v="0"/>
    <n v="110"/>
    <x v="3"/>
    <n v="313.5"/>
    <x v="195"/>
    <x v="24"/>
  </r>
  <r>
    <s v="OI001403"/>
    <s v="O00819"/>
    <s v="PR022"/>
    <n v="1"/>
    <n v="0.1"/>
    <b v="0"/>
    <n v="1530"/>
    <x v="5"/>
    <n v="1377"/>
    <x v="195"/>
    <x v="24"/>
  </r>
  <r>
    <s v="OI001404"/>
    <s v="O00820"/>
    <s v="PR024"/>
    <n v="1"/>
    <n v="0.15"/>
    <b v="0"/>
    <n v="99"/>
    <x v="4"/>
    <n v="84.149999999999991"/>
    <x v="218"/>
    <x v="103"/>
  </r>
  <r>
    <s v="OI001405"/>
    <s v="O00820"/>
    <s v="PR008"/>
    <n v="3"/>
    <n v="0.05"/>
    <b v="0"/>
    <n v="2720"/>
    <x v="5"/>
    <n v="7752"/>
    <x v="218"/>
    <x v="103"/>
  </r>
  <r>
    <s v="OI001406"/>
    <s v="O00820"/>
    <s v="PR013"/>
    <n v="3"/>
    <n v="0"/>
    <b v="0"/>
    <n v="2090"/>
    <x v="5"/>
    <n v="6270"/>
    <x v="218"/>
    <x v="103"/>
  </r>
  <r>
    <s v="OI001407"/>
    <s v="O00820"/>
    <s v="PR053"/>
    <n v="3"/>
    <n v="0"/>
    <b v="0"/>
    <n v="990"/>
    <x v="0"/>
    <n v="2970"/>
    <x v="218"/>
    <x v="103"/>
  </r>
  <r>
    <s v="OI001408"/>
    <s v="O00821"/>
    <s v="PR016"/>
    <n v="1"/>
    <n v="0"/>
    <b v="0"/>
    <n v="1130"/>
    <x v="0"/>
    <n v="1130"/>
    <x v="307"/>
    <x v="227"/>
  </r>
  <r>
    <s v="OI001409"/>
    <s v="O00822"/>
    <s v="PR077"/>
    <n v="5"/>
    <n v="0"/>
    <b v="0"/>
    <n v="1900"/>
    <x v="5"/>
    <n v="9500"/>
    <x v="427"/>
    <x v="49"/>
  </r>
  <r>
    <s v="OI001410"/>
    <s v="O00823"/>
    <s v="PR065"/>
    <n v="4"/>
    <n v="0"/>
    <b v="0"/>
    <n v="2780"/>
    <x v="2"/>
    <n v="11120"/>
    <x v="390"/>
    <x v="271"/>
  </r>
  <r>
    <s v="OI001411"/>
    <s v="O00824"/>
    <s v="PR041"/>
    <n v="4"/>
    <n v="0.1"/>
    <b v="0"/>
    <n v="2690"/>
    <x v="5"/>
    <n v="9684"/>
    <x v="428"/>
    <x v="38"/>
  </r>
  <r>
    <s v="OI001412"/>
    <s v="O00825"/>
    <s v="PR062"/>
    <n v="1"/>
    <n v="0.05"/>
    <b v="0"/>
    <n v="1580"/>
    <x v="2"/>
    <n v="1501"/>
    <x v="187"/>
    <x v="38"/>
  </r>
  <r>
    <s v="OI001413"/>
    <s v="O00826"/>
    <s v="PR003"/>
    <n v="3"/>
    <n v="0.1"/>
    <b v="0"/>
    <n v="2580"/>
    <x v="5"/>
    <n v="6966"/>
    <x v="136"/>
    <x v="282"/>
  </r>
  <r>
    <s v="OI001414"/>
    <s v="O00826"/>
    <s v="PR076"/>
    <n v="1"/>
    <n v="0"/>
    <b v="0"/>
    <n v="2790"/>
    <x v="4"/>
    <n v="2790"/>
    <x v="136"/>
    <x v="282"/>
  </r>
  <r>
    <s v="OI001415"/>
    <s v="O00827"/>
    <s v="PR017"/>
    <n v="3"/>
    <n v="0.1"/>
    <b v="0"/>
    <n v="580"/>
    <x v="0"/>
    <n v="1566"/>
    <x v="261"/>
    <x v="248"/>
  </r>
  <r>
    <s v="OI001416"/>
    <s v="O00827"/>
    <s v="PR053"/>
    <n v="4"/>
    <n v="0"/>
    <b v="0"/>
    <n v="990"/>
    <x v="0"/>
    <n v="3960"/>
    <x v="261"/>
    <x v="248"/>
  </r>
  <r>
    <s v="OI001417"/>
    <s v="O00828"/>
    <s v="PR065"/>
    <n v="2"/>
    <n v="0.2"/>
    <b v="0"/>
    <n v="2780"/>
    <x v="2"/>
    <n v="4448"/>
    <x v="209"/>
    <x v="90"/>
  </r>
  <r>
    <s v="OI001418"/>
    <s v="O00828"/>
    <s v="PR019"/>
    <n v="3"/>
    <n v="0.1"/>
    <b v="0"/>
    <n v="710"/>
    <x v="1"/>
    <n v="1917"/>
    <x v="209"/>
    <x v="90"/>
  </r>
  <r>
    <s v="OI001419"/>
    <s v="O00828"/>
    <s v="PR022"/>
    <n v="2"/>
    <n v="0.1"/>
    <b v="0"/>
    <n v="1530"/>
    <x v="5"/>
    <n v="2754"/>
    <x v="209"/>
    <x v="90"/>
  </r>
  <r>
    <s v="OI001420"/>
    <s v="O00829"/>
    <s v="PR072"/>
    <n v="4"/>
    <n v="0"/>
    <b v="0"/>
    <n v="3650"/>
    <x v="0"/>
    <n v="14600"/>
    <x v="429"/>
    <x v="95"/>
  </r>
  <r>
    <s v="OI001421"/>
    <s v="O00829"/>
    <s v="PR001"/>
    <n v="4"/>
    <n v="0.2"/>
    <b v="0"/>
    <n v="2400"/>
    <x v="4"/>
    <n v="7680"/>
    <x v="429"/>
    <x v="95"/>
  </r>
  <r>
    <s v="OI001422"/>
    <s v="O00829"/>
    <s v="PR080"/>
    <n v="3"/>
    <n v="0.15"/>
    <b v="0"/>
    <n v="99"/>
    <x v="1"/>
    <n v="252.45"/>
    <x v="429"/>
    <x v="95"/>
  </r>
  <r>
    <s v="OI001423"/>
    <s v="O00829"/>
    <s v="PR022"/>
    <n v="1"/>
    <n v="0"/>
    <b v="0"/>
    <n v="1530"/>
    <x v="5"/>
    <n v="1530"/>
    <x v="429"/>
    <x v="95"/>
  </r>
  <r>
    <s v="OI001424"/>
    <s v="O00830"/>
    <s v="PR062"/>
    <n v="3"/>
    <n v="0.1"/>
    <b v="0"/>
    <n v="1580"/>
    <x v="2"/>
    <n v="4266"/>
    <x v="430"/>
    <x v="77"/>
  </r>
  <r>
    <s v="OI001425"/>
    <s v="O00830"/>
    <s v="PR033"/>
    <n v="4"/>
    <n v="0"/>
    <b v="0"/>
    <n v="2670"/>
    <x v="5"/>
    <n v="10680"/>
    <x v="430"/>
    <x v="77"/>
  </r>
  <r>
    <s v="OI001426"/>
    <s v="O00830"/>
    <s v="PR005"/>
    <n v="2"/>
    <n v="0.1"/>
    <b v="0"/>
    <n v="1520"/>
    <x v="4"/>
    <n v="2736"/>
    <x v="430"/>
    <x v="77"/>
  </r>
  <r>
    <s v="OI001427"/>
    <s v="O00831"/>
    <s v="PR037"/>
    <n v="1"/>
    <n v="0"/>
    <b v="0"/>
    <n v="2050"/>
    <x v="2"/>
    <n v="2050"/>
    <x v="158"/>
    <x v="147"/>
  </r>
  <r>
    <s v="OI001428"/>
    <s v="O00831"/>
    <s v="PR069"/>
    <n v="5"/>
    <n v="0"/>
    <b v="0"/>
    <n v="2230"/>
    <x v="3"/>
    <n v="11150"/>
    <x v="158"/>
    <x v="147"/>
  </r>
  <r>
    <s v="OI001429"/>
    <s v="O00831"/>
    <s v="PR039"/>
    <n v="1"/>
    <n v="0.05"/>
    <b v="0"/>
    <n v="210"/>
    <x v="4"/>
    <n v="199.5"/>
    <x v="158"/>
    <x v="147"/>
  </r>
  <r>
    <s v="OI001430"/>
    <s v="O00832"/>
    <s v="PR018"/>
    <n v="5"/>
    <n v="0"/>
    <b v="0"/>
    <n v="2180"/>
    <x v="4"/>
    <n v="10900"/>
    <x v="431"/>
    <x v="266"/>
  </r>
  <r>
    <s v="OI001431"/>
    <s v="O00832"/>
    <s v="PR056"/>
    <n v="2"/>
    <n v="0.1"/>
    <b v="0"/>
    <n v="2920"/>
    <x v="3"/>
    <n v="5256"/>
    <x v="431"/>
    <x v="266"/>
  </r>
  <r>
    <s v="OI001432"/>
    <s v="O00833"/>
    <s v="PR041"/>
    <n v="3"/>
    <n v="0.15"/>
    <b v="0"/>
    <n v="2690"/>
    <x v="5"/>
    <n v="6859.5"/>
    <x v="432"/>
    <x v="283"/>
  </r>
  <r>
    <s v="OI001433"/>
    <s v="O00833"/>
    <s v="PR034"/>
    <n v="4"/>
    <n v="0"/>
    <b v="0"/>
    <n v="530"/>
    <x v="5"/>
    <n v="2120"/>
    <x v="432"/>
    <x v="283"/>
  </r>
  <r>
    <s v="OI001434"/>
    <s v="O00834"/>
    <s v="PR042"/>
    <n v="3"/>
    <n v="0"/>
    <b v="0"/>
    <n v="2010"/>
    <x v="5"/>
    <n v="6030"/>
    <x v="433"/>
    <x v="165"/>
  </r>
  <r>
    <s v="OI001435"/>
    <s v="O00835"/>
    <s v="PR077"/>
    <n v="3"/>
    <n v="0"/>
    <b v="0"/>
    <n v="1900"/>
    <x v="5"/>
    <n v="5700"/>
    <x v="286"/>
    <x v="48"/>
  </r>
  <r>
    <s v="OI001436"/>
    <s v="O00836"/>
    <s v="PR018"/>
    <n v="1"/>
    <n v="0.1"/>
    <b v="0"/>
    <n v="2180"/>
    <x v="4"/>
    <n v="1962"/>
    <x v="242"/>
    <x v="224"/>
  </r>
  <r>
    <s v="OI001437"/>
    <s v="O00836"/>
    <s v="PR061"/>
    <n v="1"/>
    <n v="0"/>
    <b v="0"/>
    <n v="1220"/>
    <x v="3"/>
    <n v="1220"/>
    <x v="242"/>
    <x v="224"/>
  </r>
  <r>
    <s v="OI001438"/>
    <s v="O00836"/>
    <s v="PR023"/>
    <n v="4"/>
    <n v="0.1"/>
    <b v="0"/>
    <n v="1880"/>
    <x v="2"/>
    <n v="6768"/>
    <x v="242"/>
    <x v="224"/>
  </r>
  <r>
    <s v="OI001439"/>
    <s v="O00837"/>
    <s v="PR063"/>
    <n v="4"/>
    <n v="0.1"/>
    <b v="0"/>
    <n v="470"/>
    <x v="2"/>
    <n v="1692"/>
    <x v="109"/>
    <x v="173"/>
  </r>
  <r>
    <s v="OI001440"/>
    <s v="O00837"/>
    <s v="PR011"/>
    <n v="1"/>
    <n v="0.1"/>
    <b v="0"/>
    <n v="1240"/>
    <x v="2"/>
    <n v="1116"/>
    <x v="109"/>
    <x v="173"/>
  </r>
  <r>
    <s v="OI001441"/>
    <s v="O00837"/>
    <s v="PR004"/>
    <n v="4"/>
    <n v="0.15"/>
    <b v="0"/>
    <n v="3630"/>
    <x v="4"/>
    <n v="12342"/>
    <x v="109"/>
    <x v="173"/>
  </r>
  <r>
    <s v="OI001442"/>
    <s v="O00838"/>
    <s v="PR049"/>
    <n v="5"/>
    <n v="0"/>
    <b v="0"/>
    <n v="2210"/>
    <x v="5"/>
    <n v="11050"/>
    <x v="12"/>
    <x v="212"/>
  </r>
  <r>
    <s v="OI001443"/>
    <s v="O00839"/>
    <s v="PR002"/>
    <n v="1"/>
    <n v="0.05"/>
    <b v="0"/>
    <n v="1630"/>
    <x v="5"/>
    <n v="1548.5"/>
    <x v="298"/>
    <x v="71"/>
  </r>
  <r>
    <s v="OI001444"/>
    <s v="O00840"/>
    <s v="PR025"/>
    <n v="4"/>
    <n v="0"/>
    <b v="0"/>
    <n v="1150"/>
    <x v="2"/>
    <n v="4600"/>
    <x v="434"/>
    <x v="254"/>
  </r>
  <r>
    <s v="OI001445"/>
    <s v="O00841"/>
    <s v="PR003"/>
    <n v="3"/>
    <n v="0.15"/>
    <b v="0"/>
    <n v="2580"/>
    <x v="5"/>
    <n v="6579"/>
    <x v="242"/>
    <x v="149"/>
  </r>
  <r>
    <s v="OI001446"/>
    <s v="O00842"/>
    <s v="PR046"/>
    <n v="2"/>
    <n v="0"/>
    <b v="0"/>
    <n v="940"/>
    <x v="2"/>
    <n v="1880"/>
    <x v="217"/>
    <x v="56"/>
  </r>
  <r>
    <s v="OI001447"/>
    <s v="O00842"/>
    <s v="PR079"/>
    <n v="3"/>
    <n v="0.2"/>
    <b v="0"/>
    <n v="1910"/>
    <x v="2"/>
    <n v="4584"/>
    <x v="217"/>
    <x v="56"/>
  </r>
  <r>
    <s v="OI001448"/>
    <s v="O00842"/>
    <s v="PR029"/>
    <n v="2"/>
    <n v="0.05"/>
    <b v="0"/>
    <n v="1080"/>
    <x v="5"/>
    <n v="2052"/>
    <x v="217"/>
    <x v="56"/>
  </r>
  <r>
    <s v="OI001449"/>
    <s v="O00843"/>
    <s v="PR005"/>
    <n v="3"/>
    <n v="0.05"/>
    <b v="0"/>
    <n v="1520"/>
    <x v="4"/>
    <n v="4332"/>
    <x v="146"/>
    <x v="248"/>
  </r>
  <r>
    <s v="OI001450"/>
    <s v="O00843"/>
    <s v="PR078"/>
    <n v="3"/>
    <n v="0"/>
    <b v="1"/>
    <n v="1440"/>
    <x v="3"/>
    <n v="4320"/>
    <x v="146"/>
    <x v="248"/>
  </r>
  <r>
    <s v="OI001451"/>
    <s v="O00843"/>
    <s v="PR026"/>
    <n v="4"/>
    <n v="0"/>
    <b v="0"/>
    <n v="1930"/>
    <x v="3"/>
    <n v="7720"/>
    <x v="146"/>
    <x v="248"/>
  </r>
  <r>
    <s v="OI001452"/>
    <s v="O00843"/>
    <s v="PR036"/>
    <n v="5"/>
    <n v="0.1"/>
    <b v="0"/>
    <n v="330"/>
    <x v="0"/>
    <n v="1485"/>
    <x v="146"/>
    <x v="248"/>
  </r>
  <r>
    <s v="OI001453"/>
    <s v="O00844"/>
    <s v="PR071"/>
    <n v="2"/>
    <n v="0.15"/>
    <b v="0"/>
    <n v="2230"/>
    <x v="1"/>
    <n v="3791"/>
    <x v="368"/>
    <x v="260"/>
  </r>
  <r>
    <s v="OI001454"/>
    <s v="O00845"/>
    <s v="PR078"/>
    <n v="5"/>
    <n v="0"/>
    <b v="0"/>
    <n v="1440"/>
    <x v="3"/>
    <n v="7200"/>
    <x v="239"/>
    <x v="214"/>
  </r>
  <r>
    <s v="OI001455"/>
    <s v="O00845"/>
    <s v="PR009"/>
    <n v="5"/>
    <n v="0"/>
    <b v="0"/>
    <n v="1240"/>
    <x v="5"/>
    <n v="6200"/>
    <x v="239"/>
    <x v="214"/>
  </r>
  <r>
    <s v="OI001456"/>
    <s v="O00846"/>
    <s v="PR017"/>
    <n v="3"/>
    <n v="0.1"/>
    <b v="0"/>
    <n v="580"/>
    <x v="0"/>
    <n v="1566"/>
    <x v="366"/>
    <x v="35"/>
  </r>
  <r>
    <s v="OI001457"/>
    <s v="O00846"/>
    <s v="PR030"/>
    <n v="5"/>
    <n v="0.15"/>
    <b v="0"/>
    <n v="1440"/>
    <x v="1"/>
    <n v="6120"/>
    <x v="366"/>
    <x v="35"/>
  </r>
  <r>
    <s v="OI001458"/>
    <s v="O00847"/>
    <s v="PR025"/>
    <n v="1"/>
    <n v="0.15"/>
    <b v="0"/>
    <n v="1150"/>
    <x v="2"/>
    <n v="977.5"/>
    <x v="435"/>
    <x v="38"/>
  </r>
  <r>
    <s v="OI001459"/>
    <s v="O00847"/>
    <s v="PR069"/>
    <n v="5"/>
    <n v="0"/>
    <b v="0"/>
    <n v="2230"/>
    <x v="3"/>
    <n v="11150"/>
    <x v="435"/>
    <x v="38"/>
  </r>
  <r>
    <s v="OI001460"/>
    <s v="O00848"/>
    <s v="PR059"/>
    <n v="1"/>
    <n v="0.05"/>
    <b v="0"/>
    <n v="2200"/>
    <x v="4"/>
    <n v="2090"/>
    <x v="126"/>
    <x v="27"/>
  </r>
  <r>
    <s v="OI001461"/>
    <s v="O00848"/>
    <s v="PR007"/>
    <n v="3"/>
    <n v="0.05"/>
    <b v="0"/>
    <n v="5550"/>
    <x v="3"/>
    <n v="15817.5"/>
    <x v="126"/>
    <x v="27"/>
  </r>
  <r>
    <s v="OI001462"/>
    <s v="O00849"/>
    <s v="PR053"/>
    <n v="3"/>
    <n v="0"/>
    <b v="0"/>
    <n v="990"/>
    <x v="0"/>
    <n v="2970"/>
    <x v="278"/>
    <x v="58"/>
  </r>
  <r>
    <s v="OI001463"/>
    <s v="O00849"/>
    <s v="PR067"/>
    <n v="4"/>
    <n v="0.05"/>
    <b v="0"/>
    <n v="1710"/>
    <x v="3"/>
    <n v="6498"/>
    <x v="278"/>
    <x v="58"/>
  </r>
  <r>
    <s v="OI001464"/>
    <s v="O00849"/>
    <s v="PR047"/>
    <n v="5"/>
    <n v="0.2"/>
    <b v="0"/>
    <n v="1250"/>
    <x v="1"/>
    <n v="5000"/>
    <x v="278"/>
    <x v="58"/>
  </r>
  <r>
    <s v="OI001465"/>
    <s v="O00850"/>
    <s v="PR029"/>
    <n v="1"/>
    <n v="0"/>
    <b v="0"/>
    <n v="1080"/>
    <x v="5"/>
    <n v="1080"/>
    <x v="436"/>
    <x v="130"/>
  </r>
  <r>
    <s v="OI001466"/>
    <s v="O00851"/>
    <s v="PR069"/>
    <n v="4"/>
    <n v="0"/>
    <b v="0"/>
    <n v="2230"/>
    <x v="3"/>
    <n v="8920"/>
    <x v="196"/>
    <x v="145"/>
  </r>
  <r>
    <s v="OI001467"/>
    <s v="O00851"/>
    <s v="PR001"/>
    <n v="4"/>
    <n v="0"/>
    <b v="0"/>
    <n v="2400"/>
    <x v="4"/>
    <n v="9600"/>
    <x v="196"/>
    <x v="145"/>
  </r>
  <r>
    <s v="OI001468"/>
    <s v="O00851"/>
    <s v="PR043"/>
    <n v="1"/>
    <n v="0.1"/>
    <b v="0"/>
    <n v="1660"/>
    <x v="2"/>
    <n v="1494"/>
    <x v="196"/>
    <x v="145"/>
  </r>
  <r>
    <s v="OI001469"/>
    <s v="O00852"/>
    <s v="PR029"/>
    <n v="4"/>
    <n v="0"/>
    <b v="0"/>
    <n v="1080"/>
    <x v="5"/>
    <n v="4320"/>
    <x v="173"/>
    <x v="43"/>
  </r>
  <r>
    <s v="OI001470"/>
    <s v="O00852"/>
    <s v="PR032"/>
    <n v="2"/>
    <n v="0"/>
    <b v="0"/>
    <n v="4020"/>
    <x v="1"/>
    <n v="8040"/>
    <x v="173"/>
    <x v="43"/>
  </r>
  <r>
    <s v="OI001471"/>
    <s v="O00852"/>
    <s v="PR043"/>
    <n v="3"/>
    <n v="0"/>
    <b v="0"/>
    <n v="1660"/>
    <x v="2"/>
    <n v="4980"/>
    <x v="173"/>
    <x v="43"/>
  </r>
  <r>
    <s v="OI001472"/>
    <s v="O00853"/>
    <s v="PR013"/>
    <n v="1"/>
    <n v="0.05"/>
    <b v="0"/>
    <n v="2090"/>
    <x v="5"/>
    <n v="1985.5"/>
    <x v="287"/>
    <x v="85"/>
  </r>
  <r>
    <s v="OI001473"/>
    <s v="O00853"/>
    <s v="PR056"/>
    <n v="1"/>
    <n v="0.1"/>
    <b v="0"/>
    <n v="2920"/>
    <x v="3"/>
    <n v="2628"/>
    <x v="287"/>
    <x v="85"/>
  </r>
  <r>
    <s v="OI001474"/>
    <s v="O00854"/>
    <s v="PR043"/>
    <n v="3"/>
    <n v="0"/>
    <b v="0"/>
    <n v="1660"/>
    <x v="2"/>
    <n v="4980"/>
    <x v="437"/>
    <x v="209"/>
  </r>
  <r>
    <s v="OI001475"/>
    <s v="O00854"/>
    <s v="PR014"/>
    <n v="4"/>
    <n v="0"/>
    <b v="0"/>
    <n v="99"/>
    <x v="4"/>
    <n v="396"/>
    <x v="437"/>
    <x v="209"/>
  </r>
  <r>
    <s v="OI001476"/>
    <s v="O00855"/>
    <s v="PR007"/>
    <n v="3"/>
    <n v="0.1"/>
    <b v="0"/>
    <n v="5550"/>
    <x v="3"/>
    <n v="14985"/>
    <x v="438"/>
    <x v="52"/>
  </r>
  <r>
    <s v="OI001477"/>
    <s v="O00855"/>
    <s v="PR031"/>
    <n v="1"/>
    <n v="0.2"/>
    <b v="0"/>
    <n v="1080"/>
    <x v="3"/>
    <n v="864"/>
    <x v="438"/>
    <x v="52"/>
  </r>
  <r>
    <s v="OI001478"/>
    <s v="O00855"/>
    <s v="PR077"/>
    <n v="5"/>
    <n v="0.05"/>
    <b v="0"/>
    <n v="1900"/>
    <x v="5"/>
    <n v="9025"/>
    <x v="438"/>
    <x v="52"/>
  </r>
  <r>
    <s v="OI001479"/>
    <s v="O00855"/>
    <s v="PR013"/>
    <n v="4"/>
    <n v="0.1"/>
    <b v="0"/>
    <n v="2090"/>
    <x v="5"/>
    <n v="7524"/>
    <x v="438"/>
    <x v="52"/>
  </r>
  <r>
    <s v="OI001480"/>
    <s v="O00856"/>
    <s v="PR008"/>
    <n v="1"/>
    <n v="0.05"/>
    <b v="0"/>
    <n v="2720"/>
    <x v="5"/>
    <n v="2584"/>
    <x v="47"/>
    <x v="106"/>
  </r>
  <r>
    <s v="OI001481"/>
    <s v="O00857"/>
    <s v="PR009"/>
    <n v="2"/>
    <n v="0"/>
    <b v="0"/>
    <n v="1240"/>
    <x v="5"/>
    <n v="2480"/>
    <x v="413"/>
    <x v="284"/>
  </r>
  <r>
    <s v="OI001482"/>
    <s v="O00858"/>
    <s v="PR057"/>
    <n v="1"/>
    <n v="0"/>
    <b v="0"/>
    <n v="790"/>
    <x v="1"/>
    <n v="790"/>
    <x v="69"/>
    <x v="285"/>
  </r>
  <r>
    <s v="OI001483"/>
    <s v="O00858"/>
    <s v="PR079"/>
    <n v="4"/>
    <n v="0"/>
    <b v="0"/>
    <n v="1910"/>
    <x v="2"/>
    <n v="7640"/>
    <x v="69"/>
    <x v="285"/>
  </r>
  <r>
    <s v="OI001484"/>
    <s v="O00858"/>
    <s v="PR014"/>
    <n v="1"/>
    <n v="0.1"/>
    <b v="0"/>
    <n v="99"/>
    <x v="4"/>
    <n v="89.100000000000009"/>
    <x v="69"/>
    <x v="285"/>
  </r>
  <r>
    <s v="OI001485"/>
    <s v="O00859"/>
    <s v="PR049"/>
    <n v="4"/>
    <n v="0"/>
    <b v="0"/>
    <n v="2210"/>
    <x v="5"/>
    <n v="8840"/>
    <x v="168"/>
    <x v="163"/>
  </r>
  <r>
    <s v="OI001486"/>
    <s v="O00860"/>
    <s v="PR053"/>
    <n v="2"/>
    <n v="0.2"/>
    <b v="0"/>
    <n v="990"/>
    <x v="0"/>
    <n v="1584"/>
    <x v="90"/>
    <x v="20"/>
  </r>
  <r>
    <s v="OI001487"/>
    <s v="O00860"/>
    <s v="PR077"/>
    <n v="5"/>
    <n v="0"/>
    <b v="0"/>
    <n v="1900"/>
    <x v="5"/>
    <n v="9500"/>
    <x v="90"/>
    <x v="20"/>
  </r>
  <r>
    <s v="OI001488"/>
    <s v="O00861"/>
    <s v="PR060"/>
    <n v="4"/>
    <n v="0.1"/>
    <b v="0"/>
    <n v="1910"/>
    <x v="2"/>
    <n v="6876"/>
    <x v="23"/>
    <x v="195"/>
  </r>
  <r>
    <s v="OI001489"/>
    <s v="O00862"/>
    <s v="PR044"/>
    <n v="1"/>
    <n v="0.05"/>
    <b v="0"/>
    <n v="1440"/>
    <x v="1"/>
    <n v="1368"/>
    <x v="353"/>
    <x v="189"/>
  </r>
  <r>
    <s v="OI001490"/>
    <s v="O00862"/>
    <s v="PR067"/>
    <n v="3"/>
    <n v="0.1"/>
    <b v="0"/>
    <n v="1710"/>
    <x v="3"/>
    <n v="4617"/>
    <x v="353"/>
    <x v="189"/>
  </r>
  <r>
    <s v="OI001491"/>
    <s v="O00863"/>
    <s v="PR014"/>
    <n v="1"/>
    <n v="0.1"/>
    <b v="0"/>
    <n v="99"/>
    <x v="4"/>
    <n v="89.100000000000009"/>
    <x v="434"/>
    <x v="245"/>
  </r>
  <r>
    <s v="OI001492"/>
    <s v="O00864"/>
    <s v="PR076"/>
    <n v="2"/>
    <n v="0.1"/>
    <b v="0"/>
    <n v="2790"/>
    <x v="4"/>
    <n v="5022"/>
    <x v="283"/>
    <x v="157"/>
  </r>
  <r>
    <s v="OI001493"/>
    <s v="O00864"/>
    <s v="PR017"/>
    <n v="5"/>
    <n v="0"/>
    <b v="0"/>
    <n v="580"/>
    <x v="0"/>
    <n v="2900"/>
    <x v="283"/>
    <x v="157"/>
  </r>
  <r>
    <s v="OI001494"/>
    <s v="O00865"/>
    <s v="PR062"/>
    <n v="5"/>
    <n v="0.05"/>
    <b v="0"/>
    <n v="1580"/>
    <x v="2"/>
    <n v="7505"/>
    <x v="96"/>
    <x v="148"/>
  </r>
  <r>
    <s v="OI001495"/>
    <s v="O00866"/>
    <s v="PR018"/>
    <n v="1"/>
    <n v="0"/>
    <b v="0"/>
    <n v="2180"/>
    <x v="4"/>
    <n v="2180"/>
    <x v="12"/>
    <x v="172"/>
  </r>
  <r>
    <s v="OI001496"/>
    <s v="O00867"/>
    <s v="PR075"/>
    <n v="4"/>
    <n v="0.1"/>
    <b v="0"/>
    <n v="1475"/>
    <x v="0"/>
    <n v="5310"/>
    <x v="166"/>
    <x v="26"/>
  </r>
  <r>
    <s v="OI001497"/>
    <s v="O00868"/>
    <s v="PR046"/>
    <n v="3"/>
    <n v="0.1"/>
    <b v="0"/>
    <n v="940"/>
    <x v="2"/>
    <n v="2538"/>
    <x v="54"/>
    <x v="72"/>
  </r>
  <r>
    <s v="OI001498"/>
    <s v="O00868"/>
    <s v="PR070"/>
    <n v="2"/>
    <n v="0"/>
    <b v="0"/>
    <n v="1030"/>
    <x v="5"/>
    <n v="2060"/>
    <x v="54"/>
    <x v="72"/>
  </r>
  <r>
    <s v="OI001499"/>
    <s v="O00868"/>
    <s v="PR061"/>
    <n v="3"/>
    <n v="0.1"/>
    <b v="0"/>
    <n v="1220"/>
    <x v="3"/>
    <n v="3294"/>
    <x v="54"/>
    <x v="72"/>
  </r>
  <r>
    <s v="OI001500"/>
    <s v="O00868"/>
    <s v="PR044"/>
    <n v="3"/>
    <n v="0"/>
    <b v="1"/>
    <n v="1440"/>
    <x v="1"/>
    <n v="4320"/>
    <x v="54"/>
    <x v="72"/>
  </r>
  <r>
    <s v="OI001501"/>
    <s v="O00869"/>
    <s v="PR067"/>
    <n v="5"/>
    <n v="0.15"/>
    <b v="0"/>
    <n v="1710"/>
    <x v="3"/>
    <n v="7267.5"/>
    <x v="350"/>
    <x v="286"/>
  </r>
  <r>
    <s v="OI001502"/>
    <s v="O00869"/>
    <s v="PR019"/>
    <n v="1"/>
    <n v="0"/>
    <b v="0"/>
    <n v="710"/>
    <x v="1"/>
    <n v="710"/>
    <x v="350"/>
    <x v="286"/>
  </r>
  <r>
    <s v="OI001503"/>
    <s v="O00869"/>
    <s v="PR065"/>
    <n v="5"/>
    <n v="0.2"/>
    <b v="0"/>
    <n v="2780"/>
    <x v="2"/>
    <n v="11120"/>
    <x v="350"/>
    <x v="286"/>
  </r>
  <r>
    <s v="OI001504"/>
    <s v="O00869"/>
    <s v="PR007"/>
    <n v="4"/>
    <n v="0"/>
    <b v="0"/>
    <n v="5550"/>
    <x v="3"/>
    <n v="22200"/>
    <x v="350"/>
    <x v="286"/>
  </r>
  <r>
    <s v="OI001505"/>
    <s v="O00870"/>
    <s v="PR026"/>
    <n v="2"/>
    <n v="0.2"/>
    <b v="0"/>
    <n v="1930"/>
    <x v="3"/>
    <n v="3088"/>
    <x v="235"/>
    <x v="28"/>
  </r>
  <r>
    <s v="OI001506"/>
    <s v="O00871"/>
    <s v="PR025"/>
    <n v="4"/>
    <n v="0.15"/>
    <b v="0"/>
    <n v="1150"/>
    <x v="2"/>
    <n v="3910"/>
    <x v="439"/>
    <x v="39"/>
  </r>
  <r>
    <s v="OI001507"/>
    <s v="O00872"/>
    <s v="PR060"/>
    <n v="5"/>
    <n v="0.15"/>
    <b v="0"/>
    <n v="1910"/>
    <x v="2"/>
    <n v="8117.5"/>
    <x v="324"/>
    <x v="148"/>
  </r>
  <r>
    <s v="OI001508"/>
    <s v="O00872"/>
    <s v="PR043"/>
    <n v="5"/>
    <n v="0.1"/>
    <b v="0"/>
    <n v="1660"/>
    <x v="2"/>
    <n v="7470"/>
    <x v="324"/>
    <x v="148"/>
  </r>
  <r>
    <s v="OI001509"/>
    <s v="O00873"/>
    <s v="PR079"/>
    <n v="3"/>
    <n v="0.05"/>
    <b v="0"/>
    <n v="1910"/>
    <x v="2"/>
    <n v="5443.5"/>
    <x v="145"/>
    <x v="238"/>
  </r>
  <r>
    <s v="OI001510"/>
    <s v="O00873"/>
    <s v="PR043"/>
    <n v="2"/>
    <n v="0"/>
    <b v="0"/>
    <n v="1660"/>
    <x v="2"/>
    <n v="3320"/>
    <x v="145"/>
    <x v="238"/>
  </r>
  <r>
    <s v="OI001511"/>
    <s v="O00873"/>
    <s v="PR059"/>
    <n v="1"/>
    <n v="0.05"/>
    <b v="0"/>
    <n v="2200"/>
    <x v="4"/>
    <n v="2090"/>
    <x v="145"/>
    <x v="238"/>
  </r>
  <r>
    <s v="OI001512"/>
    <s v="O00873"/>
    <s v="PR029"/>
    <n v="1"/>
    <n v="0.15"/>
    <b v="0"/>
    <n v="1080"/>
    <x v="5"/>
    <n v="918"/>
    <x v="145"/>
    <x v="238"/>
  </r>
  <r>
    <s v="OI001513"/>
    <s v="O00874"/>
    <s v="PR030"/>
    <n v="4"/>
    <n v="0.1"/>
    <b v="0"/>
    <n v="1440"/>
    <x v="1"/>
    <n v="5184"/>
    <x v="353"/>
    <x v="155"/>
  </r>
  <r>
    <s v="OI001514"/>
    <s v="O00875"/>
    <s v="PR062"/>
    <n v="3"/>
    <n v="0.2"/>
    <b v="0"/>
    <n v="1580"/>
    <x v="2"/>
    <n v="3792"/>
    <x v="300"/>
    <x v="222"/>
  </r>
  <r>
    <s v="OI001515"/>
    <s v="O00876"/>
    <s v="PR027"/>
    <n v="4"/>
    <n v="0"/>
    <b v="0"/>
    <n v="420"/>
    <x v="5"/>
    <n v="1680"/>
    <x v="153"/>
    <x v="200"/>
  </r>
  <r>
    <s v="OI001516"/>
    <s v="O00876"/>
    <s v="PR001"/>
    <n v="3"/>
    <n v="0"/>
    <b v="0"/>
    <n v="2400"/>
    <x v="4"/>
    <n v="7200"/>
    <x v="153"/>
    <x v="200"/>
  </r>
  <r>
    <s v="OI001517"/>
    <s v="O00877"/>
    <s v="PR004"/>
    <n v="5"/>
    <n v="0"/>
    <b v="0"/>
    <n v="3630"/>
    <x v="4"/>
    <n v="18150"/>
    <x v="440"/>
    <x v="12"/>
  </r>
  <r>
    <s v="OI001518"/>
    <s v="O00878"/>
    <s v="PR057"/>
    <n v="2"/>
    <n v="0.15"/>
    <b v="0"/>
    <n v="790"/>
    <x v="1"/>
    <n v="1343"/>
    <x v="83"/>
    <x v="3"/>
  </r>
  <r>
    <s v="OI001519"/>
    <s v="O00879"/>
    <s v="PR047"/>
    <n v="1"/>
    <n v="0"/>
    <b v="0"/>
    <n v="1250"/>
    <x v="1"/>
    <n v="1250"/>
    <x v="172"/>
    <x v="261"/>
  </r>
  <r>
    <s v="OI001520"/>
    <s v="O00879"/>
    <s v="PR026"/>
    <n v="2"/>
    <n v="0"/>
    <b v="0"/>
    <n v="1930"/>
    <x v="3"/>
    <n v="3860"/>
    <x v="172"/>
    <x v="261"/>
  </r>
  <r>
    <s v="OI001521"/>
    <s v="O00880"/>
    <s v="PR034"/>
    <n v="2"/>
    <n v="0"/>
    <b v="0"/>
    <n v="530"/>
    <x v="5"/>
    <n v="1060"/>
    <x v="58"/>
    <x v="55"/>
  </r>
  <r>
    <s v="OI001522"/>
    <s v="O00881"/>
    <s v="PR032"/>
    <n v="2"/>
    <n v="0"/>
    <b v="0"/>
    <n v="4020"/>
    <x v="1"/>
    <n v="8040"/>
    <x v="441"/>
    <x v="287"/>
  </r>
  <r>
    <s v="OI001523"/>
    <s v="O00881"/>
    <s v="PR003"/>
    <n v="2"/>
    <n v="0.2"/>
    <b v="0"/>
    <n v="2580"/>
    <x v="5"/>
    <n v="4128"/>
    <x v="441"/>
    <x v="287"/>
  </r>
  <r>
    <s v="OI001524"/>
    <s v="O00881"/>
    <s v="PR034"/>
    <n v="1"/>
    <n v="0"/>
    <b v="0"/>
    <n v="530"/>
    <x v="5"/>
    <n v="530"/>
    <x v="441"/>
    <x v="287"/>
  </r>
  <r>
    <s v="OI001525"/>
    <s v="O00882"/>
    <s v="PR018"/>
    <n v="4"/>
    <n v="0.15"/>
    <b v="0"/>
    <n v="2180"/>
    <x v="4"/>
    <n v="7412"/>
    <x v="104"/>
    <x v="0"/>
  </r>
  <r>
    <s v="OI001526"/>
    <s v="O00882"/>
    <s v="PR015"/>
    <n v="3"/>
    <n v="0"/>
    <b v="0"/>
    <n v="1765"/>
    <x v="5"/>
    <n v="5295"/>
    <x v="104"/>
    <x v="0"/>
  </r>
  <r>
    <s v="OI001527"/>
    <s v="O00882"/>
    <s v="PR040"/>
    <n v="4"/>
    <n v="0"/>
    <b v="0"/>
    <n v="2040"/>
    <x v="0"/>
    <n v="8160"/>
    <x v="104"/>
    <x v="0"/>
  </r>
  <r>
    <s v="OI001528"/>
    <s v="O00883"/>
    <s v="PR048"/>
    <n v="2"/>
    <n v="0.1"/>
    <b v="0"/>
    <n v="3070"/>
    <x v="2"/>
    <n v="5526"/>
    <x v="196"/>
    <x v="268"/>
  </r>
  <r>
    <s v="OI001529"/>
    <s v="O00884"/>
    <s v="PR080"/>
    <n v="4"/>
    <n v="0.15"/>
    <b v="0"/>
    <n v="99"/>
    <x v="1"/>
    <n v="336.59999999999997"/>
    <x v="442"/>
    <x v="232"/>
  </r>
  <r>
    <s v="OI001530"/>
    <s v="O00884"/>
    <s v="PR009"/>
    <n v="1"/>
    <n v="0"/>
    <b v="0"/>
    <n v="1240"/>
    <x v="5"/>
    <n v="1240"/>
    <x v="442"/>
    <x v="232"/>
  </r>
  <r>
    <s v="OI001531"/>
    <s v="O00884"/>
    <s v="PR017"/>
    <n v="2"/>
    <n v="0"/>
    <b v="0"/>
    <n v="580"/>
    <x v="0"/>
    <n v="1160"/>
    <x v="442"/>
    <x v="232"/>
  </r>
  <r>
    <s v="OI001532"/>
    <s v="O00884"/>
    <s v="PR069"/>
    <n v="4"/>
    <n v="0.15"/>
    <b v="0"/>
    <n v="2230"/>
    <x v="3"/>
    <n v="7582"/>
    <x v="442"/>
    <x v="232"/>
  </r>
  <r>
    <s v="OI001533"/>
    <s v="O00885"/>
    <s v="PR077"/>
    <n v="4"/>
    <n v="0.15"/>
    <b v="0"/>
    <n v="1900"/>
    <x v="5"/>
    <n v="6460"/>
    <x v="46"/>
    <x v="101"/>
  </r>
  <r>
    <s v="OI001534"/>
    <s v="O00886"/>
    <s v="PR006"/>
    <n v="5"/>
    <n v="0.1"/>
    <b v="0"/>
    <n v="1520"/>
    <x v="0"/>
    <n v="6840"/>
    <x v="101"/>
    <x v="98"/>
  </r>
  <r>
    <s v="OI001535"/>
    <s v="O00887"/>
    <s v="PR069"/>
    <n v="3"/>
    <n v="0.2"/>
    <b v="0"/>
    <n v="2230"/>
    <x v="3"/>
    <n v="5352"/>
    <x v="53"/>
    <x v="284"/>
  </r>
  <r>
    <s v="OI001536"/>
    <s v="O00888"/>
    <s v="PR032"/>
    <n v="1"/>
    <n v="0.15"/>
    <b v="0"/>
    <n v="4020"/>
    <x v="1"/>
    <n v="3417"/>
    <x v="245"/>
    <x v="250"/>
  </r>
  <r>
    <s v="OI001537"/>
    <s v="O00889"/>
    <s v="PR017"/>
    <n v="5"/>
    <n v="0.1"/>
    <b v="0"/>
    <n v="580"/>
    <x v="0"/>
    <n v="2610"/>
    <x v="364"/>
    <x v="283"/>
  </r>
  <r>
    <s v="OI001538"/>
    <s v="O00889"/>
    <s v="PR063"/>
    <n v="2"/>
    <n v="0.15"/>
    <b v="0"/>
    <n v="470"/>
    <x v="2"/>
    <n v="799"/>
    <x v="364"/>
    <x v="283"/>
  </r>
  <r>
    <s v="OI001539"/>
    <s v="O00890"/>
    <s v="PR061"/>
    <n v="5"/>
    <n v="0"/>
    <b v="0"/>
    <n v="1220"/>
    <x v="3"/>
    <n v="6100"/>
    <x v="115"/>
    <x v="107"/>
  </r>
  <r>
    <s v="OI001540"/>
    <s v="O00891"/>
    <s v="PR050"/>
    <n v="5"/>
    <n v="0"/>
    <b v="0"/>
    <n v="99"/>
    <x v="5"/>
    <n v="495"/>
    <x v="443"/>
    <x v="248"/>
  </r>
  <r>
    <s v="OI001541"/>
    <s v="O00892"/>
    <s v="PR060"/>
    <n v="2"/>
    <n v="0"/>
    <b v="0"/>
    <n v="1910"/>
    <x v="2"/>
    <n v="3820"/>
    <x v="213"/>
    <x v="231"/>
  </r>
  <r>
    <s v="OI001542"/>
    <s v="O00893"/>
    <s v="PR068"/>
    <n v="4"/>
    <n v="0.15"/>
    <b v="0"/>
    <n v="3000"/>
    <x v="3"/>
    <n v="10200"/>
    <x v="308"/>
    <x v="230"/>
  </r>
  <r>
    <s v="OI001543"/>
    <s v="O00893"/>
    <s v="PR064"/>
    <n v="4"/>
    <n v="0"/>
    <b v="0"/>
    <n v="360"/>
    <x v="5"/>
    <n v="1440"/>
    <x v="308"/>
    <x v="230"/>
  </r>
  <r>
    <s v="OI001544"/>
    <s v="O00894"/>
    <s v="PR075"/>
    <n v="1"/>
    <n v="0"/>
    <b v="0"/>
    <n v="1475"/>
    <x v="0"/>
    <n v="1475"/>
    <x v="199"/>
    <x v="63"/>
  </r>
  <r>
    <s v="OI001545"/>
    <s v="O00894"/>
    <s v="PR029"/>
    <n v="2"/>
    <n v="0.05"/>
    <b v="0"/>
    <n v="1080"/>
    <x v="5"/>
    <n v="2052"/>
    <x v="199"/>
    <x v="63"/>
  </r>
  <r>
    <s v="OI001546"/>
    <s v="O00895"/>
    <s v="PR051"/>
    <n v="2"/>
    <n v="0"/>
    <b v="0"/>
    <n v="2190"/>
    <x v="4"/>
    <n v="4380"/>
    <x v="239"/>
    <x v="132"/>
  </r>
  <r>
    <s v="OI001547"/>
    <s v="O00895"/>
    <s v="PR055"/>
    <n v="4"/>
    <n v="0.1"/>
    <b v="0"/>
    <n v="3040"/>
    <x v="4"/>
    <n v="10944"/>
    <x v="239"/>
    <x v="132"/>
  </r>
  <r>
    <s v="OI001548"/>
    <s v="O00895"/>
    <s v="PR021"/>
    <n v="3"/>
    <n v="0"/>
    <b v="0"/>
    <n v="3560"/>
    <x v="1"/>
    <n v="10680"/>
    <x v="239"/>
    <x v="132"/>
  </r>
  <r>
    <s v="OI001549"/>
    <s v="O00896"/>
    <s v="PR018"/>
    <n v="1"/>
    <n v="0"/>
    <b v="0"/>
    <n v="2180"/>
    <x v="4"/>
    <n v="2180"/>
    <x v="444"/>
    <x v="203"/>
  </r>
  <r>
    <s v="OI001550"/>
    <s v="O00896"/>
    <s v="PR057"/>
    <n v="3"/>
    <n v="0"/>
    <b v="1"/>
    <n v="790"/>
    <x v="1"/>
    <n v="2370"/>
    <x v="444"/>
    <x v="203"/>
  </r>
  <r>
    <s v="OI001551"/>
    <s v="O00897"/>
    <s v="PR006"/>
    <n v="4"/>
    <n v="0.1"/>
    <b v="0"/>
    <n v="1520"/>
    <x v="0"/>
    <n v="5472"/>
    <x v="445"/>
    <x v="211"/>
  </r>
  <r>
    <s v="OI001552"/>
    <s v="O00898"/>
    <s v="PR055"/>
    <n v="4"/>
    <n v="0.05"/>
    <b v="0"/>
    <n v="3040"/>
    <x v="4"/>
    <n v="11552"/>
    <x v="446"/>
    <x v="288"/>
  </r>
  <r>
    <s v="OI001553"/>
    <s v="O00898"/>
    <s v="PR056"/>
    <n v="4"/>
    <n v="0"/>
    <b v="0"/>
    <n v="2920"/>
    <x v="3"/>
    <n v="11680"/>
    <x v="446"/>
    <x v="288"/>
  </r>
  <r>
    <s v="OI001554"/>
    <s v="O00899"/>
    <s v="PR041"/>
    <n v="3"/>
    <n v="0.05"/>
    <b v="0"/>
    <n v="2690"/>
    <x v="5"/>
    <n v="7666.5"/>
    <x v="47"/>
    <x v="37"/>
  </r>
  <r>
    <s v="OI001555"/>
    <s v="O00899"/>
    <s v="PR004"/>
    <n v="2"/>
    <n v="0.05"/>
    <b v="0"/>
    <n v="3630"/>
    <x v="4"/>
    <n v="6897"/>
    <x v="47"/>
    <x v="37"/>
  </r>
  <r>
    <s v="OI001556"/>
    <s v="O00899"/>
    <s v="PR030"/>
    <n v="3"/>
    <n v="0.15"/>
    <b v="0"/>
    <n v="1440"/>
    <x v="1"/>
    <n v="3672"/>
    <x v="47"/>
    <x v="37"/>
  </r>
  <r>
    <s v="OI001557"/>
    <s v="O00900"/>
    <s v="PR011"/>
    <n v="3"/>
    <n v="0.2"/>
    <b v="0"/>
    <n v="1240"/>
    <x v="2"/>
    <n v="2976"/>
    <x v="447"/>
    <x v="277"/>
  </r>
  <r>
    <s v="OI001558"/>
    <s v="O00016"/>
    <s v="PR070"/>
    <n v="1"/>
    <n v="0.2"/>
    <b v="0"/>
    <n v="1030"/>
    <x v="5"/>
    <n v="824"/>
    <x v="15"/>
    <x v="15"/>
  </r>
  <r>
    <s v="OI001559"/>
    <s v="O00016"/>
    <s v="PR036"/>
    <n v="2"/>
    <n v="0"/>
    <b v="0"/>
    <n v="330"/>
    <x v="0"/>
    <n v="660"/>
    <x v="15"/>
    <x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89">
  <r>
    <s v="C0001"/>
    <n v="5"/>
    <n v="1"/>
    <n v="4020"/>
    <n v="5"/>
    <n v="1"/>
    <n v="1"/>
    <n v="511"/>
    <x v="0"/>
  </r>
  <r>
    <s v="C0002"/>
    <n v="252"/>
    <n v="2"/>
    <n v="6898.45"/>
    <n v="2"/>
    <n v="1"/>
    <n v="1"/>
    <n v="211"/>
    <x v="1"/>
  </r>
  <r>
    <s v="C0003"/>
    <n v="509"/>
    <n v="1"/>
    <n v="6460"/>
    <n v="1"/>
    <n v="1"/>
    <n v="1"/>
    <n v="111"/>
    <x v="1"/>
  </r>
  <r>
    <s v="C0004"/>
    <n v="4"/>
    <n v="5"/>
    <n v="46941.3"/>
    <n v="5"/>
    <n v="5"/>
    <n v="5"/>
    <n v="555"/>
    <x v="2"/>
  </r>
  <r>
    <s v="C0005"/>
    <n v="83"/>
    <n v="8"/>
    <n v="59760"/>
    <n v="4"/>
    <n v="5"/>
    <n v="5"/>
    <n v="455"/>
    <x v="2"/>
  </r>
  <r>
    <s v="C0006"/>
    <n v="375"/>
    <n v="2"/>
    <n v="19265"/>
    <n v="1"/>
    <n v="1"/>
    <n v="3"/>
    <n v="113"/>
    <x v="1"/>
  </r>
  <r>
    <s v="C0007"/>
    <n v="384"/>
    <n v="1"/>
    <n v="3420"/>
    <n v="1"/>
    <n v="1"/>
    <n v="1"/>
    <n v="111"/>
    <x v="1"/>
  </r>
  <r>
    <s v="C0008"/>
    <n v="149"/>
    <n v="1"/>
    <n v="6964"/>
    <n v="3"/>
    <n v="1"/>
    <n v="1"/>
    <n v="311"/>
    <x v="3"/>
  </r>
  <r>
    <s v="C0009"/>
    <n v="2"/>
    <n v="8"/>
    <n v="103834.3"/>
    <n v="5"/>
    <n v="5"/>
    <n v="5"/>
    <n v="555"/>
    <x v="2"/>
  </r>
  <r>
    <s v="C0010"/>
    <n v="434"/>
    <n v="1"/>
    <n v="10120"/>
    <n v="1"/>
    <n v="1"/>
    <n v="1"/>
    <n v="111"/>
    <x v="1"/>
  </r>
  <r>
    <s v="C0011"/>
    <n v="73"/>
    <n v="2"/>
    <n v="27557"/>
    <n v="4"/>
    <n v="2"/>
    <n v="4"/>
    <n v="424"/>
    <x v="0"/>
  </r>
  <r>
    <s v="C0012"/>
    <n v="70"/>
    <n v="2"/>
    <n v="11724"/>
    <n v="4"/>
    <n v="2"/>
    <n v="2"/>
    <n v="422"/>
    <x v="0"/>
  </r>
  <r>
    <s v="C0013"/>
    <n v="244"/>
    <n v="3"/>
    <n v="15170.5"/>
    <n v="2"/>
    <n v="3"/>
    <n v="2"/>
    <n v="232"/>
    <x v="3"/>
  </r>
  <r>
    <s v="C0014"/>
    <n v="110"/>
    <n v="3"/>
    <n v="39495.25"/>
    <n v="3"/>
    <n v="3"/>
    <n v="4"/>
    <n v="334"/>
    <x v="3"/>
  </r>
  <r>
    <s v="C0015"/>
    <n v="472"/>
    <n v="1"/>
    <n v="14600"/>
    <n v="1"/>
    <n v="1"/>
    <n v="2"/>
    <n v="112"/>
    <x v="1"/>
  </r>
  <r>
    <s v="C0016"/>
    <n v="148"/>
    <n v="5"/>
    <n v="48686.9"/>
    <n v="3"/>
    <n v="5"/>
    <n v="5"/>
    <n v="355"/>
    <x v="3"/>
  </r>
  <r>
    <s v="C0017"/>
    <n v="9"/>
    <n v="8"/>
    <n v="57425.05"/>
    <n v="5"/>
    <n v="5"/>
    <n v="5"/>
    <n v="555"/>
    <x v="2"/>
  </r>
  <r>
    <s v="C0018"/>
    <n v="104"/>
    <n v="2"/>
    <n v="17502"/>
    <n v="4"/>
    <n v="2"/>
    <n v="2"/>
    <n v="422"/>
    <x v="0"/>
  </r>
  <r>
    <s v="C0019"/>
    <n v="116"/>
    <n v="1"/>
    <n v="2100"/>
    <n v="3"/>
    <n v="1"/>
    <n v="1"/>
    <n v="311"/>
    <x v="3"/>
  </r>
  <r>
    <s v="C0020"/>
    <n v="458"/>
    <n v="1"/>
    <n v="3971"/>
    <n v="1"/>
    <n v="1"/>
    <n v="1"/>
    <n v="111"/>
    <x v="1"/>
  </r>
  <r>
    <s v="C0021"/>
    <n v="91"/>
    <n v="3"/>
    <n v="15988.5"/>
    <n v="4"/>
    <n v="3"/>
    <n v="2"/>
    <n v="432"/>
    <x v="3"/>
  </r>
  <r>
    <s v="C0022"/>
    <n v="135"/>
    <n v="3"/>
    <n v="24717.5"/>
    <n v="3"/>
    <n v="3"/>
    <n v="3"/>
    <n v="333"/>
    <x v="3"/>
  </r>
  <r>
    <s v="C0023"/>
    <n v="99"/>
    <n v="4"/>
    <n v="5480.2"/>
    <n v="4"/>
    <n v="4"/>
    <n v="1"/>
    <n v="441"/>
    <x v="3"/>
  </r>
  <r>
    <s v="C0024"/>
    <n v="41"/>
    <n v="4"/>
    <n v="33582.5"/>
    <n v="5"/>
    <n v="4"/>
    <n v="4"/>
    <n v="544"/>
    <x v="2"/>
  </r>
  <r>
    <s v="C0025"/>
    <n v="280"/>
    <n v="2"/>
    <n v="12969.5"/>
    <n v="2"/>
    <n v="2"/>
    <n v="2"/>
    <n v="222"/>
    <x v="1"/>
  </r>
  <r>
    <s v="C0026"/>
    <n v="20"/>
    <n v="4"/>
    <n v="35977.5"/>
    <n v="5"/>
    <n v="4"/>
    <n v="4"/>
    <n v="544"/>
    <x v="2"/>
  </r>
  <r>
    <s v="C0027"/>
    <n v="190"/>
    <n v="4"/>
    <n v="21405"/>
    <n v="2"/>
    <n v="4"/>
    <n v="3"/>
    <n v="243"/>
    <x v="4"/>
  </r>
  <r>
    <s v="C0028"/>
    <n v="281"/>
    <n v="1"/>
    <n v="14140"/>
    <n v="2"/>
    <n v="1"/>
    <n v="2"/>
    <n v="212"/>
    <x v="1"/>
  </r>
  <r>
    <s v="C0029"/>
    <n v="124"/>
    <n v="3"/>
    <n v="29178"/>
    <n v="3"/>
    <n v="3"/>
    <n v="4"/>
    <n v="334"/>
    <x v="3"/>
  </r>
  <r>
    <s v="C0030"/>
    <n v="119"/>
    <n v="4"/>
    <n v="47673.5"/>
    <n v="3"/>
    <n v="4"/>
    <n v="5"/>
    <n v="345"/>
    <x v="3"/>
  </r>
  <r>
    <s v="C0031"/>
    <n v="107"/>
    <n v="4"/>
    <n v="25366.5"/>
    <n v="3"/>
    <n v="4"/>
    <n v="3"/>
    <n v="343"/>
    <x v="3"/>
  </r>
  <r>
    <s v="C0032"/>
    <n v="55"/>
    <n v="6"/>
    <n v="27241.5"/>
    <n v="4"/>
    <n v="5"/>
    <n v="3"/>
    <n v="453"/>
    <x v="3"/>
  </r>
  <r>
    <s v="C0033"/>
    <n v="150"/>
    <n v="3"/>
    <n v="23230"/>
    <n v="3"/>
    <n v="3"/>
    <n v="3"/>
    <n v="333"/>
    <x v="3"/>
  </r>
  <r>
    <s v="C0034"/>
    <n v="116"/>
    <n v="2"/>
    <n v="7816"/>
    <n v="3"/>
    <n v="2"/>
    <n v="1"/>
    <n v="321"/>
    <x v="3"/>
  </r>
  <r>
    <s v="C0035"/>
    <n v="187"/>
    <n v="2"/>
    <n v="29748"/>
    <n v="2"/>
    <n v="2"/>
    <n v="4"/>
    <n v="224"/>
    <x v="1"/>
  </r>
  <r>
    <s v="C0037"/>
    <n v="95"/>
    <n v="3"/>
    <n v="28881.5"/>
    <n v="4"/>
    <n v="3"/>
    <n v="4"/>
    <n v="434"/>
    <x v="3"/>
  </r>
  <r>
    <s v="C0038"/>
    <n v="545"/>
    <n v="1"/>
    <n v="5121"/>
    <n v="1"/>
    <n v="1"/>
    <n v="1"/>
    <n v="111"/>
    <x v="1"/>
  </r>
  <r>
    <s v="C0039"/>
    <n v="95"/>
    <n v="4"/>
    <n v="47835.5"/>
    <n v="4"/>
    <n v="4"/>
    <n v="5"/>
    <n v="445"/>
    <x v="2"/>
  </r>
  <r>
    <s v="C0040"/>
    <n v="206"/>
    <n v="6"/>
    <n v="44489"/>
    <n v="2"/>
    <n v="5"/>
    <n v="5"/>
    <n v="255"/>
    <x v="4"/>
  </r>
  <r>
    <s v="C0041"/>
    <n v="180"/>
    <n v="3"/>
    <n v="37089"/>
    <n v="3"/>
    <n v="3"/>
    <n v="4"/>
    <n v="334"/>
    <x v="3"/>
  </r>
  <r>
    <s v="C0042"/>
    <n v="38"/>
    <n v="2"/>
    <n v="3253.5"/>
    <n v="5"/>
    <n v="2"/>
    <n v="1"/>
    <n v="521"/>
    <x v="0"/>
  </r>
  <r>
    <s v="C0043"/>
    <n v="27"/>
    <n v="4"/>
    <n v="65322.5"/>
    <n v="5"/>
    <n v="4"/>
    <n v="5"/>
    <n v="545"/>
    <x v="2"/>
  </r>
  <r>
    <s v="C0044"/>
    <n v="94"/>
    <n v="4"/>
    <n v="54014.9"/>
    <n v="4"/>
    <n v="4"/>
    <n v="5"/>
    <n v="445"/>
    <x v="2"/>
  </r>
  <r>
    <s v="C0045"/>
    <n v="96"/>
    <n v="2"/>
    <n v="6426"/>
    <n v="4"/>
    <n v="2"/>
    <n v="1"/>
    <n v="421"/>
    <x v="0"/>
  </r>
  <r>
    <s v="C0046"/>
    <n v="24"/>
    <n v="4"/>
    <n v="33344.5"/>
    <n v="5"/>
    <n v="4"/>
    <n v="4"/>
    <n v="544"/>
    <x v="2"/>
  </r>
  <r>
    <s v="C0047"/>
    <n v="171"/>
    <n v="5"/>
    <n v="43232"/>
    <n v="3"/>
    <n v="5"/>
    <n v="5"/>
    <n v="355"/>
    <x v="3"/>
  </r>
  <r>
    <s v="C0048"/>
    <n v="41"/>
    <n v="6"/>
    <n v="19950.400000000001"/>
    <n v="5"/>
    <n v="5"/>
    <n v="3"/>
    <n v="553"/>
    <x v="3"/>
  </r>
  <r>
    <s v="C0049"/>
    <n v="399"/>
    <n v="3"/>
    <n v="19629.5"/>
    <n v="1"/>
    <n v="3"/>
    <n v="3"/>
    <n v="133"/>
    <x v="3"/>
  </r>
  <r>
    <s v="C0050"/>
    <n v="382"/>
    <n v="1"/>
    <n v="3932"/>
    <n v="1"/>
    <n v="1"/>
    <n v="1"/>
    <n v="111"/>
    <x v="1"/>
  </r>
  <r>
    <s v="C0051"/>
    <n v="395"/>
    <n v="3"/>
    <n v="30291.5"/>
    <n v="1"/>
    <n v="3"/>
    <n v="4"/>
    <n v="134"/>
    <x v="3"/>
  </r>
  <r>
    <s v="C0052"/>
    <n v="72"/>
    <n v="4"/>
    <n v="67353"/>
    <n v="4"/>
    <n v="4"/>
    <n v="5"/>
    <n v="445"/>
    <x v="2"/>
  </r>
  <r>
    <s v="C0053"/>
    <n v="50"/>
    <n v="6"/>
    <n v="76791.5"/>
    <n v="4"/>
    <n v="5"/>
    <n v="5"/>
    <n v="455"/>
    <x v="2"/>
  </r>
  <r>
    <s v="C0054"/>
    <n v="93"/>
    <n v="1"/>
    <n v="342"/>
    <n v="4"/>
    <n v="1"/>
    <n v="1"/>
    <n v="411"/>
    <x v="0"/>
  </r>
  <r>
    <s v="C0055"/>
    <n v="148"/>
    <n v="2"/>
    <n v="22437"/>
    <n v="3"/>
    <n v="2"/>
    <n v="3"/>
    <n v="323"/>
    <x v="3"/>
  </r>
  <r>
    <s v="C0056"/>
    <n v="200"/>
    <n v="4"/>
    <n v="63462"/>
    <n v="2"/>
    <n v="4"/>
    <n v="5"/>
    <n v="245"/>
    <x v="4"/>
  </r>
  <r>
    <s v="C0057"/>
    <n v="251"/>
    <n v="2"/>
    <n v="9022"/>
    <n v="2"/>
    <n v="2"/>
    <n v="1"/>
    <n v="221"/>
    <x v="1"/>
  </r>
  <r>
    <s v="C0058"/>
    <n v="222"/>
    <n v="3"/>
    <n v="15827.5"/>
    <n v="2"/>
    <n v="3"/>
    <n v="2"/>
    <n v="232"/>
    <x v="3"/>
  </r>
  <r>
    <s v="C0059"/>
    <n v="84"/>
    <n v="3"/>
    <n v="27119.5"/>
    <n v="4"/>
    <n v="3"/>
    <n v="3"/>
    <n v="433"/>
    <x v="3"/>
  </r>
  <r>
    <s v="C0060"/>
    <n v="288"/>
    <n v="3"/>
    <n v="14122"/>
    <n v="2"/>
    <n v="3"/>
    <n v="2"/>
    <n v="232"/>
    <x v="3"/>
  </r>
  <r>
    <s v="C0061"/>
    <n v="92"/>
    <n v="6"/>
    <n v="32277"/>
    <n v="4"/>
    <n v="5"/>
    <n v="4"/>
    <n v="454"/>
    <x v="2"/>
  </r>
  <r>
    <s v="C0063"/>
    <n v="262"/>
    <n v="3"/>
    <n v="17035.25"/>
    <n v="2"/>
    <n v="3"/>
    <n v="2"/>
    <n v="232"/>
    <x v="3"/>
  </r>
  <r>
    <s v="C0064"/>
    <n v="350"/>
    <n v="1"/>
    <n v="8040"/>
    <n v="1"/>
    <n v="1"/>
    <n v="1"/>
    <n v="111"/>
    <x v="1"/>
  </r>
  <r>
    <s v="C0065"/>
    <n v="381"/>
    <n v="1"/>
    <n v="6525"/>
    <n v="1"/>
    <n v="1"/>
    <n v="1"/>
    <n v="111"/>
    <x v="1"/>
  </r>
  <r>
    <s v="C0066"/>
    <n v="65"/>
    <n v="2"/>
    <n v="3150.25"/>
    <n v="4"/>
    <n v="2"/>
    <n v="1"/>
    <n v="421"/>
    <x v="0"/>
  </r>
  <r>
    <s v="C0067"/>
    <n v="160"/>
    <n v="5"/>
    <n v="31612.5"/>
    <n v="3"/>
    <n v="5"/>
    <n v="4"/>
    <n v="354"/>
    <x v="3"/>
  </r>
  <r>
    <s v="C0068"/>
    <n v="275"/>
    <n v="4"/>
    <n v="46339"/>
    <n v="2"/>
    <n v="4"/>
    <n v="5"/>
    <n v="245"/>
    <x v="4"/>
  </r>
  <r>
    <s v="C0069"/>
    <n v="152"/>
    <n v="4"/>
    <n v="54787"/>
    <n v="3"/>
    <n v="4"/>
    <n v="5"/>
    <n v="345"/>
    <x v="3"/>
  </r>
  <r>
    <s v="C0070"/>
    <n v="33"/>
    <n v="2"/>
    <n v="28685.5"/>
    <n v="5"/>
    <n v="2"/>
    <n v="4"/>
    <n v="524"/>
    <x v="0"/>
  </r>
  <r>
    <s v="C0071"/>
    <n v="2"/>
    <n v="7"/>
    <n v="52056"/>
    <n v="5"/>
    <n v="5"/>
    <n v="5"/>
    <n v="555"/>
    <x v="2"/>
  </r>
  <r>
    <s v="C0072"/>
    <n v="201"/>
    <n v="3"/>
    <n v="15593"/>
    <n v="2"/>
    <n v="3"/>
    <n v="2"/>
    <n v="232"/>
    <x v="3"/>
  </r>
  <r>
    <s v="C0073"/>
    <n v="31"/>
    <n v="6"/>
    <n v="45426.5"/>
    <n v="5"/>
    <n v="5"/>
    <n v="5"/>
    <n v="555"/>
    <x v="2"/>
  </r>
  <r>
    <s v="C0074"/>
    <n v="126"/>
    <n v="3"/>
    <n v="21677"/>
    <n v="3"/>
    <n v="3"/>
    <n v="3"/>
    <n v="333"/>
    <x v="3"/>
  </r>
  <r>
    <s v="C0075"/>
    <n v="407"/>
    <n v="1"/>
    <n v="4608"/>
    <n v="1"/>
    <n v="1"/>
    <n v="1"/>
    <n v="111"/>
    <x v="1"/>
  </r>
  <r>
    <s v="C0076"/>
    <n v="18"/>
    <n v="3"/>
    <n v="12755"/>
    <n v="5"/>
    <n v="3"/>
    <n v="2"/>
    <n v="532"/>
    <x v="3"/>
  </r>
  <r>
    <s v="C0077"/>
    <n v="91"/>
    <n v="4"/>
    <n v="36091.5"/>
    <n v="4"/>
    <n v="4"/>
    <n v="4"/>
    <n v="444"/>
    <x v="2"/>
  </r>
  <r>
    <s v="C0078"/>
    <n v="346"/>
    <n v="3"/>
    <n v="36133.5"/>
    <n v="1"/>
    <n v="3"/>
    <n v="4"/>
    <n v="134"/>
    <x v="3"/>
  </r>
  <r>
    <s v="C0079"/>
    <n v="4"/>
    <n v="4"/>
    <n v="15255.2"/>
    <n v="5"/>
    <n v="4"/>
    <n v="2"/>
    <n v="542"/>
    <x v="3"/>
  </r>
  <r>
    <s v="C0080"/>
    <n v="116"/>
    <n v="5"/>
    <n v="40430.5"/>
    <n v="3"/>
    <n v="5"/>
    <n v="4"/>
    <n v="354"/>
    <x v="3"/>
  </r>
  <r>
    <s v="C0081"/>
    <n v="253"/>
    <n v="4"/>
    <n v="40674"/>
    <n v="2"/>
    <n v="4"/>
    <n v="4"/>
    <n v="244"/>
    <x v="4"/>
  </r>
  <r>
    <s v="C0082"/>
    <n v="124"/>
    <n v="4"/>
    <n v="11854"/>
    <n v="3"/>
    <n v="4"/>
    <n v="2"/>
    <n v="342"/>
    <x v="3"/>
  </r>
  <r>
    <s v="C0083"/>
    <n v="129"/>
    <n v="2"/>
    <n v="28888"/>
    <n v="3"/>
    <n v="2"/>
    <n v="4"/>
    <n v="324"/>
    <x v="3"/>
  </r>
  <r>
    <s v="C0084"/>
    <n v="196"/>
    <n v="1"/>
    <n v="14400"/>
    <n v="2"/>
    <n v="1"/>
    <n v="2"/>
    <n v="212"/>
    <x v="1"/>
  </r>
  <r>
    <s v="C0085"/>
    <n v="22"/>
    <n v="4"/>
    <n v="13724"/>
    <n v="5"/>
    <n v="4"/>
    <n v="2"/>
    <n v="542"/>
    <x v="3"/>
  </r>
  <r>
    <s v="C0086"/>
    <n v="1"/>
    <n v="5"/>
    <n v="25270"/>
    <n v="5"/>
    <n v="5"/>
    <n v="3"/>
    <n v="553"/>
    <x v="3"/>
  </r>
  <r>
    <s v="C0087"/>
    <n v="23"/>
    <n v="2"/>
    <n v="15510"/>
    <n v="5"/>
    <n v="2"/>
    <n v="2"/>
    <n v="522"/>
    <x v="0"/>
  </r>
  <r>
    <s v="C0089"/>
    <n v="126"/>
    <n v="4"/>
    <n v="14227"/>
    <n v="3"/>
    <n v="4"/>
    <n v="2"/>
    <n v="342"/>
    <x v="3"/>
  </r>
  <r>
    <s v="C0090"/>
    <n v="103"/>
    <n v="6"/>
    <n v="55285.599999999999"/>
    <n v="4"/>
    <n v="5"/>
    <n v="5"/>
    <n v="455"/>
    <x v="2"/>
  </r>
  <r>
    <s v="C0091"/>
    <n v="233"/>
    <n v="4"/>
    <n v="21814.5"/>
    <n v="2"/>
    <n v="4"/>
    <n v="3"/>
    <n v="243"/>
    <x v="4"/>
  </r>
  <r>
    <s v="C0092"/>
    <n v="171"/>
    <n v="2"/>
    <n v="25000"/>
    <n v="3"/>
    <n v="2"/>
    <n v="3"/>
    <n v="323"/>
    <x v="3"/>
  </r>
  <r>
    <s v="C0093"/>
    <n v="119"/>
    <n v="3"/>
    <n v="21568.3"/>
    <n v="3"/>
    <n v="3"/>
    <n v="3"/>
    <n v="333"/>
    <x v="3"/>
  </r>
  <r>
    <s v="C0094"/>
    <n v="43"/>
    <n v="2"/>
    <n v="1991"/>
    <n v="5"/>
    <n v="2"/>
    <n v="1"/>
    <n v="521"/>
    <x v="0"/>
  </r>
  <r>
    <s v="C0095"/>
    <n v="379"/>
    <n v="2"/>
    <n v="5524"/>
    <n v="1"/>
    <n v="2"/>
    <n v="1"/>
    <n v="121"/>
    <x v="1"/>
  </r>
  <r>
    <s v="C0096"/>
    <n v="340"/>
    <n v="4"/>
    <n v="47367.6"/>
    <n v="1"/>
    <n v="4"/>
    <n v="5"/>
    <n v="145"/>
    <x v="4"/>
  </r>
  <r>
    <s v="C0097"/>
    <n v="211"/>
    <n v="2"/>
    <n v="25433"/>
    <n v="2"/>
    <n v="2"/>
    <n v="3"/>
    <n v="223"/>
    <x v="1"/>
  </r>
  <r>
    <s v="C0098"/>
    <n v="363"/>
    <n v="2"/>
    <n v="23085.8"/>
    <n v="1"/>
    <n v="2"/>
    <n v="3"/>
    <n v="123"/>
    <x v="1"/>
  </r>
  <r>
    <s v="C0099"/>
    <n v="534"/>
    <n v="1"/>
    <n v="6021"/>
    <n v="1"/>
    <n v="1"/>
    <n v="1"/>
    <n v="111"/>
    <x v="1"/>
  </r>
  <r>
    <s v="C0101"/>
    <n v="80"/>
    <n v="2"/>
    <n v="18304"/>
    <n v="4"/>
    <n v="2"/>
    <n v="3"/>
    <n v="423"/>
    <x v="0"/>
  </r>
  <r>
    <s v="C0102"/>
    <n v="212"/>
    <n v="3"/>
    <n v="13355"/>
    <n v="2"/>
    <n v="3"/>
    <n v="2"/>
    <n v="232"/>
    <x v="3"/>
  </r>
  <r>
    <s v="C0103"/>
    <n v="67"/>
    <n v="5"/>
    <n v="29810.5"/>
    <n v="4"/>
    <n v="5"/>
    <n v="4"/>
    <n v="454"/>
    <x v="2"/>
  </r>
  <r>
    <s v="C0104"/>
    <n v="114"/>
    <n v="3"/>
    <n v="39884"/>
    <n v="3"/>
    <n v="3"/>
    <n v="4"/>
    <n v="334"/>
    <x v="3"/>
  </r>
  <r>
    <s v="C0105"/>
    <n v="275"/>
    <n v="1"/>
    <n v="11382"/>
    <n v="2"/>
    <n v="1"/>
    <n v="2"/>
    <n v="212"/>
    <x v="1"/>
  </r>
  <r>
    <s v="C0106"/>
    <n v="81"/>
    <n v="7"/>
    <n v="37840"/>
    <n v="4"/>
    <n v="5"/>
    <n v="4"/>
    <n v="454"/>
    <x v="2"/>
  </r>
  <r>
    <s v="C0107"/>
    <n v="38"/>
    <n v="2"/>
    <n v="12170"/>
    <n v="5"/>
    <n v="2"/>
    <n v="2"/>
    <n v="522"/>
    <x v="0"/>
  </r>
  <r>
    <s v="C0108"/>
    <n v="331"/>
    <n v="2"/>
    <n v="18600"/>
    <n v="1"/>
    <n v="2"/>
    <n v="3"/>
    <n v="123"/>
    <x v="1"/>
  </r>
  <r>
    <s v="C0109"/>
    <n v="146"/>
    <n v="4"/>
    <n v="37675"/>
    <n v="3"/>
    <n v="4"/>
    <n v="4"/>
    <n v="344"/>
    <x v="3"/>
  </r>
  <r>
    <s v="C0110"/>
    <n v="390"/>
    <n v="1"/>
    <n v="41297.5"/>
    <n v="1"/>
    <n v="1"/>
    <n v="4"/>
    <n v="114"/>
    <x v="1"/>
  </r>
  <r>
    <s v="C0111"/>
    <n v="460"/>
    <n v="1"/>
    <n v="25430"/>
    <n v="1"/>
    <n v="1"/>
    <n v="3"/>
    <n v="113"/>
    <x v="1"/>
  </r>
  <r>
    <s v="C0112"/>
    <n v="47"/>
    <n v="4"/>
    <n v="25443.4"/>
    <n v="5"/>
    <n v="4"/>
    <n v="3"/>
    <n v="543"/>
    <x v="3"/>
  </r>
  <r>
    <s v="C0113"/>
    <n v="97"/>
    <n v="1"/>
    <n v="2628"/>
    <n v="4"/>
    <n v="1"/>
    <n v="1"/>
    <n v="411"/>
    <x v="0"/>
  </r>
  <r>
    <s v="C0114"/>
    <n v="185"/>
    <n v="5"/>
    <n v="38353.25"/>
    <n v="2"/>
    <n v="5"/>
    <n v="4"/>
    <n v="254"/>
    <x v="4"/>
  </r>
  <r>
    <s v="C0115"/>
    <n v="134"/>
    <n v="2"/>
    <n v="21355.85"/>
    <n v="3"/>
    <n v="2"/>
    <n v="3"/>
    <n v="323"/>
    <x v="3"/>
  </r>
  <r>
    <s v="C0116"/>
    <n v="41"/>
    <n v="3"/>
    <n v="14273.5"/>
    <n v="5"/>
    <n v="3"/>
    <n v="2"/>
    <n v="532"/>
    <x v="3"/>
  </r>
  <r>
    <s v="C0117"/>
    <n v="115"/>
    <n v="3"/>
    <n v="45780"/>
    <n v="3"/>
    <n v="3"/>
    <n v="5"/>
    <n v="335"/>
    <x v="3"/>
  </r>
  <r>
    <s v="C0118"/>
    <n v="389"/>
    <n v="1"/>
    <n v="9800"/>
    <n v="1"/>
    <n v="1"/>
    <n v="1"/>
    <n v="111"/>
    <x v="1"/>
  </r>
  <r>
    <s v="C0119"/>
    <n v="3"/>
    <n v="1"/>
    <n v="267.3"/>
    <n v="5"/>
    <n v="1"/>
    <n v="1"/>
    <n v="511"/>
    <x v="0"/>
  </r>
  <r>
    <s v="C0120"/>
    <n v="123"/>
    <n v="5"/>
    <n v="30597"/>
    <n v="3"/>
    <n v="5"/>
    <n v="4"/>
    <n v="354"/>
    <x v="3"/>
  </r>
  <r>
    <s v="C0121"/>
    <n v="262"/>
    <n v="1"/>
    <n v="6100"/>
    <n v="2"/>
    <n v="1"/>
    <n v="1"/>
    <n v="211"/>
    <x v="1"/>
  </r>
  <r>
    <s v="C0122"/>
    <n v="101"/>
    <n v="8"/>
    <n v="76273.2"/>
    <n v="4"/>
    <n v="5"/>
    <n v="5"/>
    <n v="455"/>
    <x v="2"/>
  </r>
  <r>
    <s v="C0123"/>
    <n v="186"/>
    <n v="2"/>
    <n v="17196"/>
    <n v="2"/>
    <n v="2"/>
    <n v="2"/>
    <n v="222"/>
    <x v="1"/>
  </r>
  <r>
    <s v="C0124"/>
    <n v="121"/>
    <n v="1"/>
    <n v="6528"/>
    <n v="3"/>
    <n v="1"/>
    <n v="1"/>
    <n v="311"/>
    <x v="3"/>
  </r>
  <r>
    <s v="C0125"/>
    <n v="239"/>
    <n v="3"/>
    <n v="24798"/>
    <n v="2"/>
    <n v="3"/>
    <n v="3"/>
    <n v="233"/>
    <x v="3"/>
  </r>
  <r>
    <s v="C0126"/>
    <n v="408"/>
    <n v="2"/>
    <n v="13279.5"/>
    <n v="1"/>
    <n v="2"/>
    <n v="2"/>
    <n v="122"/>
    <x v="1"/>
  </r>
  <r>
    <s v="C0127"/>
    <n v="106"/>
    <n v="5"/>
    <n v="26331.5"/>
    <n v="3"/>
    <n v="5"/>
    <n v="3"/>
    <n v="353"/>
    <x v="3"/>
  </r>
  <r>
    <s v="C0128"/>
    <n v="39"/>
    <n v="4"/>
    <n v="53150"/>
    <n v="5"/>
    <n v="4"/>
    <n v="5"/>
    <n v="545"/>
    <x v="2"/>
  </r>
  <r>
    <s v="C0130"/>
    <n v="449"/>
    <n v="1"/>
    <n v="282.14999999999998"/>
    <n v="1"/>
    <n v="1"/>
    <n v="1"/>
    <n v="111"/>
    <x v="1"/>
  </r>
  <r>
    <s v="C0131"/>
    <n v="426"/>
    <n v="2"/>
    <n v="12110"/>
    <n v="1"/>
    <n v="2"/>
    <n v="2"/>
    <n v="122"/>
    <x v="1"/>
  </r>
  <r>
    <s v="C0132"/>
    <n v="145"/>
    <n v="3"/>
    <n v="31334"/>
    <n v="3"/>
    <n v="3"/>
    <n v="4"/>
    <n v="334"/>
    <x v="3"/>
  </r>
  <r>
    <s v="C0133"/>
    <n v="123"/>
    <n v="2"/>
    <n v="12388.5"/>
    <n v="3"/>
    <n v="2"/>
    <n v="2"/>
    <n v="322"/>
    <x v="3"/>
  </r>
  <r>
    <s v="C0134"/>
    <n v="213"/>
    <n v="4"/>
    <n v="64498.6"/>
    <n v="2"/>
    <n v="4"/>
    <n v="5"/>
    <n v="245"/>
    <x v="4"/>
  </r>
  <r>
    <s v="C0135"/>
    <n v="244"/>
    <n v="2"/>
    <n v="9795.5"/>
    <n v="2"/>
    <n v="2"/>
    <n v="1"/>
    <n v="221"/>
    <x v="1"/>
  </r>
  <r>
    <s v="C0136"/>
    <n v="10"/>
    <n v="3"/>
    <n v="23000"/>
    <n v="5"/>
    <n v="3"/>
    <n v="3"/>
    <n v="533"/>
    <x v="3"/>
  </r>
  <r>
    <s v="C0137"/>
    <n v="103"/>
    <n v="1"/>
    <n v="1510.5"/>
    <n v="4"/>
    <n v="1"/>
    <n v="1"/>
    <n v="411"/>
    <x v="0"/>
  </r>
  <r>
    <s v="C0138"/>
    <n v="76"/>
    <n v="2"/>
    <n v="23310"/>
    <n v="4"/>
    <n v="2"/>
    <n v="3"/>
    <n v="423"/>
    <x v="0"/>
  </r>
  <r>
    <s v="C0139"/>
    <n v="442"/>
    <n v="1"/>
    <n v="4960"/>
    <n v="1"/>
    <n v="1"/>
    <n v="1"/>
    <n v="111"/>
    <x v="1"/>
  </r>
  <r>
    <s v="C0141"/>
    <n v="260"/>
    <n v="2"/>
    <n v="11508"/>
    <n v="2"/>
    <n v="2"/>
    <n v="2"/>
    <n v="222"/>
    <x v="1"/>
  </r>
  <r>
    <s v="C0142"/>
    <n v="191"/>
    <n v="2"/>
    <n v="33094.5"/>
    <n v="2"/>
    <n v="2"/>
    <n v="4"/>
    <n v="224"/>
    <x v="1"/>
  </r>
  <r>
    <s v="C0143"/>
    <n v="145"/>
    <n v="1"/>
    <n v="6992"/>
    <n v="3"/>
    <n v="1"/>
    <n v="1"/>
    <n v="311"/>
    <x v="3"/>
  </r>
  <r>
    <s v="C0144"/>
    <n v="21"/>
    <n v="3"/>
    <n v="17922.650000000001"/>
    <n v="5"/>
    <n v="3"/>
    <n v="2"/>
    <n v="532"/>
    <x v="3"/>
  </r>
  <r>
    <s v="C0145"/>
    <n v="242"/>
    <n v="1"/>
    <n v="12698"/>
    <n v="2"/>
    <n v="1"/>
    <n v="2"/>
    <n v="212"/>
    <x v="1"/>
  </r>
  <r>
    <s v="C0146"/>
    <n v="377"/>
    <n v="2"/>
    <n v="9968"/>
    <n v="1"/>
    <n v="2"/>
    <n v="1"/>
    <n v="121"/>
    <x v="1"/>
  </r>
  <r>
    <s v="C0147"/>
    <n v="131"/>
    <n v="3"/>
    <n v="19485"/>
    <n v="3"/>
    <n v="3"/>
    <n v="3"/>
    <n v="333"/>
    <x v="3"/>
  </r>
  <r>
    <s v="C0148"/>
    <n v="94"/>
    <n v="3"/>
    <n v="18103"/>
    <n v="4"/>
    <n v="3"/>
    <n v="2"/>
    <n v="432"/>
    <x v="3"/>
  </r>
  <r>
    <s v="C0149"/>
    <n v="19"/>
    <n v="5"/>
    <n v="38180.300000000003"/>
    <n v="5"/>
    <n v="5"/>
    <n v="4"/>
    <n v="554"/>
    <x v="2"/>
  </r>
  <r>
    <s v="C0150"/>
    <n v="4"/>
    <n v="5"/>
    <n v="42748"/>
    <n v="5"/>
    <n v="5"/>
    <n v="5"/>
    <n v="555"/>
    <x v="2"/>
  </r>
  <r>
    <s v="C0152"/>
    <n v="525"/>
    <n v="1"/>
    <n v="7850"/>
    <n v="1"/>
    <n v="1"/>
    <n v="1"/>
    <n v="111"/>
    <x v="1"/>
  </r>
  <r>
    <s v="C0153"/>
    <n v="106"/>
    <n v="4"/>
    <n v="23505.7"/>
    <n v="3"/>
    <n v="4"/>
    <n v="3"/>
    <n v="343"/>
    <x v="3"/>
  </r>
  <r>
    <s v="C0154"/>
    <n v="78"/>
    <n v="5"/>
    <n v="32037.599999999999"/>
    <n v="4"/>
    <n v="5"/>
    <n v="4"/>
    <n v="454"/>
    <x v="2"/>
  </r>
  <r>
    <s v="C0155"/>
    <n v="209"/>
    <n v="7"/>
    <n v="66569"/>
    <n v="2"/>
    <n v="5"/>
    <n v="5"/>
    <n v="255"/>
    <x v="4"/>
  </r>
  <r>
    <s v="C0156"/>
    <n v="30"/>
    <n v="3"/>
    <n v="14817"/>
    <n v="5"/>
    <n v="3"/>
    <n v="2"/>
    <n v="532"/>
    <x v="3"/>
  </r>
  <r>
    <s v="C0157"/>
    <n v="484"/>
    <n v="2"/>
    <n v="18114"/>
    <n v="1"/>
    <n v="2"/>
    <n v="2"/>
    <n v="122"/>
    <x v="1"/>
  </r>
  <r>
    <s v="C0159"/>
    <n v="51"/>
    <n v="5"/>
    <n v="35640.550000000003"/>
    <n v="4"/>
    <n v="5"/>
    <n v="4"/>
    <n v="454"/>
    <x v="2"/>
  </r>
  <r>
    <s v="C0160"/>
    <n v="72"/>
    <n v="2"/>
    <n v="24536"/>
    <n v="4"/>
    <n v="2"/>
    <n v="3"/>
    <n v="423"/>
    <x v="0"/>
  </r>
  <r>
    <s v="C0161"/>
    <n v="331"/>
    <n v="3"/>
    <n v="23297.5"/>
    <n v="1"/>
    <n v="3"/>
    <n v="3"/>
    <n v="133"/>
    <x v="3"/>
  </r>
  <r>
    <s v="C0162"/>
    <n v="10"/>
    <n v="1"/>
    <n v="3690"/>
    <n v="5"/>
    <n v="1"/>
    <n v="1"/>
    <n v="511"/>
    <x v="0"/>
  </r>
  <r>
    <s v="C0163"/>
    <n v="199"/>
    <n v="2"/>
    <n v="20728"/>
    <n v="2"/>
    <n v="2"/>
    <n v="3"/>
    <n v="223"/>
    <x v="1"/>
  </r>
  <r>
    <s v="C0164"/>
    <n v="99"/>
    <n v="6"/>
    <n v="55408.3"/>
    <n v="4"/>
    <n v="5"/>
    <n v="5"/>
    <n v="455"/>
    <x v="2"/>
  </r>
  <r>
    <s v="C0165"/>
    <n v="108"/>
    <n v="4"/>
    <n v="32049"/>
    <n v="3"/>
    <n v="4"/>
    <n v="4"/>
    <n v="344"/>
    <x v="3"/>
  </r>
  <r>
    <s v="C0166"/>
    <n v="199"/>
    <n v="2"/>
    <n v="5514"/>
    <n v="2"/>
    <n v="2"/>
    <n v="1"/>
    <n v="221"/>
    <x v="1"/>
  </r>
  <r>
    <s v="C0167"/>
    <n v="84"/>
    <n v="4"/>
    <n v="70155.5"/>
    <n v="4"/>
    <n v="4"/>
    <n v="5"/>
    <n v="445"/>
    <x v="2"/>
  </r>
  <r>
    <s v="C0168"/>
    <n v="56"/>
    <n v="4"/>
    <n v="52359.5"/>
    <n v="4"/>
    <n v="4"/>
    <n v="5"/>
    <n v="445"/>
    <x v="2"/>
  </r>
  <r>
    <s v="C0169"/>
    <n v="4"/>
    <n v="1"/>
    <n v="4590"/>
    <n v="5"/>
    <n v="1"/>
    <n v="1"/>
    <n v="511"/>
    <x v="0"/>
  </r>
  <r>
    <s v="C0170"/>
    <n v="89"/>
    <n v="4"/>
    <n v="27380"/>
    <n v="4"/>
    <n v="4"/>
    <n v="3"/>
    <n v="443"/>
    <x v="3"/>
  </r>
  <r>
    <s v="C0172"/>
    <n v="38"/>
    <n v="4"/>
    <n v="36133"/>
    <n v="5"/>
    <n v="4"/>
    <n v="4"/>
    <n v="544"/>
    <x v="2"/>
  </r>
  <r>
    <s v="C0173"/>
    <n v="176"/>
    <n v="3"/>
    <n v="19080"/>
    <n v="3"/>
    <n v="3"/>
    <n v="3"/>
    <n v="333"/>
    <x v="3"/>
  </r>
  <r>
    <s v="C0174"/>
    <n v="304"/>
    <n v="3"/>
    <n v="38751.5"/>
    <n v="1"/>
    <n v="3"/>
    <n v="4"/>
    <n v="134"/>
    <x v="3"/>
  </r>
  <r>
    <s v="C0175"/>
    <n v="284"/>
    <n v="1"/>
    <n v="10710.75"/>
    <n v="2"/>
    <n v="1"/>
    <n v="2"/>
    <n v="212"/>
    <x v="1"/>
  </r>
  <r>
    <s v="C0176"/>
    <n v="378"/>
    <n v="2"/>
    <n v="37388"/>
    <n v="1"/>
    <n v="2"/>
    <n v="4"/>
    <n v="124"/>
    <x v="1"/>
  </r>
  <r>
    <s v="C0177"/>
    <n v="61"/>
    <n v="5"/>
    <n v="35349.4"/>
    <n v="4"/>
    <n v="5"/>
    <n v="4"/>
    <n v="454"/>
    <x v="2"/>
  </r>
  <r>
    <s v="C0178"/>
    <n v="191"/>
    <n v="3"/>
    <n v="28258"/>
    <n v="2"/>
    <n v="3"/>
    <n v="4"/>
    <n v="234"/>
    <x v="3"/>
  </r>
  <r>
    <s v="C0179"/>
    <n v="17"/>
    <n v="1"/>
    <n v="11530"/>
    <n v="5"/>
    <n v="1"/>
    <n v="2"/>
    <n v="512"/>
    <x v="0"/>
  </r>
  <r>
    <s v="C0180"/>
    <n v="105"/>
    <n v="3"/>
    <n v="18757"/>
    <n v="4"/>
    <n v="3"/>
    <n v="3"/>
    <n v="433"/>
    <x v="3"/>
  </r>
  <r>
    <s v="C0181"/>
    <n v="73"/>
    <n v="2"/>
    <n v="18167.55"/>
    <n v="4"/>
    <n v="2"/>
    <n v="3"/>
    <n v="423"/>
    <x v="0"/>
  </r>
  <r>
    <s v="C0182"/>
    <n v="535"/>
    <n v="1"/>
    <n v="23232"/>
    <n v="1"/>
    <n v="1"/>
    <n v="3"/>
    <n v="113"/>
    <x v="1"/>
  </r>
  <r>
    <s v="C0183"/>
    <n v="297"/>
    <n v="1"/>
    <n v="3285"/>
    <n v="2"/>
    <n v="1"/>
    <n v="1"/>
    <n v="211"/>
    <x v="1"/>
  </r>
  <r>
    <s v="C0184"/>
    <n v="180"/>
    <n v="3"/>
    <n v="40189"/>
    <n v="3"/>
    <n v="3"/>
    <n v="4"/>
    <n v="334"/>
    <x v="3"/>
  </r>
  <r>
    <s v="C0185"/>
    <n v="19"/>
    <n v="4"/>
    <n v="69856.5"/>
    <n v="5"/>
    <n v="4"/>
    <n v="5"/>
    <n v="545"/>
    <x v="2"/>
  </r>
  <r>
    <s v="C0186"/>
    <n v="287"/>
    <n v="4"/>
    <n v="30540"/>
    <n v="2"/>
    <n v="4"/>
    <n v="4"/>
    <n v="244"/>
    <x v="4"/>
  </r>
  <r>
    <s v="C0187"/>
    <n v="57"/>
    <n v="3"/>
    <n v="13124.5"/>
    <n v="4"/>
    <n v="3"/>
    <n v="2"/>
    <n v="432"/>
    <x v="3"/>
  </r>
  <r>
    <s v="C0188"/>
    <n v="113"/>
    <n v="3"/>
    <n v="14084"/>
    <n v="3"/>
    <n v="3"/>
    <n v="2"/>
    <n v="332"/>
    <x v="3"/>
  </r>
  <r>
    <s v="C0189"/>
    <n v="128"/>
    <n v="5"/>
    <n v="34188"/>
    <n v="3"/>
    <n v="5"/>
    <n v="4"/>
    <n v="354"/>
    <x v="3"/>
  </r>
  <r>
    <s v="C0190"/>
    <n v="187"/>
    <n v="3"/>
    <n v="24774"/>
    <n v="2"/>
    <n v="3"/>
    <n v="3"/>
    <n v="233"/>
    <x v="3"/>
  </r>
  <r>
    <s v="C0191"/>
    <n v="7"/>
    <n v="2"/>
    <n v="9968"/>
    <n v="5"/>
    <n v="2"/>
    <n v="1"/>
    <n v="521"/>
    <x v="0"/>
  </r>
  <r>
    <s v="C0192"/>
    <n v="143"/>
    <n v="8"/>
    <n v="93445.9"/>
    <n v="3"/>
    <n v="5"/>
    <n v="5"/>
    <n v="355"/>
    <x v="3"/>
  </r>
  <r>
    <s v="C0193"/>
    <n v="178"/>
    <n v="4"/>
    <n v="44392"/>
    <n v="3"/>
    <n v="4"/>
    <n v="5"/>
    <n v="345"/>
    <x v="3"/>
  </r>
  <r>
    <s v="C0194"/>
    <n v="351"/>
    <n v="1"/>
    <n v="11292"/>
    <n v="1"/>
    <n v="1"/>
    <n v="2"/>
    <n v="112"/>
    <x v="1"/>
  </r>
  <r>
    <s v="C0195"/>
    <n v="150"/>
    <n v="4"/>
    <n v="29825.75"/>
    <n v="3"/>
    <n v="4"/>
    <n v="4"/>
    <n v="344"/>
    <x v="3"/>
  </r>
  <r>
    <s v="C0196"/>
    <n v="154"/>
    <n v="3"/>
    <n v="36600.5"/>
    <n v="3"/>
    <n v="3"/>
    <n v="4"/>
    <n v="334"/>
    <x v="3"/>
  </r>
  <r>
    <s v="C0197"/>
    <n v="11"/>
    <n v="4"/>
    <n v="28890"/>
    <n v="5"/>
    <n v="4"/>
    <n v="4"/>
    <n v="544"/>
    <x v="2"/>
  </r>
  <r>
    <s v="C0198"/>
    <n v="190"/>
    <n v="2"/>
    <n v="19414.5"/>
    <n v="2"/>
    <n v="2"/>
    <n v="3"/>
    <n v="223"/>
    <x v="1"/>
  </r>
  <r>
    <s v="C0199"/>
    <n v="102"/>
    <n v="5"/>
    <n v="44247"/>
    <n v="4"/>
    <n v="5"/>
    <n v="5"/>
    <n v="455"/>
    <x v="2"/>
  </r>
  <r>
    <s v="C0200"/>
    <n v="108"/>
    <n v="2"/>
    <n v="22900.5"/>
    <n v="3"/>
    <n v="2"/>
    <n v="3"/>
    <n v="323"/>
    <x v="3"/>
  </r>
  <r>
    <s v="C0201"/>
    <n v="342"/>
    <n v="1"/>
    <n v="3726"/>
    <n v="1"/>
    <n v="1"/>
    <n v="1"/>
    <n v="111"/>
    <x v="1"/>
  </r>
  <r>
    <s v="C0202"/>
    <n v="130"/>
    <n v="4"/>
    <n v="41578.5"/>
    <n v="3"/>
    <n v="4"/>
    <n v="5"/>
    <n v="345"/>
    <x v="3"/>
  </r>
  <r>
    <s v="C0203"/>
    <n v="138"/>
    <n v="2"/>
    <n v="3078"/>
    <n v="3"/>
    <n v="2"/>
    <n v="1"/>
    <n v="321"/>
    <x v="3"/>
  </r>
  <r>
    <s v="C0204"/>
    <n v="48"/>
    <n v="7"/>
    <n v="68005.05"/>
    <n v="4"/>
    <n v="5"/>
    <n v="5"/>
    <n v="455"/>
    <x v="2"/>
  </r>
  <r>
    <s v="C0205"/>
    <n v="414"/>
    <n v="1"/>
    <n v="5081"/>
    <n v="1"/>
    <n v="1"/>
    <n v="1"/>
    <n v="111"/>
    <x v="1"/>
  </r>
  <r>
    <s v="C0206"/>
    <n v="9"/>
    <n v="3"/>
    <n v="27284.5"/>
    <n v="5"/>
    <n v="3"/>
    <n v="3"/>
    <n v="533"/>
    <x v="3"/>
  </r>
  <r>
    <s v="C0207"/>
    <n v="414"/>
    <n v="2"/>
    <n v="7832"/>
    <n v="1"/>
    <n v="2"/>
    <n v="1"/>
    <n v="121"/>
    <x v="1"/>
  </r>
  <r>
    <s v="C0208"/>
    <n v="273"/>
    <n v="2"/>
    <n v="16417.95"/>
    <n v="2"/>
    <n v="2"/>
    <n v="2"/>
    <n v="222"/>
    <x v="1"/>
  </r>
  <r>
    <s v="C0209"/>
    <n v="122"/>
    <n v="3"/>
    <n v="60622"/>
    <n v="3"/>
    <n v="3"/>
    <n v="5"/>
    <n v="335"/>
    <x v="3"/>
  </r>
  <r>
    <s v="C0210"/>
    <n v="503"/>
    <n v="1"/>
    <n v="21171.8"/>
    <n v="1"/>
    <n v="1"/>
    <n v="3"/>
    <n v="113"/>
    <x v="1"/>
  </r>
  <r>
    <s v="C0211"/>
    <n v="67"/>
    <n v="5"/>
    <n v="42015"/>
    <n v="4"/>
    <n v="5"/>
    <n v="5"/>
    <n v="455"/>
    <x v="2"/>
  </r>
  <r>
    <s v="C0212"/>
    <n v="171"/>
    <n v="2"/>
    <n v="18847.5"/>
    <n v="3"/>
    <n v="2"/>
    <n v="3"/>
    <n v="323"/>
    <x v="3"/>
  </r>
  <r>
    <s v="C0213"/>
    <n v="204"/>
    <n v="4"/>
    <n v="17842.5"/>
    <n v="2"/>
    <n v="4"/>
    <n v="2"/>
    <n v="242"/>
    <x v="4"/>
  </r>
  <r>
    <s v="C0214"/>
    <n v="108"/>
    <n v="3"/>
    <n v="18939.7"/>
    <n v="3"/>
    <n v="3"/>
    <n v="3"/>
    <n v="333"/>
    <x v="3"/>
  </r>
  <r>
    <s v="C0215"/>
    <n v="47"/>
    <n v="4"/>
    <n v="38588.5"/>
    <n v="5"/>
    <n v="4"/>
    <n v="4"/>
    <n v="544"/>
    <x v="2"/>
  </r>
  <r>
    <s v="C0216"/>
    <n v="62"/>
    <n v="4"/>
    <n v="64243.5"/>
    <n v="4"/>
    <n v="4"/>
    <n v="5"/>
    <n v="445"/>
    <x v="2"/>
  </r>
  <r>
    <s v="C0217"/>
    <n v="101"/>
    <n v="4"/>
    <n v="22357.15"/>
    <n v="4"/>
    <n v="4"/>
    <n v="3"/>
    <n v="443"/>
    <x v="3"/>
  </r>
  <r>
    <s v="C0218"/>
    <n v="284"/>
    <n v="2"/>
    <n v="36622"/>
    <n v="2"/>
    <n v="2"/>
    <n v="4"/>
    <n v="224"/>
    <x v="1"/>
  </r>
  <r>
    <s v="C0219"/>
    <n v="374"/>
    <n v="3"/>
    <n v="12186"/>
    <n v="1"/>
    <n v="3"/>
    <n v="2"/>
    <n v="132"/>
    <x v="3"/>
  </r>
  <r>
    <s v="C0220"/>
    <n v="322"/>
    <n v="1"/>
    <n v="13900"/>
    <n v="1"/>
    <n v="1"/>
    <n v="2"/>
    <n v="112"/>
    <x v="1"/>
  </r>
  <r>
    <s v="C0221"/>
    <n v="314"/>
    <n v="3"/>
    <n v="6979"/>
    <n v="1"/>
    <n v="3"/>
    <n v="1"/>
    <n v="131"/>
    <x v="3"/>
  </r>
  <r>
    <s v="C0222"/>
    <n v="236"/>
    <n v="2"/>
    <n v="13320.5"/>
    <n v="2"/>
    <n v="2"/>
    <n v="2"/>
    <n v="222"/>
    <x v="1"/>
  </r>
  <r>
    <s v="C0223"/>
    <n v="218"/>
    <n v="1"/>
    <n v="6859.5"/>
    <n v="2"/>
    <n v="1"/>
    <n v="1"/>
    <n v="211"/>
    <x v="1"/>
  </r>
  <r>
    <s v="C0224"/>
    <n v="234"/>
    <n v="4"/>
    <n v="21886.5"/>
    <n v="2"/>
    <n v="4"/>
    <n v="3"/>
    <n v="243"/>
    <x v="4"/>
  </r>
  <r>
    <s v="C0225"/>
    <n v="193"/>
    <n v="3"/>
    <n v="23123.5"/>
    <n v="2"/>
    <n v="3"/>
    <n v="3"/>
    <n v="233"/>
    <x v="3"/>
  </r>
  <r>
    <s v="C0226"/>
    <n v="104"/>
    <n v="5"/>
    <n v="33452"/>
    <n v="4"/>
    <n v="5"/>
    <n v="4"/>
    <n v="454"/>
    <x v="2"/>
  </r>
  <r>
    <s v="C0227"/>
    <n v="29"/>
    <n v="5"/>
    <n v="34793"/>
    <n v="5"/>
    <n v="5"/>
    <n v="4"/>
    <n v="554"/>
    <x v="2"/>
  </r>
  <r>
    <s v="C0228"/>
    <n v="83"/>
    <n v="5"/>
    <n v="46564.5"/>
    <n v="4"/>
    <n v="5"/>
    <n v="5"/>
    <n v="455"/>
    <x v="2"/>
  </r>
  <r>
    <s v="C0229"/>
    <n v="50"/>
    <n v="5"/>
    <n v="53442.5"/>
    <n v="4"/>
    <n v="5"/>
    <n v="5"/>
    <n v="455"/>
    <x v="2"/>
  </r>
  <r>
    <s v="C0230"/>
    <n v="44"/>
    <n v="4"/>
    <n v="57734.45"/>
    <n v="5"/>
    <n v="4"/>
    <n v="5"/>
    <n v="545"/>
    <x v="2"/>
  </r>
  <r>
    <s v="C0231"/>
    <n v="11"/>
    <n v="7"/>
    <n v="57080.5"/>
    <n v="5"/>
    <n v="5"/>
    <n v="5"/>
    <n v="555"/>
    <x v="2"/>
  </r>
  <r>
    <s v="C0232"/>
    <n v="495"/>
    <n v="1"/>
    <n v="13870"/>
    <n v="1"/>
    <n v="1"/>
    <n v="2"/>
    <n v="112"/>
    <x v="1"/>
  </r>
  <r>
    <s v="C0233"/>
    <n v="344"/>
    <n v="1"/>
    <n v="11552"/>
    <n v="1"/>
    <n v="1"/>
    <n v="2"/>
    <n v="112"/>
    <x v="1"/>
  </r>
  <r>
    <s v="C0234"/>
    <n v="439"/>
    <n v="1"/>
    <n v="8840"/>
    <n v="1"/>
    <n v="1"/>
    <n v="1"/>
    <n v="111"/>
    <x v="1"/>
  </r>
  <r>
    <s v="C0235"/>
    <n v="157"/>
    <n v="5"/>
    <n v="63741"/>
    <n v="3"/>
    <n v="5"/>
    <n v="5"/>
    <n v="355"/>
    <x v="3"/>
  </r>
  <r>
    <s v="C0236"/>
    <n v="332"/>
    <n v="2"/>
    <n v="15630"/>
    <n v="1"/>
    <n v="2"/>
    <n v="2"/>
    <n v="122"/>
    <x v="1"/>
  </r>
  <r>
    <s v="C0237"/>
    <n v="145"/>
    <n v="2"/>
    <n v="10935"/>
    <n v="3"/>
    <n v="2"/>
    <n v="2"/>
    <n v="322"/>
    <x v="3"/>
  </r>
  <r>
    <s v="C0238"/>
    <n v="162"/>
    <n v="6"/>
    <n v="31799"/>
    <n v="3"/>
    <n v="5"/>
    <n v="4"/>
    <n v="354"/>
    <x v="3"/>
  </r>
  <r>
    <s v="C0239"/>
    <n v="475"/>
    <n v="1"/>
    <n v="4320"/>
    <n v="1"/>
    <n v="1"/>
    <n v="1"/>
    <n v="111"/>
    <x v="1"/>
  </r>
  <r>
    <s v="C0241"/>
    <n v="23"/>
    <n v="3"/>
    <n v="44225.5"/>
    <n v="5"/>
    <n v="3"/>
    <n v="5"/>
    <n v="535"/>
    <x v="3"/>
  </r>
  <r>
    <s v="C0242"/>
    <n v="75"/>
    <n v="7"/>
    <n v="64802"/>
    <n v="4"/>
    <n v="5"/>
    <n v="5"/>
    <n v="455"/>
    <x v="2"/>
  </r>
  <r>
    <s v="C0243"/>
    <n v="77"/>
    <n v="4"/>
    <n v="41550.5"/>
    <n v="4"/>
    <n v="4"/>
    <n v="4"/>
    <n v="444"/>
    <x v="2"/>
  </r>
  <r>
    <s v="C0244"/>
    <n v="73"/>
    <n v="6"/>
    <n v="46834.55"/>
    <n v="4"/>
    <n v="5"/>
    <n v="5"/>
    <n v="455"/>
    <x v="2"/>
  </r>
  <r>
    <s v="C0245"/>
    <n v="30"/>
    <n v="1"/>
    <n v="2200"/>
    <n v="5"/>
    <n v="1"/>
    <n v="1"/>
    <n v="511"/>
    <x v="0"/>
  </r>
  <r>
    <s v="C0246"/>
    <n v="216"/>
    <n v="4"/>
    <n v="24291"/>
    <n v="2"/>
    <n v="4"/>
    <n v="3"/>
    <n v="243"/>
    <x v="4"/>
  </r>
  <r>
    <s v="C0247"/>
    <n v="22"/>
    <n v="3"/>
    <n v="35979.5"/>
    <n v="5"/>
    <n v="3"/>
    <n v="4"/>
    <n v="534"/>
    <x v="3"/>
  </r>
  <r>
    <s v="C0248"/>
    <n v="154"/>
    <n v="4"/>
    <n v="42100"/>
    <n v="3"/>
    <n v="4"/>
    <n v="5"/>
    <n v="345"/>
    <x v="3"/>
  </r>
  <r>
    <s v="C0249"/>
    <n v="217"/>
    <n v="1"/>
    <n v="7974"/>
    <n v="2"/>
    <n v="1"/>
    <n v="1"/>
    <n v="211"/>
    <x v="1"/>
  </r>
  <r>
    <s v="C0250"/>
    <n v="1"/>
    <n v="1"/>
    <n v="11981"/>
    <n v="5"/>
    <n v="1"/>
    <n v="2"/>
    <n v="512"/>
    <x v="0"/>
  </r>
  <r>
    <s v="C0251"/>
    <n v="322"/>
    <n v="6"/>
    <n v="50469"/>
    <n v="1"/>
    <n v="5"/>
    <n v="5"/>
    <n v="155"/>
    <x v="4"/>
  </r>
  <r>
    <s v="C0252"/>
    <n v="241"/>
    <n v="5"/>
    <n v="43758.1"/>
    <n v="2"/>
    <n v="5"/>
    <n v="5"/>
    <n v="255"/>
    <x v="4"/>
  </r>
  <r>
    <s v="C0253"/>
    <n v="22"/>
    <n v="4"/>
    <n v="3245.5"/>
    <n v="5"/>
    <n v="4"/>
    <n v="1"/>
    <n v="541"/>
    <x v="3"/>
  </r>
  <r>
    <s v="C0254"/>
    <n v="35"/>
    <n v="4"/>
    <n v="29055.5"/>
    <n v="5"/>
    <n v="4"/>
    <n v="4"/>
    <n v="544"/>
    <x v="2"/>
  </r>
  <r>
    <s v="C0255"/>
    <n v="90"/>
    <n v="5"/>
    <n v="50688"/>
    <n v="4"/>
    <n v="5"/>
    <n v="5"/>
    <n v="455"/>
    <x v="2"/>
  </r>
  <r>
    <s v="C0256"/>
    <n v="263"/>
    <n v="3"/>
    <n v="25852"/>
    <n v="2"/>
    <n v="3"/>
    <n v="3"/>
    <n v="233"/>
    <x v="3"/>
  </r>
  <r>
    <s v="C0257"/>
    <n v="14"/>
    <n v="3"/>
    <n v="7153"/>
    <n v="5"/>
    <n v="3"/>
    <n v="1"/>
    <n v="531"/>
    <x v="3"/>
  </r>
  <r>
    <s v="C0258"/>
    <n v="189"/>
    <n v="3"/>
    <n v="21780"/>
    <n v="2"/>
    <n v="3"/>
    <n v="3"/>
    <n v="233"/>
    <x v="3"/>
  </r>
  <r>
    <s v="C0259"/>
    <n v="22"/>
    <n v="4"/>
    <n v="19805"/>
    <n v="5"/>
    <n v="4"/>
    <n v="3"/>
    <n v="543"/>
    <x v="3"/>
  </r>
  <r>
    <s v="C0260"/>
    <n v="299"/>
    <n v="3"/>
    <n v="24376"/>
    <n v="1"/>
    <n v="3"/>
    <n v="3"/>
    <n v="133"/>
    <x v="3"/>
  </r>
  <r>
    <s v="C0261"/>
    <n v="73"/>
    <n v="3"/>
    <n v="17017"/>
    <n v="4"/>
    <n v="3"/>
    <n v="2"/>
    <n v="432"/>
    <x v="3"/>
  </r>
  <r>
    <s v="C0262"/>
    <n v="30"/>
    <n v="2"/>
    <n v="14250"/>
    <n v="5"/>
    <n v="2"/>
    <n v="2"/>
    <n v="522"/>
    <x v="0"/>
  </r>
  <r>
    <s v="C0263"/>
    <n v="80"/>
    <n v="6"/>
    <n v="76140.399999999994"/>
    <n v="4"/>
    <n v="5"/>
    <n v="5"/>
    <n v="455"/>
    <x v="2"/>
  </r>
  <r>
    <s v="C0264"/>
    <n v="30"/>
    <n v="4"/>
    <n v="17928"/>
    <n v="5"/>
    <n v="4"/>
    <n v="2"/>
    <n v="542"/>
    <x v="3"/>
  </r>
  <r>
    <s v="C0265"/>
    <n v="92"/>
    <n v="1"/>
    <n v="10200"/>
    <n v="4"/>
    <n v="1"/>
    <n v="2"/>
    <n v="412"/>
    <x v="0"/>
  </r>
  <r>
    <s v="C0266"/>
    <n v="212"/>
    <n v="3"/>
    <n v="40482"/>
    <n v="2"/>
    <n v="3"/>
    <n v="4"/>
    <n v="234"/>
    <x v="3"/>
  </r>
  <r>
    <s v="C0267"/>
    <n v="111"/>
    <n v="3"/>
    <n v="25531"/>
    <n v="3"/>
    <n v="3"/>
    <n v="3"/>
    <n v="333"/>
    <x v="3"/>
  </r>
  <r>
    <s v="C0268"/>
    <n v="347"/>
    <n v="2"/>
    <n v="18055"/>
    <n v="1"/>
    <n v="2"/>
    <n v="2"/>
    <n v="122"/>
    <x v="1"/>
  </r>
  <r>
    <s v="C0269"/>
    <n v="2"/>
    <n v="6"/>
    <n v="54051.5"/>
    <n v="5"/>
    <n v="5"/>
    <n v="5"/>
    <n v="555"/>
    <x v="2"/>
  </r>
  <r>
    <s v="C0270"/>
    <n v="219"/>
    <n v="5"/>
    <n v="48288"/>
    <n v="2"/>
    <n v="5"/>
    <n v="5"/>
    <n v="255"/>
    <x v="4"/>
  </r>
  <r>
    <s v="C0271"/>
    <n v="538"/>
    <n v="2"/>
    <n v="32307"/>
    <n v="1"/>
    <n v="2"/>
    <n v="4"/>
    <n v="124"/>
    <x v="1"/>
  </r>
  <r>
    <s v="C0272"/>
    <n v="29"/>
    <n v="4"/>
    <n v="53274"/>
    <n v="5"/>
    <n v="4"/>
    <n v="5"/>
    <n v="545"/>
    <x v="2"/>
  </r>
  <r>
    <s v="C0274"/>
    <n v="68"/>
    <n v="3"/>
    <n v="29392"/>
    <n v="4"/>
    <n v="3"/>
    <n v="4"/>
    <n v="434"/>
    <x v="3"/>
  </r>
  <r>
    <s v="C0275"/>
    <n v="240"/>
    <n v="4"/>
    <n v="43068"/>
    <n v="2"/>
    <n v="5"/>
    <n v="5"/>
    <n v="255"/>
    <x v="4"/>
  </r>
  <r>
    <s v="C0276"/>
    <n v="13"/>
    <n v="2"/>
    <n v="12024"/>
    <n v="5"/>
    <n v="2"/>
    <n v="2"/>
    <n v="522"/>
    <x v="0"/>
  </r>
  <r>
    <s v="C0277"/>
    <n v="53"/>
    <n v="2"/>
    <n v="11871.5"/>
    <n v="4"/>
    <n v="2"/>
    <n v="2"/>
    <n v="422"/>
    <x v="0"/>
  </r>
  <r>
    <s v="C0278"/>
    <n v="412"/>
    <n v="2"/>
    <n v="16549.5"/>
    <n v="1"/>
    <n v="2"/>
    <n v="2"/>
    <n v="122"/>
    <x v="1"/>
  </r>
  <r>
    <s v="C0279"/>
    <n v="47"/>
    <n v="2"/>
    <n v="19142"/>
    <n v="5"/>
    <n v="2"/>
    <n v="3"/>
    <n v="523"/>
    <x v="0"/>
  </r>
  <r>
    <s v="C0280"/>
    <n v="130"/>
    <n v="3"/>
    <n v="17592"/>
    <n v="3"/>
    <n v="4"/>
    <n v="2"/>
    <n v="342"/>
    <x v="3"/>
  </r>
  <r>
    <s v="C0281"/>
    <n v="228"/>
    <n v="1"/>
    <n v="6600"/>
    <n v="2"/>
    <n v="1"/>
    <n v="1"/>
    <n v="211"/>
    <x v="1"/>
  </r>
  <r>
    <s v="C0282"/>
    <n v="404"/>
    <n v="1"/>
    <n v="1960"/>
    <n v="1"/>
    <n v="1"/>
    <n v="1"/>
    <n v="111"/>
    <x v="1"/>
  </r>
  <r>
    <s v="C0283"/>
    <n v="171"/>
    <n v="4"/>
    <n v="23447.5"/>
    <n v="3"/>
    <n v="5"/>
    <n v="3"/>
    <n v="353"/>
    <x v="3"/>
  </r>
  <r>
    <s v="C0284"/>
    <n v="113"/>
    <n v="5"/>
    <n v="20717.5"/>
    <n v="3"/>
    <n v="5"/>
    <n v="3"/>
    <n v="353"/>
    <x v="3"/>
  </r>
  <r>
    <s v="C0285"/>
    <n v="197"/>
    <n v="3"/>
    <n v="30420"/>
    <n v="2"/>
    <n v="4"/>
    <n v="4"/>
    <n v="244"/>
    <x v="4"/>
  </r>
  <r>
    <s v="C0286"/>
    <n v="9"/>
    <n v="4"/>
    <n v="33536"/>
    <n v="5"/>
    <n v="5"/>
    <n v="4"/>
    <n v="554"/>
    <x v="2"/>
  </r>
  <r>
    <s v="C0287"/>
    <n v="195"/>
    <n v="3"/>
    <n v="20750"/>
    <n v="2"/>
    <n v="4"/>
    <n v="3"/>
    <n v="243"/>
    <x v="4"/>
  </r>
  <r>
    <s v="C0288"/>
    <n v="87"/>
    <n v="6"/>
    <n v="35730.400000000001"/>
    <n v="4"/>
    <n v="5"/>
    <n v="4"/>
    <n v="454"/>
    <x v="2"/>
  </r>
  <r>
    <s v="C0289"/>
    <n v="309"/>
    <n v="2"/>
    <n v="17952"/>
    <n v="1"/>
    <n v="2"/>
    <n v="2"/>
    <n v="122"/>
    <x v="1"/>
  </r>
  <r>
    <s v="C0290"/>
    <n v="63"/>
    <n v="3"/>
    <n v="20920"/>
    <n v="4"/>
    <n v="4"/>
    <n v="3"/>
    <n v="443"/>
    <x v="3"/>
  </r>
  <r>
    <s v="C0291"/>
    <n v="384"/>
    <n v="2"/>
    <n v="12188.5"/>
    <n v="1"/>
    <n v="2"/>
    <n v="2"/>
    <n v="122"/>
    <x v="1"/>
  </r>
  <r>
    <s v="C0292"/>
    <n v="253"/>
    <n v="1"/>
    <n v="8519.1"/>
    <n v="2"/>
    <n v="1"/>
    <n v="1"/>
    <n v="211"/>
    <x v="1"/>
  </r>
  <r>
    <s v="C0293"/>
    <n v="42"/>
    <n v="5"/>
    <n v="58818"/>
    <n v="5"/>
    <n v="5"/>
    <n v="5"/>
    <n v="555"/>
    <x v="2"/>
  </r>
  <r>
    <s v="C0294"/>
    <n v="216"/>
    <n v="4"/>
    <n v="30421.5"/>
    <n v="2"/>
    <n v="5"/>
    <n v="4"/>
    <n v="254"/>
    <x v="4"/>
  </r>
  <r>
    <s v="C0295"/>
    <n v="484"/>
    <n v="1"/>
    <n v="4560"/>
    <n v="1"/>
    <n v="1"/>
    <n v="1"/>
    <n v="111"/>
    <x v="1"/>
  </r>
  <r>
    <s v="C0296"/>
    <n v="313"/>
    <n v="3"/>
    <n v="41622.5"/>
    <n v="1"/>
    <n v="4"/>
    <n v="5"/>
    <n v="145"/>
    <x v="4"/>
  </r>
  <r>
    <s v="C0297"/>
    <n v="494"/>
    <n v="1"/>
    <n v="1152"/>
    <n v="1"/>
    <n v="1"/>
    <n v="1"/>
    <n v="111"/>
    <x v="1"/>
  </r>
  <r>
    <s v="C0298"/>
    <n v="397"/>
    <n v="3"/>
    <n v="63657"/>
    <n v="1"/>
    <n v="4"/>
    <n v="5"/>
    <n v="145"/>
    <x v="4"/>
  </r>
  <r>
    <s v="C0299"/>
    <n v="63"/>
    <n v="4"/>
    <n v="34182.400000000001"/>
    <n v="4"/>
    <n v="5"/>
    <n v="4"/>
    <n v="454"/>
    <x v="2"/>
  </r>
  <r>
    <s v="C0300"/>
    <n v="28"/>
    <n v="2"/>
    <n v="8998"/>
    <n v="5"/>
    <n v="3"/>
    <n v="1"/>
    <n v="53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10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5"/>
        <item x="0"/>
        <item x="4"/>
        <item x="3"/>
        <item x="1"/>
        <item t="default"/>
      </items>
    </pivotField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line_total" fld="8" baseField="0" baseItem="0"/>
  </dataFields>
  <formats count="6">
    <format dxfId="5">
      <pivotArea grandRow="1" outline="0" collapsedLevelsAreSubtotals="1" fieldPosition="0"/>
    </format>
    <format dxfId="4">
      <pivotArea dataOnly="0" labelOnly="1" grandRow="1" outline="0" fieldPosition="0"/>
    </format>
    <format dxfId="3">
      <pivotArea dataOnly="0" fieldPosition="0">
        <references count="1">
          <reference field="7" count="0"/>
        </references>
      </pivotArea>
    </format>
    <format dxfId="2">
      <pivotArea field="7" type="button" dataOnly="0" labelOnly="1" outline="0" axis="axisRow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8">
  <location ref="A3:B14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measureFilter="1" sortType="descending" defaultSubtotal="0">
      <items count="289">
        <item x="281"/>
        <item x="31"/>
        <item x="208"/>
        <item x="66"/>
        <item x="238"/>
        <item x="215"/>
        <item x="239"/>
        <item x="5"/>
        <item x="173"/>
        <item x="278"/>
        <item x="27"/>
        <item x="220"/>
        <item x="9"/>
        <item x="250"/>
        <item x="64"/>
        <item x="245"/>
        <item x="20"/>
        <item x="282"/>
        <item x="273"/>
        <item x="116"/>
        <item x="104"/>
        <item x="147"/>
        <item x="41"/>
        <item x="75"/>
        <item x="223"/>
        <item x="72"/>
        <item x="57"/>
        <item x="244"/>
        <item x="76"/>
        <item x="98"/>
        <item x="236"/>
        <item x="24"/>
        <item x="11"/>
        <item x="108"/>
        <item x="53"/>
        <item x="80"/>
        <item x="171"/>
        <item x="2"/>
        <item x="88"/>
        <item x="133"/>
        <item x="180"/>
        <item x="128"/>
        <item x="103"/>
        <item x="165"/>
        <item x="85"/>
        <item x="26"/>
        <item x="54"/>
        <item x="264"/>
        <item x="15"/>
        <item x="130"/>
        <item x="207"/>
        <item x="126"/>
        <item x="275"/>
        <item x="254"/>
        <item x="8"/>
        <item x="33"/>
        <item x="212"/>
        <item x="257"/>
        <item x="255"/>
        <item x="193"/>
        <item x="25"/>
        <item x="175"/>
        <item x="44"/>
        <item x="112"/>
        <item x="32"/>
        <item x="34"/>
        <item x="145"/>
        <item x="16"/>
        <item x="125"/>
        <item x="13"/>
        <item x="68"/>
        <item x="185"/>
        <item x="131"/>
        <item x="90"/>
        <item x="110"/>
        <item x="97"/>
        <item x="92"/>
        <item x="18"/>
        <item x="70"/>
        <item x="106"/>
        <item x="124"/>
        <item x="117"/>
        <item x="118"/>
        <item x="156"/>
        <item x="235"/>
        <item x="260"/>
        <item x="36"/>
        <item x="93"/>
        <item x="240"/>
        <item x="154"/>
        <item x="146"/>
        <item x="258"/>
        <item x="141"/>
        <item x="101"/>
        <item x="188"/>
        <item x="213"/>
        <item x="177"/>
        <item x="195"/>
        <item x="163"/>
        <item x="266"/>
        <item x="229"/>
        <item x="28"/>
        <item x="29"/>
        <item x="251"/>
        <item x="77"/>
        <item x="286"/>
        <item x="190"/>
        <item x="221"/>
        <item x="279"/>
        <item x="231"/>
        <item x="60"/>
        <item x="206"/>
        <item x="49"/>
        <item x="79"/>
        <item x="237"/>
        <item x="119"/>
        <item x="160"/>
        <item x="35"/>
        <item x="135"/>
        <item x="243"/>
        <item x="86"/>
        <item x="272"/>
        <item x="217"/>
        <item x="162"/>
        <item x="143"/>
        <item x="78"/>
        <item x="91"/>
        <item x="283"/>
        <item x="232"/>
        <item x="270"/>
        <item x="181"/>
        <item x="241"/>
        <item x="246"/>
        <item x="205"/>
        <item x="225"/>
        <item x="268"/>
        <item x="202"/>
        <item x="192"/>
        <item x="287"/>
        <item x="176"/>
        <item x="149"/>
        <item x="191"/>
        <item x="83"/>
        <item x="139"/>
        <item x="269"/>
        <item x="184"/>
        <item x="168"/>
        <item x="12"/>
        <item x="14"/>
        <item x="155"/>
        <item x="65"/>
        <item x="58"/>
        <item x="51"/>
        <item x="267"/>
        <item x="276"/>
        <item x="186"/>
        <item x="43"/>
        <item x="96"/>
        <item x="84"/>
        <item x="10"/>
        <item x="30"/>
        <item x="150"/>
        <item x="211"/>
        <item x="179"/>
        <item x="1"/>
        <item x="114"/>
        <item x="265"/>
        <item x="172"/>
        <item x="166"/>
        <item x="256"/>
        <item x="89"/>
        <item x="140"/>
        <item x="288"/>
        <item x="280"/>
        <item x="230"/>
        <item x="216"/>
        <item x="22"/>
        <item x="159"/>
        <item x="4"/>
        <item x="121"/>
        <item x="161"/>
        <item x="277"/>
        <item x="52"/>
        <item x="69"/>
        <item x="242"/>
        <item x="198"/>
        <item x="123"/>
        <item x="187"/>
        <item x="109"/>
        <item x="107"/>
        <item x="247"/>
        <item x="111"/>
        <item x="194"/>
        <item x="259"/>
        <item x="3"/>
        <item x="50"/>
        <item x="214"/>
        <item x="284"/>
        <item x="82"/>
        <item x="209"/>
        <item x="252"/>
        <item x="56"/>
        <item x="227"/>
        <item x="129"/>
        <item x="182"/>
        <item x="199"/>
        <item x="37"/>
        <item x="222"/>
        <item x="153"/>
        <item x="42"/>
        <item x="263"/>
        <item x="47"/>
        <item x="174"/>
        <item x="158"/>
        <item x="81"/>
        <item x="105"/>
        <item x="122"/>
        <item x="73"/>
        <item x="21"/>
        <item x="157"/>
        <item x="95"/>
        <item x="100"/>
        <item x="164"/>
        <item x="6"/>
        <item x="218"/>
        <item x="136"/>
        <item x="200"/>
        <item x="219"/>
        <item x="94"/>
        <item x="274"/>
        <item x="120"/>
        <item x="132"/>
        <item x="148"/>
        <item x="38"/>
        <item x="210"/>
        <item x="204"/>
        <item x="0"/>
        <item x="183"/>
        <item x="115"/>
        <item x="74"/>
        <item x="19"/>
        <item x="234"/>
        <item x="169"/>
        <item x="249"/>
        <item x="151"/>
        <item x="137"/>
        <item x="102"/>
        <item x="40"/>
        <item x="189"/>
        <item x="59"/>
        <item x="113"/>
        <item x="261"/>
        <item x="39"/>
        <item x="138"/>
        <item x="127"/>
        <item x="152"/>
        <item x="224"/>
        <item x="271"/>
        <item x="87"/>
        <item x="142"/>
        <item x="134"/>
        <item x="46"/>
        <item x="178"/>
        <item x="228"/>
        <item x="226"/>
        <item x="17"/>
        <item x="167"/>
        <item x="23"/>
        <item x="201"/>
        <item x="45"/>
        <item x="262"/>
        <item x="48"/>
        <item x="99"/>
        <item x="61"/>
        <item x="63"/>
        <item x="203"/>
        <item x="55"/>
        <item x="253"/>
        <item x="67"/>
        <item x="71"/>
        <item x="285"/>
        <item x="248"/>
        <item x="62"/>
        <item x="170"/>
        <item x="196"/>
        <item x="233"/>
        <item x="144"/>
        <item x="197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>
      <items count="4">
        <item x="0"/>
        <item x="1"/>
        <item x="2"/>
        <item x="3"/>
      </items>
    </pivotField>
  </pivotFields>
  <rowFields count="1">
    <field x="10"/>
  </rowFields>
  <rowItems count="11">
    <i>
      <x v="8"/>
    </i>
    <i>
      <x v="182"/>
    </i>
    <i>
      <x v="51"/>
    </i>
    <i>
      <x v="117"/>
    </i>
    <i>
      <x v="252"/>
    </i>
    <i>
      <x v="158"/>
    </i>
    <i>
      <x v="175"/>
    </i>
    <i>
      <x v="194"/>
    </i>
    <i>
      <x v="50"/>
    </i>
    <i>
      <x v="147"/>
    </i>
    <i t="grand">
      <x/>
    </i>
  </rowItems>
  <colItems count="1">
    <i/>
  </colItems>
  <dataFields count="1">
    <dataField name="Sum of line_total" fld="8" baseField="0" baseItem="0"/>
  </dataFields>
  <formats count="7">
    <format dxfId="12">
      <pivotArea field="10" type="button" dataOnly="0" labelOnly="1" outline="0" axis="axisRow" fieldPosition="0"/>
    </format>
    <format dxfId="11">
      <pivotArea dataOnly="0" labelOnly="1" outline="0" axis="axisValues" fieldPosition="0"/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10" count="10">
            <x v="8"/>
            <x v="50"/>
            <x v="51"/>
            <x v="117"/>
            <x v="147"/>
            <x v="158"/>
            <x v="175"/>
            <x v="182"/>
            <x v="194"/>
            <x v="252"/>
          </reference>
        </references>
      </pivotArea>
    </format>
    <format dxfId="8">
      <pivotArea dataOnly="0" labelOnly="1" fieldPosition="0">
        <references count="1">
          <reference field="10" count="10">
            <x v="8"/>
            <x v="50"/>
            <x v="51"/>
            <x v="117"/>
            <x v="147"/>
            <x v="158"/>
            <x v="175"/>
            <x v="182"/>
            <x v="194"/>
            <x v="252"/>
          </reference>
        </references>
      </pivotArea>
    </format>
    <format dxfId="7">
      <pivotArea grandRow="1" outline="0" collapsedLevelsAreSubtotals="1" fieldPosition="0"/>
    </format>
    <format dxfId="6">
      <pivotArea dataOnly="0" labelOnly="1" grandRow="1" outline="0" fieldPosition="0"/>
    </format>
  </formats>
  <chartFormats count="1"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B9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0"/>
        <item x="3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_id" fld="0" subtotal="count" baseField="0" baseItem="0"/>
  </dataFields>
  <formats count="7">
    <format dxfId="19">
      <pivotArea field="8" type="button" dataOnly="0" labelOnly="1" outline="0" axis="axisRow" fieldPosition="0"/>
    </format>
    <format dxfId="18">
      <pivotArea dataOnly="0" labelOnly="1" outline="0" axis="axisValues" fieldPosition="0"/>
    </format>
    <format dxfId="17">
      <pivotArea dataOnly="0" labelOnly="1" outline="0" axis="axisValues" fieldPosition="0"/>
    </format>
    <format dxfId="16">
      <pivotArea collapsedLevelsAreSubtotals="1" fieldPosition="0">
        <references count="1">
          <reference field="8" count="0"/>
        </references>
      </pivotArea>
    </format>
    <format dxfId="15">
      <pivotArea dataOnly="0" labelOnly="1" fieldPosition="0">
        <references count="1">
          <reference field="8" count="0"/>
        </references>
      </pivotArea>
    </format>
    <format dxfId="14">
      <pivotArea grandRow="1" outline="0" collapsedLevelsAreSubtotals="1" fieldPosition="0"/>
    </format>
    <format dxfId="13">
      <pivotArea dataOnly="0" labelOnly="1" grandRow="1" outline="0" fieldPosition="0"/>
    </format>
  </formats>
  <chartFormats count="1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A3:B25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defaultSubtotal="0">
      <items count="4">
        <item x="0"/>
        <item x="1"/>
        <item x="2"/>
        <item x="3"/>
      </items>
    </pivotField>
  </pivotFields>
  <rowFields count="2">
    <field x="11"/>
    <field x="9"/>
  </rowFields>
  <rowItems count="22">
    <i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line_total" fld="8" baseField="0" baseItem="0"/>
  </dataFields>
  <formats count="10">
    <format dxfId="29">
      <pivotArea field="11" type="button" dataOnly="0" labelOnly="1" outline="0" axis="axisRow" fieldPosition="0"/>
    </format>
    <format dxfId="28">
      <pivotArea dataOnly="0" labelOnly="1" outline="0" axis="axisValues" fieldPosition="0"/>
    </format>
    <format dxfId="27">
      <pivotArea dataOnly="0" labelOnly="1" outline="0" axis="axisValues" fieldPosition="0"/>
    </format>
    <format dxfId="26">
      <pivotArea dataOnly="0" fieldPosition="0">
        <references count="2">
          <reference field="9" count="0" defaultSubtotal="1" sumSubtotal="1" countASubtotal="1" avgSubtotal="1" maxSubtotal="1" minSubtotal="1" productSubtotal="1" countSubtotal="1" stdDevSubtotal="1" stdDevPSubtotal="1" varSubtotal="1" varPSubtotal="1"/>
          <reference field="11" count="2">
            <x v="1"/>
            <x v="2"/>
          </reference>
        </references>
      </pivotArea>
    </format>
    <format dxfId="25">
      <pivotArea collapsedLevelsAreSubtotals="1" fieldPosition="0">
        <references count="1">
          <reference field="11" count="1">
            <x v="1"/>
          </reference>
        </references>
      </pivotArea>
    </format>
    <format dxfId="24">
      <pivotArea dataOnly="0" labelOnly="1" fieldPosition="0">
        <references count="1">
          <reference field="11" count="1">
            <x v="1"/>
          </reference>
        </references>
      </pivotArea>
    </format>
    <format dxfId="23">
      <pivotArea collapsedLevelsAreSubtotals="1" fieldPosition="0">
        <references count="1">
          <reference field="11" count="1">
            <x v="2"/>
          </reference>
        </references>
      </pivotArea>
    </format>
    <format dxfId="22">
      <pivotArea dataOnly="0" labelOnly="1" fieldPosition="0">
        <references count="1">
          <reference field="11" count="1">
            <x v="2"/>
          </reference>
        </references>
      </pivotArea>
    </format>
    <format dxfId="21">
      <pivotArea grandRow="1" outline="0" collapsedLevelsAreSubtotals="1" fieldPosition="0"/>
    </format>
    <format dxfId="20">
      <pivotArea dataOnly="0" labelOnly="1" grandRow="1" outline="0" fieldPosition="0"/>
    </format>
  </formats>
  <chartFormats count="2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1">
    <queryTableFields count="10">
      <queryTableField id="1" name="customer_id" tableColumnId="31"/>
      <queryTableField id="2" name="customer_name" tableColumnId="32"/>
      <queryTableField id="3" name="city" tableColumnId="33"/>
      <queryTableField id="4" name="segment" tableColumnId="34"/>
      <queryTableField id="5" name="signup_channel" tableColumnId="35"/>
      <queryTableField id="6" name="signup_date" tableColumnId="36"/>
      <queryTableField id="7" name="email" tableColumnId="37"/>
      <queryTableField id="8" name="phone" tableColumnId="38"/>
      <queryTableField id="9" name="has_email" tableColumnId="39"/>
      <queryTableField id="10" name="has_phone" tableColumnId="40"/>
    </queryTableFields>
  </queryTableRefresh>
</queryTable>
</file>

<file path=xl/queryTables/queryTable2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12" unboundColumnsRight="5">
    <queryTableFields count="11">
      <queryTableField id="1" name="order_item_id" tableColumnId="24"/>
      <queryTableField id="2" name="order_id" tableColumnId="25"/>
      <queryTableField id="3" name="product_id" tableColumnId="26"/>
      <queryTableField id="4" name="quantity" tableColumnId="27"/>
      <queryTableField id="5" name="discount_pct" tableColumnId="28"/>
      <queryTableField id="6" name="quantity_was_imputed" tableColumnId="29"/>
      <queryTableField id="11" dataBound="0" tableColumnId="30"/>
      <queryTableField id="10" dataBound="0" tableColumnId="31"/>
      <queryTableField id="9" dataBound="0" tableColumnId="32"/>
      <queryTableField id="8" dataBound="0" tableColumnId="33"/>
      <queryTableField id="7" dataBound="0" tableColumnId="34"/>
    </queryTableFields>
  </queryTableRefresh>
</queryTable>
</file>

<file path=xl/queryTables/queryTable3.xml><?xml version="1.0" encoding="utf-8"?>
<queryTable xmlns="http://schemas.openxmlformats.org/spreadsheetml/2006/main" name="ExternalData_1" connectionId="3" autoFormatId="0" applyNumberFormats="0" applyBorderFormats="0" applyFontFormats="1" applyPatternFormats="1" applyAlignmentFormats="0" applyWidthHeightFormats="0">
  <queryTableRefresh preserveSortFilterLayout="0" nextId="6">
    <queryTableFields count="5">
      <queryTableField id="1" name="order_id" tableColumnId="16"/>
      <queryTableField id="2" name="customer_id" tableColumnId="17"/>
      <queryTableField id="3" name="order_date" tableColumnId="18"/>
      <queryTableField id="4" name="status" tableColumnId="19"/>
      <queryTableField id="5" name="payment_method" tableColumnId="20"/>
    </queryTableFields>
  </queryTableRefresh>
</queryTable>
</file>

<file path=xl/queryTables/queryTable4.xml><?xml version="1.0" encoding="utf-8"?>
<queryTable xmlns="http://schemas.openxmlformats.org/spreadsheetml/2006/main" name="ExternalData_1" connectionId="4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product_id" tableColumnId="22"/>
      <queryTableField id="2" name="product_name" tableColumnId="23"/>
      <queryTableField id="3" name="category" tableColumnId="24"/>
      <queryTableField id="4" name="unit_price" tableColumnId="25"/>
      <queryTableField id="5" name="unit_cost" tableColumnId="26"/>
      <queryTableField id="6" name="stock_qty" tableColumnId="27"/>
      <queryTableField id="7" name="price_was_imputed" tableColumnId="28"/>
    </queryTableFields>
  </queryTableRefresh>
</queryTable>
</file>

<file path=xl/queryTables/queryTable5.xml><?xml version="1.0" encoding="utf-8"?>
<queryTable xmlns="http://schemas.openxmlformats.org/spreadsheetml/2006/main" name="ExternalData_1" connectionId="5" autoFormatId="0" applyNumberFormats="0" applyBorderFormats="0" applyFontFormats="1" applyPatternFormats="1" applyAlignmentFormats="0" applyWidthHeightFormats="0">
  <queryTableRefresh preserveSortFilterLayout="0" nextId="10">
    <queryTableFields count="9">
      <queryTableField id="1" name="customer_id" tableColumnId="28"/>
      <queryTableField id="2" name="recency" tableColumnId="29"/>
      <queryTableField id="3" name="frequency" tableColumnId="30"/>
      <queryTableField id="4" name="monetary" tableColumnId="31"/>
      <queryTableField id="5" name="R_score" tableColumnId="32"/>
      <queryTableField id="6" name="F_score" tableColumnId="33"/>
      <queryTableField id="7" name="M_score" tableColumnId="34"/>
      <queryTableField id="8" name="RFM_score" tableColumnId="35"/>
      <queryTableField id="9" name="segment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id="1" name="customers_clean" displayName="customers_clean" ref="A1:J301" tableType="queryTable" totalsRowShown="0">
  <autoFilter ref="A1:J301"/>
  <tableColumns count="10">
    <tableColumn id="31" uniqueName="31" name="customer_id" queryTableFieldId="1" dataDxfId="68"/>
    <tableColumn id="32" uniqueName="32" name="customer_name" queryTableFieldId="2" dataDxfId="67"/>
    <tableColumn id="33" uniqueName="33" name="city" queryTableFieldId="3" dataDxfId="66"/>
    <tableColumn id="34" uniqueName="34" name="segment" queryTableFieldId="4" dataDxfId="65"/>
    <tableColumn id="35" uniqueName="35" name="signup_channel" queryTableFieldId="5" dataDxfId="64"/>
    <tableColumn id="36" uniqueName="36" name="signup_date" queryTableFieldId="6" dataDxfId="63"/>
    <tableColumn id="37" uniqueName="37" name="email" queryTableFieldId="7" dataDxfId="62"/>
    <tableColumn id="38" uniqueName="38" name="phone" queryTableFieldId="8" dataDxfId="61"/>
    <tableColumn id="39" uniqueName="39" name="has_email" queryTableFieldId="9" dataDxfId="60"/>
    <tableColumn id="40" uniqueName="40" name="has_phone" queryTableFieldId="10" dataDxfId="5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order_items_clean" displayName="order_items_clean" ref="A1:K1559" tableType="queryTable" totalsRowShown="0">
  <autoFilter ref="A1:K1559"/>
  <tableColumns count="11">
    <tableColumn id="24" uniqueName="24" name="order_item_id" queryTableFieldId="1" dataDxfId="58"/>
    <tableColumn id="25" uniqueName="25" name="order_id" queryTableFieldId="2" dataDxfId="57"/>
    <tableColumn id="26" uniqueName="26" name="product_id" queryTableFieldId="3" dataDxfId="56"/>
    <tableColumn id="27" uniqueName="27" name="quantity" queryTableFieldId="4" dataDxfId="55"/>
    <tableColumn id="28" uniqueName="28" name="discount_pct" queryTableFieldId="5" dataDxfId="54"/>
    <tableColumn id="29" uniqueName="29" name="quantity_was_imputed" queryTableFieldId="6" dataDxfId="53"/>
    <tableColumn id="30" uniqueName="30" name="unit_price" queryTableFieldId="11"/>
    <tableColumn id="31" uniqueName="31" name="category" queryTableFieldId="10"/>
    <tableColumn id="32" uniqueName="32" name="line_total" queryTableFieldId="9"/>
    <tableColumn id="33" uniqueName="33" name="order_date" queryTableFieldId="8" dataDxfId="52"/>
    <tableColumn id="34" uniqueName="34" name="customer_id" queryTableFieldId="7" dataDxfId="5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orders_clean" displayName="orders_clean" ref="A1:E900" tableType="queryTable" totalsRowShown="0">
  <autoFilter ref="A1:E900"/>
  <tableColumns count="5">
    <tableColumn id="16" uniqueName="16" name="order_id" queryTableFieldId="1" dataDxfId="34"/>
    <tableColumn id="17" uniqueName="17" name="customer_id" queryTableFieldId="2" dataDxfId="33"/>
    <tableColumn id="18" uniqueName="18" name="order_date" queryTableFieldId="3" dataDxfId="32"/>
    <tableColumn id="19" uniqueName="19" name="status" queryTableFieldId="4" dataDxfId="31"/>
    <tableColumn id="20" uniqueName="20" name="payment_method" queryTableFieldId="5" dataDxfId="3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products_clean" displayName="products_clean" ref="A1:G81" tableType="queryTable" totalsRowShown="0">
  <autoFilter ref="A1:G81"/>
  <tableColumns count="7">
    <tableColumn id="22" uniqueName="22" name="product_id" queryTableFieldId="1" dataDxfId="50"/>
    <tableColumn id="23" uniqueName="23" name="product_name" queryTableFieldId="2" dataDxfId="49"/>
    <tableColumn id="24" uniqueName="24" name="category" queryTableFieldId="3" dataDxfId="48"/>
    <tableColumn id="25" uniqueName="25" name="unit_price" queryTableFieldId="4" dataDxfId="47"/>
    <tableColumn id="26" uniqueName="26" name="unit_cost" queryTableFieldId="5" dataDxfId="46"/>
    <tableColumn id="27" uniqueName="27" name="stock_qty" queryTableFieldId="6" dataDxfId="45"/>
    <tableColumn id="28" uniqueName="28" name="price_was_imputed" queryTableFieldId="7" dataDxfId="4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rfm_segments" displayName="rfm_segments" ref="A1:I290" tableType="queryTable" totalsRowShown="0">
  <autoFilter ref="A1:I290"/>
  <tableColumns count="9">
    <tableColumn id="28" uniqueName="28" name="customer_id" queryTableFieldId="1" dataDxfId="43"/>
    <tableColumn id="29" uniqueName="29" name="recency" queryTableFieldId="2" dataDxfId="42"/>
    <tableColumn id="30" uniqueName="30" name="frequency" queryTableFieldId="3" dataDxfId="41"/>
    <tableColumn id="31" uniqueName="31" name="monetary" queryTableFieldId="4" dataDxfId="40"/>
    <tableColumn id="32" uniqueName="32" name="R_score" queryTableFieldId="5" dataDxfId="39"/>
    <tableColumn id="33" uniqueName="33" name="F_score" queryTableFieldId="6" dataDxfId="38"/>
    <tableColumn id="34" uniqueName="34" name="M_score" queryTableFieldId="7" dataDxfId="37"/>
    <tableColumn id="35" uniqueName="35" name="RFM_score" queryTableFieldId="8" dataDxfId="36"/>
    <tableColumn id="36" uniqueName="36" name="segment" queryTableFieldId="9" dataDxfId="3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>
      <selection sqref="A1:J301"/>
    </sheetView>
  </sheetViews>
  <sheetFormatPr defaultRowHeight="14.4" x14ac:dyDescent="0.3"/>
  <cols>
    <col min="1" max="1" width="13.6640625" bestFit="1" customWidth="1"/>
    <col min="2" max="2" width="22.6640625" bestFit="1" customWidth="1"/>
    <col min="3" max="3" width="10.109375" bestFit="1" customWidth="1"/>
    <col min="4" max="4" width="10.44140625" bestFit="1" customWidth="1"/>
    <col min="5" max="5" width="16.5546875" bestFit="1" customWidth="1"/>
    <col min="6" max="6" width="13.5546875" bestFit="1" customWidth="1"/>
    <col min="7" max="7" width="34.44140625" bestFit="1" customWidth="1"/>
    <col min="8" max="8" width="22.21875" bestFit="1" customWidth="1"/>
    <col min="9" max="9" width="11.6640625" bestFit="1" customWidth="1"/>
    <col min="10" max="10" width="12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>
        <v>45423</v>
      </c>
      <c r="G2" s="1" t="s">
        <v>15</v>
      </c>
      <c r="H2" s="1" t="s">
        <v>16</v>
      </c>
      <c r="I2" s="1" t="b">
        <v>1</v>
      </c>
      <c r="J2" s="1" t="b">
        <v>1</v>
      </c>
    </row>
    <row r="3" spans="1:10" x14ac:dyDescent="0.3">
      <c r="A3" s="1" t="s">
        <v>17</v>
      </c>
      <c r="B3" s="1" t="s">
        <v>18</v>
      </c>
      <c r="C3" s="1" t="s">
        <v>12</v>
      </c>
      <c r="D3" s="1" t="s">
        <v>19</v>
      </c>
      <c r="E3" s="1" t="s">
        <v>20</v>
      </c>
      <c r="F3" s="2">
        <v>45664</v>
      </c>
      <c r="G3" s="1" t="s">
        <v>21</v>
      </c>
      <c r="H3" s="1" t="s">
        <v>22</v>
      </c>
      <c r="I3" s="1" t="b">
        <v>1</v>
      </c>
      <c r="J3" s="1" t="b">
        <v>1</v>
      </c>
    </row>
    <row r="4" spans="1:10" x14ac:dyDescent="0.3">
      <c r="A4" s="1" t="s">
        <v>23</v>
      </c>
      <c r="B4" s="1" t="s">
        <v>24</v>
      </c>
      <c r="C4" s="1" t="s">
        <v>25</v>
      </c>
      <c r="D4" s="1" t="s">
        <v>13</v>
      </c>
      <c r="E4" s="1" t="s">
        <v>14</v>
      </c>
      <c r="F4" s="2">
        <v>45963</v>
      </c>
      <c r="G4" s="1" t="s">
        <v>26</v>
      </c>
      <c r="H4" s="1" t="s">
        <v>27</v>
      </c>
      <c r="I4" s="1" t="b">
        <v>1</v>
      </c>
      <c r="J4" s="1" t="b">
        <v>1</v>
      </c>
    </row>
    <row r="5" spans="1:10" x14ac:dyDescent="0.3">
      <c r="A5" s="1" t="s">
        <v>28</v>
      </c>
      <c r="B5" s="1" t="s">
        <v>29</v>
      </c>
      <c r="C5" s="1" t="s">
        <v>12</v>
      </c>
      <c r="D5" s="1" t="s">
        <v>30</v>
      </c>
      <c r="E5" s="1" t="s">
        <v>31</v>
      </c>
      <c r="F5" s="2">
        <v>45270</v>
      </c>
      <c r="G5" s="1" t="s">
        <v>32</v>
      </c>
      <c r="H5" s="1" t="s">
        <v>96</v>
      </c>
      <c r="I5" s="1" t="b">
        <v>1</v>
      </c>
      <c r="J5" s="1" t="b">
        <v>0</v>
      </c>
    </row>
    <row r="6" spans="1:10" x14ac:dyDescent="0.3">
      <c r="A6" s="1" t="s">
        <v>33</v>
      </c>
      <c r="B6" s="1" t="s">
        <v>34</v>
      </c>
      <c r="C6" s="1" t="s">
        <v>35</v>
      </c>
      <c r="D6" s="1" t="s">
        <v>30</v>
      </c>
      <c r="E6" s="1" t="s">
        <v>36</v>
      </c>
      <c r="F6" s="2">
        <v>45863</v>
      </c>
      <c r="G6" s="1" t="s">
        <v>37</v>
      </c>
      <c r="H6" s="1" t="s">
        <v>38</v>
      </c>
      <c r="I6" s="1" t="b">
        <v>1</v>
      </c>
      <c r="J6" s="1" t="b">
        <v>1</v>
      </c>
    </row>
    <row r="7" spans="1:10" x14ac:dyDescent="0.3">
      <c r="A7" s="1" t="s">
        <v>39</v>
      </c>
      <c r="B7" s="1" t="s">
        <v>40</v>
      </c>
      <c r="C7" s="1" t="s">
        <v>35</v>
      </c>
      <c r="D7" s="1" t="s">
        <v>13</v>
      </c>
      <c r="E7" s="1" t="s">
        <v>14</v>
      </c>
      <c r="F7" s="2">
        <v>45419</v>
      </c>
      <c r="G7" s="1" t="s">
        <v>96</v>
      </c>
      <c r="H7" s="1" t="s">
        <v>41</v>
      </c>
      <c r="I7" s="1" t="b">
        <v>0</v>
      </c>
      <c r="J7" s="1" t="b">
        <v>1</v>
      </c>
    </row>
    <row r="8" spans="1:10" x14ac:dyDescent="0.3">
      <c r="A8" s="1" t="s">
        <v>42</v>
      </c>
      <c r="B8" s="1" t="s">
        <v>43</v>
      </c>
      <c r="C8" s="1" t="s">
        <v>25</v>
      </c>
      <c r="D8" s="1" t="s">
        <v>13</v>
      </c>
      <c r="E8" s="1" t="s">
        <v>31</v>
      </c>
      <c r="F8" s="2">
        <v>45465</v>
      </c>
      <c r="G8" s="1" t="s">
        <v>44</v>
      </c>
      <c r="H8" s="1" t="s">
        <v>45</v>
      </c>
      <c r="I8" s="1" t="b">
        <v>1</v>
      </c>
      <c r="J8" s="1" t="b">
        <v>1</v>
      </c>
    </row>
    <row r="9" spans="1:10" x14ac:dyDescent="0.3">
      <c r="A9" s="1" t="s">
        <v>46</v>
      </c>
      <c r="B9" s="1" t="s">
        <v>47</v>
      </c>
      <c r="C9" s="1" t="s">
        <v>48</v>
      </c>
      <c r="D9" s="1" t="s">
        <v>13</v>
      </c>
      <c r="E9" s="1" t="s">
        <v>31</v>
      </c>
      <c r="F9" s="2">
        <v>45910</v>
      </c>
      <c r="G9" s="1" t="s">
        <v>49</v>
      </c>
      <c r="H9" s="1" t="s">
        <v>96</v>
      </c>
      <c r="I9" s="1" t="b">
        <v>1</v>
      </c>
      <c r="J9" s="1" t="b">
        <v>0</v>
      </c>
    </row>
    <row r="10" spans="1:10" x14ac:dyDescent="0.3">
      <c r="A10" s="1" t="s">
        <v>50</v>
      </c>
      <c r="B10" s="1" t="s">
        <v>51</v>
      </c>
      <c r="C10" s="1" t="s">
        <v>25</v>
      </c>
      <c r="D10" s="1" t="s">
        <v>30</v>
      </c>
      <c r="E10" s="1" t="s">
        <v>31</v>
      </c>
      <c r="F10" s="2">
        <v>45684</v>
      </c>
      <c r="G10" s="1" t="s">
        <v>52</v>
      </c>
      <c r="H10" s="1" t="s">
        <v>53</v>
      </c>
      <c r="I10" s="1" t="b">
        <v>1</v>
      </c>
      <c r="J10" s="1" t="b">
        <v>1</v>
      </c>
    </row>
    <row r="11" spans="1:10" x14ac:dyDescent="0.3">
      <c r="A11" s="1" t="s">
        <v>54</v>
      </c>
      <c r="B11" s="1" t="s">
        <v>55</v>
      </c>
      <c r="C11" s="1" t="s">
        <v>56</v>
      </c>
      <c r="D11" s="1" t="s">
        <v>13</v>
      </c>
      <c r="E11" s="1" t="s">
        <v>36</v>
      </c>
      <c r="F11" s="2">
        <v>45299</v>
      </c>
      <c r="G11" s="1" t="s">
        <v>57</v>
      </c>
      <c r="H11" s="1" t="s">
        <v>58</v>
      </c>
      <c r="I11" s="1" t="b">
        <v>1</v>
      </c>
      <c r="J11" s="1" t="b">
        <v>1</v>
      </c>
    </row>
    <row r="12" spans="1:10" x14ac:dyDescent="0.3">
      <c r="A12" s="1" t="s">
        <v>59</v>
      </c>
      <c r="B12" s="1" t="s">
        <v>60</v>
      </c>
      <c r="C12" s="1" t="s">
        <v>48</v>
      </c>
      <c r="D12" s="1" t="s">
        <v>19</v>
      </c>
      <c r="E12" s="1" t="s">
        <v>14</v>
      </c>
      <c r="F12" s="2">
        <v>46045</v>
      </c>
      <c r="G12" s="1" t="s">
        <v>61</v>
      </c>
      <c r="H12" s="1" t="s">
        <v>62</v>
      </c>
      <c r="I12" s="1" t="b">
        <v>1</v>
      </c>
      <c r="J12" s="1" t="b">
        <v>1</v>
      </c>
    </row>
    <row r="13" spans="1:10" x14ac:dyDescent="0.3">
      <c r="A13" s="1" t="s">
        <v>63</v>
      </c>
      <c r="B13" s="1" t="s">
        <v>64</v>
      </c>
      <c r="C13" s="1" t="s">
        <v>25</v>
      </c>
      <c r="D13" s="1" t="s">
        <v>30</v>
      </c>
      <c r="E13" s="1" t="s">
        <v>36</v>
      </c>
      <c r="F13" s="2">
        <v>45747</v>
      </c>
      <c r="G13" s="1" t="s">
        <v>96</v>
      </c>
      <c r="H13" s="1" t="s">
        <v>96</v>
      </c>
      <c r="I13" s="1" t="b">
        <v>0</v>
      </c>
      <c r="J13" s="1" t="b">
        <v>0</v>
      </c>
    </row>
    <row r="14" spans="1:10" x14ac:dyDescent="0.3">
      <c r="A14" s="1" t="s">
        <v>65</v>
      </c>
      <c r="B14" s="1" t="s">
        <v>66</v>
      </c>
      <c r="C14" s="1" t="s">
        <v>67</v>
      </c>
      <c r="D14" s="1" t="s">
        <v>19</v>
      </c>
      <c r="E14" s="1" t="s">
        <v>20</v>
      </c>
      <c r="F14" s="2">
        <v>45990</v>
      </c>
      <c r="G14" s="1" t="s">
        <v>68</v>
      </c>
      <c r="H14" s="1" t="s">
        <v>69</v>
      </c>
      <c r="I14" s="1" t="b">
        <v>1</v>
      </c>
      <c r="J14" s="1" t="b">
        <v>1</v>
      </c>
    </row>
    <row r="15" spans="1:10" x14ac:dyDescent="0.3">
      <c r="A15" s="1" t="s">
        <v>70</v>
      </c>
      <c r="B15" s="1" t="s">
        <v>71</v>
      </c>
      <c r="C15" s="1" t="s">
        <v>25</v>
      </c>
      <c r="D15" s="1" t="s">
        <v>19</v>
      </c>
      <c r="E15" s="1" t="s">
        <v>14</v>
      </c>
      <c r="F15" s="2">
        <v>45261</v>
      </c>
      <c r="G15" s="1" t="s">
        <v>72</v>
      </c>
      <c r="H15" s="1" t="s">
        <v>73</v>
      </c>
      <c r="I15" s="1" t="b">
        <v>1</v>
      </c>
      <c r="J15" s="1" t="b">
        <v>1</v>
      </c>
    </row>
    <row r="16" spans="1:10" x14ac:dyDescent="0.3">
      <c r="A16" s="1" t="s">
        <v>74</v>
      </c>
      <c r="B16" s="1" t="s">
        <v>75</v>
      </c>
      <c r="C16" s="1" t="s">
        <v>35</v>
      </c>
      <c r="D16" s="1" t="s">
        <v>19</v>
      </c>
      <c r="E16" s="1" t="s">
        <v>14</v>
      </c>
      <c r="F16" s="2">
        <v>45286</v>
      </c>
      <c r="G16" s="1" t="s">
        <v>76</v>
      </c>
      <c r="H16" s="1" t="s">
        <v>77</v>
      </c>
      <c r="I16" s="1" t="b">
        <v>1</v>
      </c>
      <c r="J16" s="1" t="b">
        <v>1</v>
      </c>
    </row>
    <row r="17" spans="1:10" x14ac:dyDescent="0.3">
      <c r="A17" s="1" t="s">
        <v>78</v>
      </c>
      <c r="B17" s="1" t="s">
        <v>79</v>
      </c>
      <c r="C17" s="1" t="s">
        <v>67</v>
      </c>
      <c r="D17" s="1" t="s">
        <v>19</v>
      </c>
      <c r="E17" s="1" t="s">
        <v>31</v>
      </c>
      <c r="F17" s="2">
        <v>46117</v>
      </c>
      <c r="G17" s="1" t="s">
        <v>80</v>
      </c>
      <c r="H17" s="1" t="s">
        <v>96</v>
      </c>
      <c r="I17" s="1" t="b">
        <v>1</v>
      </c>
      <c r="J17" s="1" t="b">
        <v>0</v>
      </c>
    </row>
    <row r="18" spans="1:10" x14ac:dyDescent="0.3">
      <c r="A18" s="1" t="s">
        <v>81</v>
      </c>
      <c r="B18" s="1" t="s">
        <v>82</v>
      </c>
      <c r="C18" s="1" t="s">
        <v>67</v>
      </c>
      <c r="D18" s="1" t="s">
        <v>13</v>
      </c>
      <c r="E18" s="1" t="s">
        <v>36</v>
      </c>
      <c r="F18" s="2">
        <v>45290</v>
      </c>
      <c r="G18" s="1" t="s">
        <v>83</v>
      </c>
      <c r="H18" s="1" t="s">
        <v>84</v>
      </c>
      <c r="I18" s="1" t="b">
        <v>1</v>
      </c>
      <c r="J18" s="1" t="b">
        <v>1</v>
      </c>
    </row>
    <row r="19" spans="1:10" x14ac:dyDescent="0.3">
      <c r="A19" s="1" t="s">
        <v>85</v>
      </c>
      <c r="B19" s="1" t="s">
        <v>86</v>
      </c>
      <c r="C19" s="1" t="s">
        <v>48</v>
      </c>
      <c r="D19" s="1" t="s">
        <v>13</v>
      </c>
      <c r="E19" s="1" t="s">
        <v>36</v>
      </c>
      <c r="F19" s="2">
        <v>45636</v>
      </c>
      <c r="G19" s="1" t="s">
        <v>96</v>
      </c>
      <c r="H19" s="1" t="s">
        <v>87</v>
      </c>
      <c r="I19" s="1" t="b">
        <v>0</v>
      </c>
      <c r="J19" s="1" t="b">
        <v>1</v>
      </c>
    </row>
    <row r="20" spans="1:10" x14ac:dyDescent="0.3">
      <c r="A20" s="1" t="s">
        <v>88</v>
      </c>
      <c r="B20" s="1" t="s">
        <v>89</v>
      </c>
      <c r="C20" s="1" t="s">
        <v>35</v>
      </c>
      <c r="D20" s="1" t="s">
        <v>30</v>
      </c>
      <c r="E20" s="1" t="s">
        <v>90</v>
      </c>
      <c r="F20" s="2">
        <v>46209</v>
      </c>
      <c r="G20" s="1" t="s">
        <v>91</v>
      </c>
      <c r="H20" s="1" t="s">
        <v>92</v>
      </c>
      <c r="I20" s="1" t="b">
        <v>1</v>
      </c>
      <c r="J20" s="1" t="b">
        <v>1</v>
      </c>
    </row>
    <row r="21" spans="1:10" x14ac:dyDescent="0.3">
      <c r="A21" s="1" t="s">
        <v>93</v>
      </c>
      <c r="B21" s="1" t="s">
        <v>94</v>
      </c>
      <c r="C21" s="1" t="s">
        <v>12</v>
      </c>
      <c r="D21" s="1" t="s">
        <v>30</v>
      </c>
      <c r="E21" s="1" t="s">
        <v>90</v>
      </c>
      <c r="F21" s="2">
        <v>45742</v>
      </c>
      <c r="G21" s="1" t="s">
        <v>95</v>
      </c>
      <c r="H21" s="1" t="s">
        <v>96</v>
      </c>
      <c r="I21" s="1" t="b">
        <v>1</v>
      </c>
      <c r="J21" s="1" t="b">
        <v>0</v>
      </c>
    </row>
    <row r="22" spans="1:10" x14ac:dyDescent="0.3">
      <c r="A22" s="1" t="s">
        <v>97</v>
      </c>
      <c r="B22" s="1" t="s">
        <v>98</v>
      </c>
      <c r="C22" s="1" t="s">
        <v>48</v>
      </c>
      <c r="D22" s="1" t="s">
        <v>13</v>
      </c>
      <c r="E22" s="1" t="s">
        <v>14</v>
      </c>
      <c r="F22" s="2">
        <v>45440</v>
      </c>
      <c r="G22" s="1" t="s">
        <v>99</v>
      </c>
      <c r="H22" s="1" t="s">
        <v>100</v>
      </c>
      <c r="I22" s="1" t="b">
        <v>1</v>
      </c>
      <c r="J22" s="1" t="b">
        <v>1</v>
      </c>
    </row>
    <row r="23" spans="1:10" x14ac:dyDescent="0.3">
      <c r="A23" s="1" t="s">
        <v>101</v>
      </c>
      <c r="B23" s="1" t="s">
        <v>102</v>
      </c>
      <c r="C23" s="1" t="s">
        <v>35</v>
      </c>
      <c r="D23" s="1" t="s">
        <v>30</v>
      </c>
      <c r="E23" s="1" t="s">
        <v>20</v>
      </c>
      <c r="F23" s="2">
        <v>45446</v>
      </c>
      <c r="G23" s="1" t="s">
        <v>103</v>
      </c>
      <c r="H23" s="1" t="s">
        <v>104</v>
      </c>
      <c r="I23" s="1" t="b">
        <v>1</v>
      </c>
      <c r="J23" s="1" t="b">
        <v>1</v>
      </c>
    </row>
    <row r="24" spans="1:10" x14ac:dyDescent="0.3">
      <c r="A24" s="1" t="s">
        <v>105</v>
      </c>
      <c r="B24" s="1" t="s">
        <v>106</v>
      </c>
      <c r="C24" s="1" t="s">
        <v>67</v>
      </c>
      <c r="D24" s="1" t="s">
        <v>13</v>
      </c>
      <c r="E24" s="1" t="s">
        <v>20</v>
      </c>
      <c r="F24" s="2">
        <v>45410</v>
      </c>
      <c r="G24" s="1" t="s">
        <v>107</v>
      </c>
      <c r="H24" s="1" t="s">
        <v>108</v>
      </c>
      <c r="I24" s="1" t="b">
        <v>1</v>
      </c>
      <c r="J24" s="1" t="b">
        <v>1</v>
      </c>
    </row>
    <row r="25" spans="1:10" x14ac:dyDescent="0.3">
      <c r="A25" s="1" t="s">
        <v>109</v>
      </c>
      <c r="B25" s="1" t="s">
        <v>110</v>
      </c>
      <c r="C25" s="1" t="s">
        <v>35</v>
      </c>
      <c r="D25" s="1" t="s">
        <v>19</v>
      </c>
      <c r="E25" s="1" t="s">
        <v>90</v>
      </c>
      <c r="F25" s="2">
        <v>45196</v>
      </c>
      <c r="G25" s="1" t="s">
        <v>96</v>
      </c>
      <c r="H25" s="1" t="s">
        <v>96</v>
      </c>
      <c r="I25" s="1" t="b">
        <v>0</v>
      </c>
      <c r="J25" s="1" t="b">
        <v>0</v>
      </c>
    </row>
    <row r="26" spans="1:10" x14ac:dyDescent="0.3">
      <c r="A26" s="1" t="s">
        <v>111</v>
      </c>
      <c r="B26" s="1" t="s">
        <v>112</v>
      </c>
      <c r="C26" s="1" t="s">
        <v>56</v>
      </c>
      <c r="D26" s="1" t="s">
        <v>30</v>
      </c>
      <c r="E26" s="1" t="s">
        <v>90</v>
      </c>
      <c r="F26" s="2">
        <v>45767</v>
      </c>
      <c r="G26" s="1" t="s">
        <v>113</v>
      </c>
      <c r="H26" s="1" t="s">
        <v>114</v>
      </c>
      <c r="I26" s="1" t="b">
        <v>1</v>
      </c>
      <c r="J26" s="1" t="b">
        <v>1</v>
      </c>
    </row>
    <row r="27" spans="1:10" x14ac:dyDescent="0.3">
      <c r="A27" s="1" t="s">
        <v>115</v>
      </c>
      <c r="B27" s="1" t="s">
        <v>116</v>
      </c>
      <c r="C27" s="1" t="s">
        <v>25</v>
      </c>
      <c r="D27" s="1" t="s">
        <v>19</v>
      </c>
      <c r="E27" s="1" t="s">
        <v>90</v>
      </c>
      <c r="F27" s="2">
        <v>46223</v>
      </c>
      <c r="G27" s="1" t="s">
        <v>117</v>
      </c>
      <c r="H27" s="1" t="s">
        <v>118</v>
      </c>
      <c r="I27" s="1" t="b">
        <v>1</v>
      </c>
      <c r="J27" s="1" t="b">
        <v>1</v>
      </c>
    </row>
    <row r="28" spans="1:10" x14ac:dyDescent="0.3">
      <c r="A28" s="1" t="s">
        <v>119</v>
      </c>
      <c r="B28" s="1" t="s">
        <v>120</v>
      </c>
      <c r="C28" s="1" t="s">
        <v>25</v>
      </c>
      <c r="D28" s="1" t="s">
        <v>30</v>
      </c>
      <c r="E28" s="1" t="s">
        <v>90</v>
      </c>
      <c r="F28" s="2">
        <v>46055</v>
      </c>
      <c r="G28" s="1" t="s">
        <v>121</v>
      </c>
      <c r="H28" s="1" t="s">
        <v>122</v>
      </c>
      <c r="I28" s="1" t="b">
        <v>1</v>
      </c>
      <c r="J28" s="1" t="b">
        <v>1</v>
      </c>
    </row>
    <row r="29" spans="1:10" x14ac:dyDescent="0.3">
      <c r="A29" s="1" t="s">
        <v>123</v>
      </c>
      <c r="B29" s="1" t="s">
        <v>124</v>
      </c>
      <c r="C29" s="1" t="s">
        <v>12</v>
      </c>
      <c r="D29" s="1" t="s">
        <v>30</v>
      </c>
      <c r="E29" s="1" t="s">
        <v>14</v>
      </c>
      <c r="F29" s="2">
        <v>45215</v>
      </c>
      <c r="G29" s="1" t="s">
        <v>125</v>
      </c>
      <c r="H29" s="1" t="s">
        <v>96</v>
      </c>
      <c r="I29" s="1" t="b">
        <v>1</v>
      </c>
      <c r="J29" s="1" t="b">
        <v>0</v>
      </c>
    </row>
    <row r="30" spans="1:10" x14ac:dyDescent="0.3">
      <c r="A30" s="1" t="s">
        <v>126</v>
      </c>
      <c r="B30" s="1" t="s">
        <v>127</v>
      </c>
      <c r="C30" s="1" t="s">
        <v>48</v>
      </c>
      <c r="D30" s="1" t="s">
        <v>30</v>
      </c>
      <c r="E30" s="1" t="s">
        <v>20</v>
      </c>
      <c r="F30" s="2">
        <v>46233</v>
      </c>
      <c r="G30" s="1" t="s">
        <v>128</v>
      </c>
      <c r="H30" s="1" t="s">
        <v>129</v>
      </c>
      <c r="I30" s="1" t="b">
        <v>1</v>
      </c>
      <c r="J30" s="1" t="b">
        <v>1</v>
      </c>
    </row>
    <row r="31" spans="1:10" x14ac:dyDescent="0.3">
      <c r="A31" s="1" t="s">
        <v>130</v>
      </c>
      <c r="B31" s="1" t="s">
        <v>131</v>
      </c>
      <c r="C31" s="1" t="s">
        <v>48</v>
      </c>
      <c r="D31" s="1" t="s">
        <v>30</v>
      </c>
      <c r="E31" s="1" t="s">
        <v>20</v>
      </c>
      <c r="F31" s="2">
        <v>45650</v>
      </c>
      <c r="G31" s="1" t="s">
        <v>96</v>
      </c>
      <c r="H31" s="1" t="s">
        <v>132</v>
      </c>
      <c r="I31" s="1" t="b">
        <v>0</v>
      </c>
      <c r="J31" s="1" t="b">
        <v>1</v>
      </c>
    </row>
    <row r="32" spans="1:10" x14ac:dyDescent="0.3">
      <c r="A32" s="1" t="s">
        <v>133</v>
      </c>
      <c r="B32" s="1" t="s">
        <v>134</v>
      </c>
      <c r="C32" s="1" t="s">
        <v>25</v>
      </c>
      <c r="D32" s="1" t="s">
        <v>19</v>
      </c>
      <c r="E32" s="1" t="s">
        <v>36</v>
      </c>
      <c r="F32" s="2">
        <v>45894</v>
      </c>
      <c r="G32" s="1" t="s">
        <v>135</v>
      </c>
      <c r="H32" s="1" t="s">
        <v>136</v>
      </c>
      <c r="I32" s="1" t="b">
        <v>1</v>
      </c>
      <c r="J32" s="1" t="b">
        <v>1</v>
      </c>
    </row>
    <row r="33" spans="1:10" x14ac:dyDescent="0.3">
      <c r="A33" s="1" t="s">
        <v>137</v>
      </c>
      <c r="B33" s="1" t="s">
        <v>138</v>
      </c>
      <c r="C33" s="1" t="s">
        <v>67</v>
      </c>
      <c r="D33" s="1" t="s">
        <v>30</v>
      </c>
      <c r="E33" s="1" t="s">
        <v>31</v>
      </c>
      <c r="F33" s="2">
        <v>46031</v>
      </c>
      <c r="G33" s="1" t="s">
        <v>139</v>
      </c>
      <c r="H33" s="1" t="s">
        <v>96</v>
      </c>
      <c r="I33" s="1" t="b">
        <v>1</v>
      </c>
      <c r="J33" s="1" t="b">
        <v>0</v>
      </c>
    </row>
    <row r="34" spans="1:10" x14ac:dyDescent="0.3">
      <c r="A34" s="1" t="s">
        <v>140</v>
      </c>
      <c r="B34" s="1" t="s">
        <v>141</v>
      </c>
      <c r="C34" s="1" t="s">
        <v>25</v>
      </c>
      <c r="D34" s="1" t="s">
        <v>30</v>
      </c>
      <c r="E34" s="1" t="s">
        <v>90</v>
      </c>
      <c r="F34" s="2">
        <v>45488</v>
      </c>
      <c r="G34" s="1" t="s">
        <v>142</v>
      </c>
      <c r="H34" s="1" t="s">
        <v>143</v>
      </c>
      <c r="I34" s="1" t="b">
        <v>1</v>
      </c>
      <c r="J34" s="1" t="b">
        <v>1</v>
      </c>
    </row>
    <row r="35" spans="1:10" x14ac:dyDescent="0.3">
      <c r="A35" s="1" t="s">
        <v>144</v>
      </c>
      <c r="B35" s="1" t="s">
        <v>145</v>
      </c>
      <c r="C35" s="1" t="s">
        <v>35</v>
      </c>
      <c r="D35" s="1" t="s">
        <v>13</v>
      </c>
      <c r="E35" s="1" t="s">
        <v>14</v>
      </c>
      <c r="F35" s="2">
        <v>45927</v>
      </c>
      <c r="G35" s="1" t="s">
        <v>146</v>
      </c>
      <c r="H35" s="1" t="s">
        <v>147</v>
      </c>
      <c r="I35" s="1" t="b">
        <v>1</v>
      </c>
      <c r="J35" s="1" t="b">
        <v>1</v>
      </c>
    </row>
    <row r="36" spans="1:10" x14ac:dyDescent="0.3">
      <c r="A36" s="1" t="s">
        <v>148</v>
      </c>
      <c r="B36" s="1" t="s">
        <v>149</v>
      </c>
      <c r="C36" s="1" t="s">
        <v>67</v>
      </c>
      <c r="D36" s="1" t="s">
        <v>19</v>
      </c>
      <c r="E36" s="1" t="s">
        <v>90</v>
      </c>
      <c r="F36" s="2">
        <v>46238</v>
      </c>
      <c r="G36" s="1" t="s">
        <v>150</v>
      </c>
      <c r="H36" s="1" t="s">
        <v>151</v>
      </c>
      <c r="I36" s="1" t="b">
        <v>1</v>
      </c>
      <c r="J36" s="1" t="b">
        <v>1</v>
      </c>
    </row>
    <row r="37" spans="1:10" x14ac:dyDescent="0.3">
      <c r="A37" s="1" t="s">
        <v>152</v>
      </c>
      <c r="B37" s="1" t="s">
        <v>153</v>
      </c>
      <c r="C37" s="1" t="s">
        <v>35</v>
      </c>
      <c r="D37" s="1" t="s">
        <v>13</v>
      </c>
      <c r="E37" s="1" t="s">
        <v>31</v>
      </c>
      <c r="F37" s="2">
        <v>45478</v>
      </c>
      <c r="G37" s="1" t="s">
        <v>96</v>
      </c>
      <c r="H37" s="1" t="s">
        <v>96</v>
      </c>
      <c r="I37" s="1" t="b">
        <v>0</v>
      </c>
      <c r="J37" s="1" t="b">
        <v>0</v>
      </c>
    </row>
    <row r="38" spans="1:10" x14ac:dyDescent="0.3">
      <c r="A38" s="1" t="s">
        <v>154</v>
      </c>
      <c r="B38" s="1" t="s">
        <v>155</v>
      </c>
      <c r="C38" s="1" t="s">
        <v>12</v>
      </c>
      <c r="D38" s="1" t="s">
        <v>19</v>
      </c>
      <c r="E38" s="1" t="s">
        <v>20</v>
      </c>
      <c r="F38" s="2">
        <v>45526</v>
      </c>
      <c r="G38" s="1" t="s">
        <v>156</v>
      </c>
      <c r="H38" s="1" t="s">
        <v>157</v>
      </c>
      <c r="I38" s="1" t="b">
        <v>1</v>
      </c>
      <c r="J38" s="1" t="b">
        <v>1</v>
      </c>
    </row>
    <row r="39" spans="1:10" x14ac:dyDescent="0.3">
      <c r="A39" s="1" t="s">
        <v>158</v>
      </c>
      <c r="B39" s="1" t="s">
        <v>159</v>
      </c>
      <c r="C39" s="1" t="s">
        <v>12</v>
      </c>
      <c r="D39" s="1" t="s">
        <v>19</v>
      </c>
      <c r="E39" s="1" t="s">
        <v>36</v>
      </c>
      <c r="F39" s="2">
        <v>46073</v>
      </c>
      <c r="G39" s="1" t="s">
        <v>160</v>
      </c>
      <c r="H39" s="1" t="s">
        <v>161</v>
      </c>
      <c r="I39" s="1" t="b">
        <v>1</v>
      </c>
      <c r="J39" s="1" t="b">
        <v>1</v>
      </c>
    </row>
    <row r="40" spans="1:10" x14ac:dyDescent="0.3">
      <c r="A40" s="1" t="s">
        <v>162</v>
      </c>
      <c r="B40" s="1" t="s">
        <v>163</v>
      </c>
      <c r="C40" s="1" t="s">
        <v>12</v>
      </c>
      <c r="D40" s="1" t="s">
        <v>19</v>
      </c>
      <c r="E40" s="1" t="s">
        <v>20</v>
      </c>
      <c r="F40" s="2">
        <v>45543</v>
      </c>
      <c r="G40" s="1" t="s">
        <v>164</v>
      </c>
      <c r="H40" s="1" t="s">
        <v>165</v>
      </c>
      <c r="I40" s="1" t="b">
        <v>1</v>
      </c>
      <c r="J40" s="1" t="b">
        <v>1</v>
      </c>
    </row>
    <row r="41" spans="1:10" x14ac:dyDescent="0.3">
      <c r="A41" s="1" t="s">
        <v>166</v>
      </c>
      <c r="B41" s="1" t="s">
        <v>167</v>
      </c>
      <c r="C41" s="1" t="s">
        <v>67</v>
      </c>
      <c r="D41" s="1" t="s">
        <v>13</v>
      </c>
      <c r="E41" s="1" t="s">
        <v>20</v>
      </c>
      <c r="F41" s="2">
        <v>45670</v>
      </c>
      <c r="G41" s="1" t="s">
        <v>168</v>
      </c>
      <c r="H41" s="1" t="s">
        <v>96</v>
      </c>
      <c r="I41" s="1" t="b">
        <v>1</v>
      </c>
      <c r="J41" s="1" t="b">
        <v>0</v>
      </c>
    </row>
    <row r="42" spans="1:10" x14ac:dyDescent="0.3">
      <c r="A42" s="1" t="s">
        <v>169</v>
      </c>
      <c r="B42" s="1" t="s">
        <v>170</v>
      </c>
      <c r="C42" s="1" t="s">
        <v>12</v>
      </c>
      <c r="D42" s="1" t="s">
        <v>30</v>
      </c>
      <c r="E42" s="1" t="s">
        <v>31</v>
      </c>
      <c r="F42" s="2">
        <v>46199</v>
      </c>
      <c r="G42" s="1" t="s">
        <v>171</v>
      </c>
      <c r="H42" s="1" t="s">
        <v>172</v>
      </c>
      <c r="I42" s="1" t="b">
        <v>1</v>
      </c>
      <c r="J42" s="1" t="b">
        <v>1</v>
      </c>
    </row>
    <row r="43" spans="1:10" x14ac:dyDescent="0.3">
      <c r="A43" s="1" t="s">
        <v>173</v>
      </c>
      <c r="B43" s="1" t="s">
        <v>174</v>
      </c>
      <c r="C43" s="1" t="s">
        <v>67</v>
      </c>
      <c r="D43" s="1" t="s">
        <v>30</v>
      </c>
      <c r="E43" s="1" t="s">
        <v>31</v>
      </c>
      <c r="F43" s="2">
        <v>46195</v>
      </c>
      <c r="G43" s="1" t="s">
        <v>96</v>
      </c>
      <c r="H43" s="1" t="s">
        <v>175</v>
      </c>
      <c r="I43" s="1" t="b">
        <v>0</v>
      </c>
      <c r="J43" s="1" t="b">
        <v>1</v>
      </c>
    </row>
    <row r="44" spans="1:10" x14ac:dyDescent="0.3">
      <c r="A44" s="1" t="s">
        <v>176</v>
      </c>
      <c r="B44" s="1" t="s">
        <v>177</v>
      </c>
      <c r="C44" s="1" t="s">
        <v>56</v>
      </c>
      <c r="D44" s="1" t="s">
        <v>30</v>
      </c>
      <c r="E44" s="1" t="s">
        <v>36</v>
      </c>
      <c r="F44" s="2">
        <v>45921</v>
      </c>
      <c r="G44" s="1" t="s">
        <v>178</v>
      </c>
      <c r="H44" s="1" t="s">
        <v>179</v>
      </c>
      <c r="I44" s="1" t="b">
        <v>1</v>
      </c>
      <c r="J44" s="1" t="b">
        <v>1</v>
      </c>
    </row>
    <row r="45" spans="1:10" x14ac:dyDescent="0.3">
      <c r="A45" s="1" t="s">
        <v>180</v>
      </c>
      <c r="B45" s="1" t="s">
        <v>181</v>
      </c>
      <c r="C45" s="1" t="s">
        <v>67</v>
      </c>
      <c r="D45" s="1" t="s">
        <v>13</v>
      </c>
      <c r="E45" s="1" t="s">
        <v>20</v>
      </c>
      <c r="F45" s="2">
        <v>46209</v>
      </c>
      <c r="G45" s="1" t="s">
        <v>182</v>
      </c>
      <c r="H45" s="1" t="s">
        <v>96</v>
      </c>
      <c r="I45" s="1" t="b">
        <v>1</v>
      </c>
      <c r="J45" s="1" t="b">
        <v>0</v>
      </c>
    </row>
    <row r="46" spans="1:10" x14ac:dyDescent="0.3">
      <c r="A46" s="1" t="s">
        <v>183</v>
      </c>
      <c r="B46" s="1" t="s">
        <v>184</v>
      </c>
      <c r="C46" s="1" t="s">
        <v>48</v>
      </c>
      <c r="D46" s="1" t="s">
        <v>19</v>
      </c>
      <c r="E46" s="1" t="s">
        <v>14</v>
      </c>
      <c r="F46" s="2">
        <v>45649</v>
      </c>
      <c r="G46" s="1" t="s">
        <v>185</v>
      </c>
      <c r="H46" s="1" t="s">
        <v>186</v>
      </c>
      <c r="I46" s="1" t="b">
        <v>1</v>
      </c>
      <c r="J46" s="1" t="b">
        <v>1</v>
      </c>
    </row>
    <row r="47" spans="1:10" x14ac:dyDescent="0.3">
      <c r="A47" s="1" t="s">
        <v>187</v>
      </c>
      <c r="B47" s="1" t="s">
        <v>188</v>
      </c>
      <c r="C47" s="1" t="s">
        <v>35</v>
      </c>
      <c r="D47" s="1" t="s">
        <v>13</v>
      </c>
      <c r="E47" s="1" t="s">
        <v>20</v>
      </c>
      <c r="F47" s="2">
        <v>45589</v>
      </c>
      <c r="G47" s="1" t="s">
        <v>189</v>
      </c>
      <c r="H47" s="1" t="s">
        <v>190</v>
      </c>
      <c r="I47" s="1" t="b">
        <v>1</v>
      </c>
      <c r="J47" s="1" t="b">
        <v>1</v>
      </c>
    </row>
    <row r="48" spans="1:10" x14ac:dyDescent="0.3">
      <c r="A48" s="1" t="s">
        <v>191</v>
      </c>
      <c r="B48" s="1" t="s">
        <v>192</v>
      </c>
      <c r="C48" s="1" t="s">
        <v>12</v>
      </c>
      <c r="D48" s="1" t="s">
        <v>13</v>
      </c>
      <c r="E48" s="1" t="s">
        <v>36</v>
      </c>
      <c r="F48" s="2">
        <v>45443</v>
      </c>
      <c r="G48" s="1" t="s">
        <v>193</v>
      </c>
      <c r="H48" s="1" t="s">
        <v>194</v>
      </c>
      <c r="I48" s="1" t="b">
        <v>1</v>
      </c>
      <c r="J48" s="1" t="b">
        <v>1</v>
      </c>
    </row>
    <row r="49" spans="1:10" x14ac:dyDescent="0.3">
      <c r="A49" s="1" t="s">
        <v>195</v>
      </c>
      <c r="B49" s="1" t="s">
        <v>196</v>
      </c>
      <c r="C49" s="1" t="s">
        <v>48</v>
      </c>
      <c r="D49" s="1" t="s">
        <v>13</v>
      </c>
      <c r="E49" s="1" t="s">
        <v>36</v>
      </c>
      <c r="F49" s="2">
        <v>45772</v>
      </c>
      <c r="G49" s="1" t="s">
        <v>96</v>
      </c>
      <c r="H49" s="1" t="s">
        <v>96</v>
      </c>
      <c r="I49" s="1" t="b">
        <v>0</v>
      </c>
      <c r="J49" s="1" t="b">
        <v>0</v>
      </c>
    </row>
    <row r="50" spans="1:10" x14ac:dyDescent="0.3">
      <c r="A50" s="1" t="s">
        <v>197</v>
      </c>
      <c r="B50" s="1" t="s">
        <v>198</v>
      </c>
      <c r="C50" s="1" t="s">
        <v>56</v>
      </c>
      <c r="D50" s="1" t="s">
        <v>30</v>
      </c>
      <c r="E50" s="1" t="s">
        <v>36</v>
      </c>
      <c r="F50" s="2">
        <v>45431</v>
      </c>
      <c r="G50" s="1" t="s">
        <v>199</v>
      </c>
      <c r="H50" s="1" t="s">
        <v>200</v>
      </c>
      <c r="I50" s="1" t="b">
        <v>1</v>
      </c>
      <c r="J50" s="1" t="b">
        <v>1</v>
      </c>
    </row>
    <row r="51" spans="1:10" x14ac:dyDescent="0.3">
      <c r="A51" s="1" t="s">
        <v>201</v>
      </c>
      <c r="B51" s="1" t="s">
        <v>202</v>
      </c>
      <c r="C51" s="1" t="s">
        <v>48</v>
      </c>
      <c r="D51" s="1" t="s">
        <v>19</v>
      </c>
      <c r="E51" s="1" t="s">
        <v>31</v>
      </c>
      <c r="F51" s="2">
        <v>45507</v>
      </c>
      <c r="G51" s="1" t="s">
        <v>203</v>
      </c>
      <c r="H51" s="1" t="s">
        <v>204</v>
      </c>
      <c r="I51" s="1" t="b">
        <v>1</v>
      </c>
      <c r="J51" s="1" t="b">
        <v>1</v>
      </c>
    </row>
    <row r="52" spans="1:10" x14ac:dyDescent="0.3">
      <c r="A52" s="1" t="s">
        <v>205</v>
      </c>
      <c r="B52" s="1" t="s">
        <v>206</v>
      </c>
      <c r="C52" s="1" t="s">
        <v>35</v>
      </c>
      <c r="D52" s="1" t="s">
        <v>30</v>
      </c>
      <c r="E52" s="1" t="s">
        <v>14</v>
      </c>
      <c r="F52" s="2">
        <v>45454</v>
      </c>
      <c r="G52" s="1" t="s">
        <v>207</v>
      </c>
      <c r="H52" s="1" t="s">
        <v>208</v>
      </c>
      <c r="I52" s="1" t="b">
        <v>1</v>
      </c>
      <c r="J52" s="1" t="b">
        <v>1</v>
      </c>
    </row>
    <row r="53" spans="1:10" x14ac:dyDescent="0.3">
      <c r="A53" s="1" t="s">
        <v>209</v>
      </c>
      <c r="B53" s="1" t="s">
        <v>210</v>
      </c>
      <c r="C53" s="1" t="s">
        <v>12</v>
      </c>
      <c r="D53" s="1" t="s">
        <v>30</v>
      </c>
      <c r="E53" s="1" t="s">
        <v>90</v>
      </c>
      <c r="F53" s="2">
        <v>45844</v>
      </c>
      <c r="G53" s="1" t="s">
        <v>211</v>
      </c>
      <c r="H53" s="1" t="s">
        <v>96</v>
      </c>
      <c r="I53" s="1" t="b">
        <v>1</v>
      </c>
      <c r="J53" s="1" t="b">
        <v>0</v>
      </c>
    </row>
    <row r="54" spans="1:10" x14ac:dyDescent="0.3">
      <c r="A54" s="1" t="s">
        <v>212</v>
      </c>
      <c r="B54" s="1" t="s">
        <v>213</v>
      </c>
      <c r="C54" s="1" t="s">
        <v>12</v>
      </c>
      <c r="D54" s="1" t="s">
        <v>19</v>
      </c>
      <c r="E54" s="1" t="s">
        <v>14</v>
      </c>
      <c r="F54" s="2">
        <v>45502</v>
      </c>
      <c r="G54" s="1" t="s">
        <v>214</v>
      </c>
      <c r="H54" s="1" t="s">
        <v>215</v>
      </c>
      <c r="I54" s="1" t="b">
        <v>1</v>
      </c>
      <c r="J54" s="1" t="b">
        <v>1</v>
      </c>
    </row>
    <row r="55" spans="1:10" x14ac:dyDescent="0.3">
      <c r="A55" s="1" t="s">
        <v>216</v>
      </c>
      <c r="B55" s="1" t="s">
        <v>217</v>
      </c>
      <c r="C55" s="1" t="s">
        <v>67</v>
      </c>
      <c r="D55" s="1" t="s">
        <v>19</v>
      </c>
      <c r="E55" s="1" t="s">
        <v>20</v>
      </c>
      <c r="F55" s="2">
        <v>45265</v>
      </c>
      <c r="G55" s="1" t="s">
        <v>96</v>
      </c>
      <c r="H55" s="1" t="s">
        <v>218</v>
      </c>
      <c r="I55" s="1" t="b">
        <v>0</v>
      </c>
      <c r="J55" s="1" t="b">
        <v>1</v>
      </c>
    </row>
    <row r="56" spans="1:10" x14ac:dyDescent="0.3">
      <c r="A56" s="1" t="s">
        <v>219</v>
      </c>
      <c r="B56" s="1" t="s">
        <v>220</v>
      </c>
      <c r="C56" s="1" t="s">
        <v>56</v>
      </c>
      <c r="D56" s="1" t="s">
        <v>13</v>
      </c>
      <c r="E56" s="1" t="s">
        <v>90</v>
      </c>
      <c r="F56" s="2">
        <v>46028</v>
      </c>
      <c r="G56" s="1" t="s">
        <v>221</v>
      </c>
      <c r="H56" s="1" t="s">
        <v>222</v>
      </c>
      <c r="I56" s="1" t="b">
        <v>1</v>
      </c>
      <c r="J56" s="1" t="b">
        <v>1</v>
      </c>
    </row>
    <row r="57" spans="1:10" x14ac:dyDescent="0.3">
      <c r="A57" s="1" t="s">
        <v>223</v>
      </c>
      <c r="B57" s="1" t="s">
        <v>224</v>
      </c>
      <c r="C57" s="1" t="s">
        <v>48</v>
      </c>
      <c r="D57" s="1" t="s">
        <v>13</v>
      </c>
      <c r="E57" s="1" t="s">
        <v>31</v>
      </c>
      <c r="F57" s="2">
        <v>45792</v>
      </c>
      <c r="G57" s="1" t="s">
        <v>225</v>
      </c>
      <c r="H57" s="1" t="s">
        <v>96</v>
      </c>
      <c r="I57" s="1" t="b">
        <v>1</v>
      </c>
      <c r="J57" s="1" t="b">
        <v>0</v>
      </c>
    </row>
    <row r="58" spans="1:10" x14ac:dyDescent="0.3">
      <c r="A58" s="1" t="s">
        <v>226</v>
      </c>
      <c r="B58" s="1" t="s">
        <v>227</v>
      </c>
      <c r="C58" s="1" t="s">
        <v>35</v>
      </c>
      <c r="D58" s="1" t="s">
        <v>30</v>
      </c>
      <c r="E58" s="1" t="s">
        <v>90</v>
      </c>
      <c r="F58" s="2">
        <v>45931</v>
      </c>
      <c r="G58" s="1" t="s">
        <v>228</v>
      </c>
      <c r="H58" s="1" t="s">
        <v>229</v>
      </c>
      <c r="I58" s="1" t="b">
        <v>1</v>
      </c>
      <c r="J58" s="1" t="b">
        <v>1</v>
      </c>
    </row>
    <row r="59" spans="1:10" x14ac:dyDescent="0.3">
      <c r="A59" s="1" t="s">
        <v>230</v>
      </c>
      <c r="B59" s="1" t="s">
        <v>231</v>
      </c>
      <c r="C59" s="1" t="s">
        <v>12</v>
      </c>
      <c r="D59" s="1" t="s">
        <v>30</v>
      </c>
      <c r="E59" s="1" t="s">
        <v>31</v>
      </c>
      <c r="F59" s="2">
        <v>45811</v>
      </c>
      <c r="G59" s="1" t="s">
        <v>232</v>
      </c>
      <c r="H59" s="1" t="s">
        <v>233</v>
      </c>
      <c r="I59" s="1" t="b">
        <v>1</v>
      </c>
      <c r="J59" s="1" t="b">
        <v>1</v>
      </c>
    </row>
    <row r="60" spans="1:10" x14ac:dyDescent="0.3">
      <c r="A60" s="1" t="s">
        <v>234</v>
      </c>
      <c r="B60" s="1" t="s">
        <v>235</v>
      </c>
      <c r="C60" s="1" t="s">
        <v>25</v>
      </c>
      <c r="D60" s="1" t="s">
        <v>13</v>
      </c>
      <c r="E60" s="1" t="s">
        <v>90</v>
      </c>
      <c r="F60" s="2">
        <v>45556</v>
      </c>
      <c r="G60" s="1" t="s">
        <v>236</v>
      </c>
      <c r="H60" s="1" t="s">
        <v>237</v>
      </c>
      <c r="I60" s="1" t="b">
        <v>1</v>
      </c>
      <c r="J60" s="1" t="b">
        <v>1</v>
      </c>
    </row>
    <row r="61" spans="1:10" x14ac:dyDescent="0.3">
      <c r="A61" s="1" t="s">
        <v>238</v>
      </c>
      <c r="B61" s="1" t="s">
        <v>239</v>
      </c>
      <c r="C61" s="1" t="s">
        <v>25</v>
      </c>
      <c r="D61" s="1" t="s">
        <v>30</v>
      </c>
      <c r="E61" s="1" t="s">
        <v>31</v>
      </c>
      <c r="F61" s="2">
        <v>46064</v>
      </c>
      <c r="G61" s="1" t="s">
        <v>96</v>
      </c>
      <c r="H61" s="1" t="s">
        <v>96</v>
      </c>
      <c r="I61" s="1" t="b">
        <v>0</v>
      </c>
      <c r="J61" s="1" t="b">
        <v>0</v>
      </c>
    </row>
    <row r="62" spans="1:10" x14ac:dyDescent="0.3">
      <c r="A62" s="1" t="s">
        <v>240</v>
      </c>
      <c r="B62" s="1" t="s">
        <v>241</v>
      </c>
      <c r="C62" s="1" t="s">
        <v>35</v>
      </c>
      <c r="D62" s="1" t="s">
        <v>30</v>
      </c>
      <c r="E62" s="1" t="s">
        <v>90</v>
      </c>
      <c r="F62" s="2">
        <v>45243</v>
      </c>
      <c r="G62" s="1" t="s">
        <v>242</v>
      </c>
      <c r="H62" s="1" t="s">
        <v>243</v>
      </c>
      <c r="I62" s="1" t="b">
        <v>1</v>
      </c>
      <c r="J62" s="1" t="b">
        <v>1</v>
      </c>
    </row>
    <row r="63" spans="1:10" x14ac:dyDescent="0.3">
      <c r="A63" s="1" t="s">
        <v>244</v>
      </c>
      <c r="B63" s="1" t="s">
        <v>245</v>
      </c>
      <c r="C63" s="1" t="s">
        <v>56</v>
      </c>
      <c r="D63" s="1" t="s">
        <v>13</v>
      </c>
      <c r="E63" s="1" t="s">
        <v>14</v>
      </c>
      <c r="F63" s="2">
        <v>45620</v>
      </c>
      <c r="G63" s="1" t="s">
        <v>246</v>
      </c>
      <c r="H63" s="1" t="s">
        <v>247</v>
      </c>
      <c r="I63" s="1" t="b">
        <v>1</v>
      </c>
      <c r="J63" s="1" t="b">
        <v>1</v>
      </c>
    </row>
    <row r="64" spans="1:10" x14ac:dyDescent="0.3">
      <c r="A64" s="1" t="s">
        <v>248</v>
      </c>
      <c r="B64" s="1" t="s">
        <v>249</v>
      </c>
      <c r="C64" s="1" t="s">
        <v>67</v>
      </c>
      <c r="D64" s="1" t="s">
        <v>19</v>
      </c>
      <c r="E64" s="1" t="s">
        <v>20</v>
      </c>
      <c r="F64" s="2">
        <v>46167</v>
      </c>
      <c r="G64" s="1" t="s">
        <v>250</v>
      </c>
      <c r="H64" s="1" t="s">
        <v>251</v>
      </c>
      <c r="I64" s="1" t="b">
        <v>1</v>
      </c>
      <c r="J64" s="1" t="b">
        <v>1</v>
      </c>
    </row>
    <row r="65" spans="1:10" x14ac:dyDescent="0.3">
      <c r="A65" s="1" t="s">
        <v>252</v>
      </c>
      <c r="B65" s="1" t="s">
        <v>253</v>
      </c>
      <c r="C65" s="1" t="s">
        <v>35</v>
      </c>
      <c r="D65" s="1" t="s">
        <v>13</v>
      </c>
      <c r="E65" s="1" t="s">
        <v>31</v>
      </c>
      <c r="F65" s="2">
        <v>45764</v>
      </c>
      <c r="G65" s="1" t="s">
        <v>254</v>
      </c>
      <c r="H65" s="1" t="s">
        <v>96</v>
      </c>
      <c r="I65" s="1" t="b">
        <v>1</v>
      </c>
      <c r="J65" s="1" t="b">
        <v>0</v>
      </c>
    </row>
    <row r="66" spans="1:10" x14ac:dyDescent="0.3">
      <c r="A66" s="1" t="s">
        <v>255</v>
      </c>
      <c r="B66" s="1" t="s">
        <v>256</v>
      </c>
      <c r="C66" s="1" t="s">
        <v>35</v>
      </c>
      <c r="D66" s="1" t="s">
        <v>13</v>
      </c>
      <c r="E66" s="1" t="s">
        <v>36</v>
      </c>
      <c r="F66" s="2">
        <v>45928</v>
      </c>
      <c r="G66" s="1" t="s">
        <v>257</v>
      </c>
      <c r="H66" s="1" t="s">
        <v>258</v>
      </c>
      <c r="I66" s="1" t="b">
        <v>1</v>
      </c>
      <c r="J66" s="1" t="b">
        <v>1</v>
      </c>
    </row>
    <row r="67" spans="1:10" x14ac:dyDescent="0.3">
      <c r="A67" s="1" t="s">
        <v>259</v>
      </c>
      <c r="B67" s="1" t="s">
        <v>260</v>
      </c>
      <c r="C67" s="1" t="s">
        <v>35</v>
      </c>
      <c r="D67" s="1" t="s">
        <v>30</v>
      </c>
      <c r="E67" s="1" t="s">
        <v>20</v>
      </c>
      <c r="F67" s="2">
        <v>45539</v>
      </c>
      <c r="G67" s="1" t="s">
        <v>96</v>
      </c>
      <c r="H67" s="1" t="s">
        <v>261</v>
      </c>
      <c r="I67" s="1" t="b">
        <v>0</v>
      </c>
      <c r="J67" s="1" t="b">
        <v>1</v>
      </c>
    </row>
    <row r="68" spans="1:10" x14ac:dyDescent="0.3">
      <c r="A68" s="1" t="s">
        <v>262</v>
      </c>
      <c r="B68" s="1" t="s">
        <v>263</v>
      </c>
      <c r="C68" s="1" t="s">
        <v>25</v>
      </c>
      <c r="D68" s="1" t="s">
        <v>30</v>
      </c>
      <c r="E68" s="1" t="s">
        <v>36</v>
      </c>
      <c r="F68" s="2">
        <v>45609</v>
      </c>
      <c r="G68" s="1" t="s">
        <v>264</v>
      </c>
      <c r="H68" s="1" t="s">
        <v>265</v>
      </c>
      <c r="I68" s="1" t="b">
        <v>1</v>
      </c>
      <c r="J68" s="1" t="b">
        <v>1</v>
      </c>
    </row>
    <row r="69" spans="1:10" x14ac:dyDescent="0.3">
      <c r="A69" s="1" t="s">
        <v>266</v>
      </c>
      <c r="B69" s="1" t="s">
        <v>267</v>
      </c>
      <c r="C69" s="1" t="s">
        <v>48</v>
      </c>
      <c r="D69" s="1" t="s">
        <v>13</v>
      </c>
      <c r="E69" s="1" t="s">
        <v>90</v>
      </c>
      <c r="F69" s="2">
        <v>45981</v>
      </c>
      <c r="G69" s="1" t="s">
        <v>268</v>
      </c>
      <c r="H69" s="1" t="s">
        <v>96</v>
      </c>
      <c r="I69" s="1" t="b">
        <v>1</v>
      </c>
      <c r="J69" s="1" t="b">
        <v>0</v>
      </c>
    </row>
    <row r="70" spans="1:10" x14ac:dyDescent="0.3">
      <c r="A70" s="1" t="s">
        <v>269</v>
      </c>
      <c r="B70" s="1" t="s">
        <v>270</v>
      </c>
      <c r="C70" s="1" t="s">
        <v>48</v>
      </c>
      <c r="D70" s="1" t="s">
        <v>30</v>
      </c>
      <c r="E70" s="1" t="s">
        <v>36</v>
      </c>
      <c r="F70" s="2">
        <v>46115</v>
      </c>
      <c r="G70" s="1" t="s">
        <v>271</v>
      </c>
      <c r="H70" s="1" t="s">
        <v>272</v>
      </c>
      <c r="I70" s="1" t="b">
        <v>1</v>
      </c>
      <c r="J70" s="1" t="b">
        <v>1</v>
      </c>
    </row>
    <row r="71" spans="1:10" x14ac:dyDescent="0.3">
      <c r="A71" s="1" t="s">
        <v>273</v>
      </c>
      <c r="B71" s="1" t="s">
        <v>274</v>
      </c>
      <c r="C71" s="1" t="s">
        <v>25</v>
      </c>
      <c r="D71" s="1" t="s">
        <v>30</v>
      </c>
      <c r="E71" s="1" t="s">
        <v>20</v>
      </c>
      <c r="F71" s="2">
        <v>45270</v>
      </c>
      <c r="G71" s="1" t="s">
        <v>275</v>
      </c>
      <c r="H71" s="1" t="s">
        <v>276</v>
      </c>
      <c r="I71" s="1" t="b">
        <v>1</v>
      </c>
      <c r="J71" s="1" t="b">
        <v>1</v>
      </c>
    </row>
    <row r="72" spans="1:10" x14ac:dyDescent="0.3">
      <c r="A72" s="1" t="s">
        <v>277</v>
      </c>
      <c r="B72" s="1" t="s">
        <v>278</v>
      </c>
      <c r="C72" s="1" t="s">
        <v>12</v>
      </c>
      <c r="D72" s="1" t="s">
        <v>19</v>
      </c>
      <c r="E72" s="1" t="s">
        <v>36</v>
      </c>
      <c r="F72" s="2">
        <v>45504</v>
      </c>
      <c r="G72" s="1" t="s">
        <v>279</v>
      </c>
      <c r="H72" s="1" t="s">
        <v>280</v>
      </c>
      <c r="I72" s="1" t="b">
        <v>1</v>
      </c>
      <c r="J72" s="1" t="b">
        <v>1</v>
      </c>
    </row>
    <row r="73" spans="1:10" x14ac:dyDescent="0.3">
      <c r="A73" s="1" t="s">
        <v>281</v>
      </c>
      <c r="B73" s="1" t="s">
        <v>282</v>
      </c>
      <c r="C73" s="1" t="s">
        <v>12</v>
      </c>
      <c r="D73" s="1" t="s">
        <v>30</v>
      </c>
      <c r="E73" s="1" t="s">
        <v>90</v>
      </c>
      <c r="F73" s="2">
        <v>45788</v>
      </c>
      <c r="G73" s="1" t="s">
        <v>96</v>
      </c>
      <c r="H73" s="1" t="s">
        <v>96</v>
      </c>
      <c r="I73" s="1" t="b">
        <v>0</v>
      </c>
      <c r="J73" s="1" t="b">
        <v>0</v>
      </c>
    </row>
    <row r="74" spans="1:10" x14ac:dyDescent="0.3">
      <c r="A74" s="1" t="s">
        <v>283</v>
      </c>
      <c r="B74" s="1" t="s">
        <v>284</v>
      </c>
      <c r="C74" s="1" t="s">
        <v>56</v>
      </c>
      <c r="D74" s="1" t="s">
        <v>30</v>
      </c>
      <c r="E74" s="1" t="s">
        <v>36</v>
      </c>
      <c r="F74" s="2">
        <v>45831</v>
      </c>
      <c r="G74" s="1" t="s">
        <v>285</v>
      </c>
      <c r="H74" s="1" t="s">
        <v>286</v>
      </c>
      <c r="I74" s="1" t="b">
        <v>1</v>
      </c>
      <c r="J74" s="1" t="b">
        <v>1</v>
      </c>
    </row>
    <row r="75" spans="1:10" x14ac:dyDescent="0.3">
      <c r="A75" s="1" t="s">
        <v>287</v>
      </c>
      <c r="B75" s="1" t="s">
        <v>288</v>
      </c>
      <c r="C75" s="1" t="s">
        <v>35</v>
      </c>
      <c r="D75" s="1" t="s">
        <v>13</v>
      </c>
      <c r="E75" s="1" t="s">
        <v>20</v>
      </c>
      <c r="F75" s="2">
        <v>45500</v>
      </c>
      <c r="G75" s="1" t="s">
        <v>289</v>
      </c>
      <c r="H75" s="1" t="s">
        <v>290</v>
      </c>
      <c r="I75" s="1" t="b">
        <v>1</v>
      </c>
      <c r="J75" s="1" t="b">
        <v>1</v>
      </c>
    </row>
    <row r="76" spans="1:10" x14ac:dyDescent="0.3">
      <c r="A76" s="1" t="s">
        <v>291</v>
      </c>
      <c r="B76" s="1" t="s">
        <v>292</v>
      </c>
      <c r="C76" s="1" t="s">
        <v>35</v>
      </c>
      <c r="D76" s="1" t="s">
        <v>19</v>
      </c>
      <c r="E76" s="1" t="s">
        <v>14</v>
      </c>
      <c r="F76" s="2">
        <v>45989</v>
      </c>
      <c r="G76" s="1" t="s">
        <v>293</v>
      </c>
      <c r="H76" s="1" t="s">
        <v>294</v>
      </c>
      <c r="I76" s="1" t="b">
        <v>1</v>
      </c>
      <c r="J76" s="1" t="b">
        <v>1</v>
      </c>
    </row>
    <row r="77" spans="1:10" x14ac:dyDescent="0.3">
      <c r="A77" s="1" t="s">
        <v>295</v>
      </c>
      <c r="B77" s="1" t="s">
        <v>296</v>
      </c>
      <c r="C77" s="1" t="s">
        <v>48</v>
      </c>
      <c r="D77" s="1" t="s">
        <v>30</v>
      </c>
      <c r="E77" s="1" t="s">
        <v>20</v>
      </c>
      <c r="F77" s="2">
        <v>45591</v>
      </c>
      <c r="G77" s="1" t="s">
        <v>297</v>
      </c>
      <c r="H77" s="1" t="s">
        <v>96</v>
      </c>
      <c r="I77" s="1" t="b">
        <v>1</v>
      </c>
      <c r="J77" s="1" t="b">
        <v>0</v>
      </c>
    </row>
    <row r="78" spans="1:10" x14ac:dyDescent="0.3">
      <c r="A78" s="1" t="s">
        <v>298</v>
      </c>
      <c r="B78" s="1" t="s">
        <v>299</v>
      </c>
      <c r="C78" s="1" t="s">
        <v>48</v>
      </c>
      <c r="D78" s="1" t="s">
        <v>13</v>
      </c>
      <c r="E78" s="1" t="s">
        <v>14</v>
      </c>
      <c r="F78" s="2">
        <v>45688</v>
      </c>
      <c r="G78" s="1" t="s">
        <v>300</v>
      </c>
      <c r="H78" s="1" t="s">
        <v>301</v>
      </c>
      <c r="I78" s="1" t="b">
        <v>1</v>
      </c>
      <c r="J78" s="1" t="b">
        <v>1</v>
      </c>
    </row>
    <row r="79" spans="1:10" x14ac:dyDescent="0.3">
      <c r="A79" s="1" t="s">
        <v>302</v>
      </c>
      <c r="B79" s="1" t="s">
        <v>303</v>
      </c>
      <c r="C79" s="1" t="s">
        <v>35</v>
      </c>
      <c r="D79" s="1" t="s">
        <v>30</v>
      </c>
      <c r="E79" s="1" t="s">
        <v>14</v>
      </c>
      <c r="F79" s="2">
        <v>45599</v>
      </c>
      <c r="G79" s="1" t="s">
        <v>96</v>
      </c>
      <c r="H79" s="1" t="s">
        <v>304</v>
      </c>
      <c r="I79" s="1" t="b">
        <v>0</v>
      </c>
      <c r="J79" s="1" t="b">
        <v>1</v>
      </c>
    </row>
    <row r="80" spans="1:10" x14ac:dyDescent="0.3">
      <c r="A80" s="1" t="s">
        <v>305</v>
      </c>
      <c r="B80" s="1" t="s">
        <v>306</v>
      </c>
      <c r="C80" s="1" t="s">
        <v>25</v>
      </c>
      <c r="D80" s="1" t="s">
        <v>13</v>
      </c>
      <c r="E80" s="1" t="s">
        <v>14</v>
      </c>
      <c r="F80" s="2">
        <v>45291</v>
      </c>
      <c r="G80" s="1" t="s">
        <v>307</v>
      </c>
      <c r="H80" s="1" t="s">
        <v>308</v>
      </c>
      <c r="I80" s="1" t="b">
        <v>1</v>
      </c>
      <c r="J80" s="1" t="b">
        <v>1</v>
      </c>
    </row>
    <row r="81" spans="1:10" x14ac:dyDescent="0.3">
      <c r="A81" s="1" t="s">
        <v>309</v>
      </c>
      <c r="B81" s="1" t="s">
        <v>310</v>
      </c>
      <c r="C81" s="1" t="s">
        <v>67</v>
      </c>
      <c r="D81" s="1" t="s">
        <v>13</v>
      </c>
      <c r="E81" s="1" t="s">
        <v>31</v>
      </c>
      <c r="F81" s="2">
        <v>45259</v>
      </c>
      <c r="G81" s="1" t="s">
        <v>311</v>
      </c>
      <c r="H81" s="1" t="s">
        <v>96</v>
      </c>
      <c r="I81" s="1" t="b">
        <v>1</v>
      </c>
      <c r="J81" s="1" t="b">
        <v>0</v>
      </c>
    </row>
    <row r="82" spans="1:10" x14ac:dyDescent="0.3">
      <c r="A82" s="1" t="s">
        <v>312</v>
      </c>
      <c r="B82" s="1" t="s">
        <v>313</v>
      </c>
      <c r="C82" s="1" t="s">
        <v>25</v>
      </c>
      <c r="D82" s="1" t="s">
        <v>19</v>
      </c>
      <c r="E82" s="1" t="s">
        <v>36</v>
      </c>
      <c r="F82" s="2">
        <v>46112</v>
      </c>
      <c r="G82" s="1" t="s">
        <v>314</v>
      </c>
      <c r="H82" s="1" t="s">
        <v>315</v>
      </c>
      <c r="I82" s="1" t="b">
        <v>1</v>
      </c>
      <c r="J82" s="1" t="b">
        <v>1</v>
      </c>
    </row>
    <row r="83" spans="1:10" x14ac:dyDescent="0.3">
      <c r="A83" s="1" t="s">
        <v>316</v>
      </c>
      <c r="B83" s="1" t="s">
        <v>317</v>
      </c>
      <c r="C83" s="1" t="s">
        <v>25</v>
      </c>
      <c r="D83" s="1" t="s">
        <v>30</v>
      </c>
      <c r="E83" s="1" t="s">
        <v>20</v>
      </c>
      <c r="F83" s="2">
        <v>45320</v>
      </c>
      <c r="G83" s="1" t="s">
        <v>318</v>
      </c>
      <c r="H83" s="1" t="s">
        <v>319</v>
      </c>
      <c r="I83" s="1" t="b">
        <v>1</v>
      </c>
      <c r="J83" s="1" t="b">
        <v>1</v>
      </c>
    </row>
    <row r="84" spans="1:10" x14ac:dyDescent="0.3">
      <c r="A84" s="1" t="s">
        <v>320</v>
      </c>
      <c r="B84" s="1" t="s">
        <v>321</v>
      </c>
      <c r="C84" s="1" t="s">
        <v>12</v>
      </c>
      <c r="D84" s="1" t="s">
        <v>30</v>
      </c>
      <c r="E84" s="1" t="s">
        <v>31</v>
      </c>
      <c r="F84" s="2">
        <v>45696</v>
      </c>
      <c r="G84" s="1" t="s">
        <v>322</v>
      </c>
      <c r="H84" s="1" t="s">
        <v>323</v>
      </c>
      <c r="I84" s="1" t="b">
        <v>1</v>
      </c>
      <c r="J84" s="1" t="b">
        <v>1</v>
      </c>
    </row>
    <row r="85" spans="1:10" x14ac:dyDescent="0.3">
      <c r="A85" s="1" t="s">
        <v>324</v>
      </c>
      <c r="B85" s="1" t="s">
        <v>325</v>
      </c>
      <c r="C85" s="1" t="s">
        <v>56</v>
      </c>
      <c r="D85" s="1" t="s">
        <v>13</v>
      </c>
      <c r="E85" s="1" t="s">
        <v>36</v>
      </c>
      <c r="F85" s="2">
        <v>45291</v>
      </c>
      <c r="G85" s="1" t="s">
        <v>96</v>
      </c>
      <c r="H85" s="1" t="s">
        <v>96</v>
      </c>
      <c r="I85" s="1" t="b">
        <v>0</v>
      </c>
      <c r="J85" s="1" t="b">
        <v>0</v>
      </c>
    </row>
    <row r="86" spans="1:10" x14ac:dyDescent="0.3">
      <c r="A86" s="1" t="s">
        <v>326</v>
      </c>
      <c r="B86" s="1" t="s">
        <v>327</v>
      </c>
      <c r="C86" s="1" t="s">
        <v>56</v>
      </c>
      <c r="D86" s="1" t="s">
        <v>13</v>
      </c>
      <c r="E86" s="1" t="s">
        <v>14</v>
      </c>
      <c r="F86" s="2">
        <v>46004</v>
      </c>
      <c r="G86" s="1" t="s">
        <v>328</v>
      </c>
      <c r="H86" s="1" t="s">
        <v>329</v>
      </c>
      <c r="I86" s="1" t="b">
        <v>1</v>
      </c>
      <c r="J86" s="1" t="b">
        <v>1</v>
      </c>
    </row>
    <row r="87" spans="1:10" x14ac:dyDescent="0.3">
      <c r="A87" s="1" t="s">
        <v>330</v>
      </c>
      <c r="B87" s="1" t="s">
        <v>331</v>
      </c>
      <c r="C87" s="1" t="s">
        <v>35</v>
      </c>
      <c r="D87" s="1" t="s">
        <v>30</v>
      </c>
      <c r="E87" s="1" t="s">
        <v>36</v>
      </c>
      <c r="F87" s="2">
        <v>45257</v>
      </c>
      <c r="G87" s="1" t="s">
        <v>332</v>
      </c>
      <c r="H87" s="1" t="s">
        <v>333</v>
      </c>
      <c r="I87" s="1" t="b">
        <v>1</v>
      </c>
      <c r="J87" s="1" t="b">
        <v>1</v>
      </c>
    </row>
    <row r="88" spans="1:10" x14ac:dyDescent="0.3">
      <c r="A88" s="1" t="s">
        <v>334</v>
      </c>
      <c r="B88" s="1" t="s">
        <v>335</v>
      </c>
      <c r="C88" s="1" t="s">
        <v>67</v>
      </c>
      <c r="D88" s="1" t="s">
        <v>19</v>
      </c>
      <c r="E88" s="1" t="s">
        <v>36</v>
      </c>
      <c r="F88" s="2">
        <v>45636</v>
      </c>
      <c r="G88" s="1" t="s">
        <v>336</v>
      </c>
      <c r="H88" s="1" t="s">
        <v>337</v>
      </c>
      <c r="I88" s="1" t="b">
        <v>1</v>
      </c>
      <c r="J88" s="1" t="b">
        <v>1</v>
      </c>
    </row>
    <row r="89" spans="1:10" x14ac:dyDescent="0.3">
      <c r="A89" s="1" t="s">
        <v>338</v>
      </c>
      <c r="B89" s="1" t="s">
        <v>339</v>
      </c>
      <c r="C89" s="1" t="s">
        <v>56</v>
      </c>
      <c r="D89" s="1" t="s">
        <v>30</v>
      </c>
      <c r="E89" s="1" t="s">
        <v>14</v>
      </c>
      <c r="F89" s="2">
        <v>45797</v>
      </c>
      <c r="G89" s="1" t="s">
        <v>340</v>
      </c>
      <c r="H89" s="1" t="s">
        <v>96</v>
      </c>
      <c r="I89" s="1" t="b">
        <v>1</v>
      </c>
      <c r="J89" s="1" t="b">
        <v>0</v>
      </c>
    </row>
    <row r="90" spans="1:10" x14ac:dyDescent="0.3">
      <c r="A90" s="1" t="s">
        <v>341</v>
      </c>
      <c r="B90" s="1" t="s">
        <v>342</v>
      </c>
      <c r="C90" s="1" t="s">
        <v>12</v>
      </c>
      <c r="D90" s="1" t="s">
        <v>30</v>
      </c>
      <c r="E90" s="1" t="s">
        <v>14</v>
      </c>
      <c r="F90" s="2">
        <v>46057</v>
      </c>
      <c r="G90" s="1" t="s">
        <v>343</v>
      </c>
      <c r="H90" s="1" t="s">
        <v>344</v>
      </c>
      <c r="I90" s="1" t="b">
        <v>1</v>
      </c>
      <c r="J90" s="1" t="b">
        <v>1</v>
      </c>
    </row>
    <row r="91" spans="1:10" x14ac:dyDescent="0.3">
      <c r="A91" s="1" t="s">
        <v>345</v>
      </c>
      <c r="B91" s="1" t="s">
        <v>346</v>
      </c>
      <c r="C91" s="1" t="s">
        <v>35</v>
      </c>
      <c r="D91" s="1" t="s">
        <v>19</v>
      </c>
      <c r="E91" s="1" t="s">
        <v>90</v>
      </c>
      <c r="F91" s="2">
        <v>45860</v>
      </c>
      <c r="G91" s="1" t="s">
        <v>96</v>
      </c>
      <c r="H91" s="1" t="s">
        <v>347</v>
      </c>
      <c r="I91" s="1" t="b">
        <v>0</v>
      </c>
      <c r="J91" s="1" t="b">
        <v>1</v>
      </c>
    </row>
    <row r="92" spans="1:10" x14ac:dyDescent="0.3">
      <c r="A92" s="1" t="s">
        <v>348</v>
      </c>
      <c r="B92" s="1" t="s">
        <v>349</v>
      </c>
      <c r="C92" s="1" t="s">
        <v>35</v>
      </c>
      <c r="D92" s="1" t="s">
        <v>13</v>
      </c>
      <c r="E92" s="1" t="s">
        <v>20</v>
      </c>
      <c r="F92" s="2">
        <v>45276</v>
      </c>
      <c r="G92" s="1" t="s">
        <v>350</v>
      </c>
      <c r="H92" s="1" t="s">
        <v>351</v>
      </c>
      <c r="I92" s="1" t="b">
        <v>1</v>
      </c>
      <c r="J92" s="1" t="b">
        <v>1</v>
      </c>
    </row>
    <row r="93" spans="1:10" x14ac:dyDescent="0.3">
      <c r="A93" s="1" t="s">
        <v>352</v>
      </c>
      <c r="B93" s="1" t="s">
        <v>353</v>
      </c>
      <c r="C93" s="1" t="s">
        <v>25</v>
      </c>
      <c r="D93" s="1" t="s">
        <v>30</v>
      </c>
      <c r="E93" s="1" t="s">
        <v>36</v>
      </c>
      <c r="F93" s="2">
        <v>45553</v>
      </c>
      <c r="G93" s="1" t="s">
        <v>354</v>
      </c>
      <c r="H93" s="1" t="s">
        <v>96</v>
      </c>
      <c r="I93" s="1" t="b">
        <v>1</v>
      </c>
      <c r="J93" s="1" t="b">
        <v>0</v>
      </c>
    </row>
    <row r="94" spans="1:10" x14ac:dyDescent="0.3">
      <c r="A94" s="1" t="s">
        <v>355</v>
      </c>
      <c r="B94" s="1" t="s">
        <v>356</v>
      </c>
      <c r="C94" s="1" t="s">
        <v>25</v>
      </c>
      <c r="D94" s="1" t="s">
        <v>19</v>
      </c>
      <c r="E94" s="1" t="s">
        <v>20</v>
      </c>
      <c r="F94" s="2">
        <v>45747</v>
      </c>
      <c r="G94" s="1" t="s">
        <v>357</v>
      </c>
      <c r="H94" s="1" t="s">
        <v>358</v>
      </c>
      <c r="I94" s="1" t="b">
        <v>1</v>
      </c>
      <c r="J94" s="1" t="b">
        <v>1</v>
      </c>
    </row>
    <row r="95" spans="1:10" x14ac:dyDescent="0.3">
      <c r="A95" s="1" t="s">
        <v>359</v>
      </c>
      <c r="B95" s="1" t="s">
        <v>360</v>
      </c>
      <c r="C95" s="1" t="s">
        <v>67</v>
      </c>
      <c r="D95" s="1" t="s">
        <v>19</v>
      </c>
      <c r="E95" s="1" t="s">
        <v>20</v>
      </c>
      <c r="F95" s="2">
        <v>45590</v>
      </c>
      <c r="G95" s="1" t="s">
        <v>361</v>
      </c>
      <c r="H95" s="1" t="s">
        <v>362</v>
      </c>
      <c r="I95" s="1" t="b">
        <v>1</v>
      </c>
      <c r="J95" s="1" t="b">
        <v>1</v>
      </c>
    </row>
    <row r="96" spans="1:10" x14ac:dyDescent="0.3">
      <c r="A96" s="1" t="s">
        <v>363</v>
      </c>
      <c r="B96" s="1" t="s">
        <v>364</v>
      </c>
      <c r="C96" s="1" t="s">
        <v>35</v>
      </c>
      <c r="D96" s="1" t="s">
        <v>19</v>
      </c>
      <c r="E96" s="1" t="s">
        <v>31</v>
      </c>
      <c r="F96" s="2">
        <v>45308</v>
      </c>
      <c r="G96" s="1" t="s">
        <v>365</v>
      </c>
      <c r="H96" s="1" t="s">
        <v>366</v>
      </c>
      <c r="I96" s="1" t="b">
        <v>1</v>
      </c>
      <c r="J96" s="1" t="b">
        <v>1</v>
      </c>
    </row>
    <row r="97" spans="1:10" x14ac:dyDescent="0.3">
      <c r="A97" s="1" t="s">
        <v>367</v>
      </c>
      <c r="B97" s="1" t="s">
        <v>368</v>
      </c>
      <c r="C97" s="1" t="s">
        <v>35</v>
      </c>
      <c r="D97" s="1" t="s">
        <v>13</v>
      </c>
      <c r="E97" s="1" t="s">
        <v>31</v>
      </c>
      <c r="F97" s="2">
        <v>45516</v>
      </c>
      <c r="G97" s="1" t="s">
        <v>96</v>
      </c>
      <c r="H97" s="1" t="s">
        <v>96</v>
      </c>
      <c r="I97" s="1" t="b">
        <v>0</v>
      </c>
      <c r="J97" s="1" t="b">
        <v>0</v>
      </c>
    </row>
    <row r="98" spans="1:10" x14ac:dyDescent="0.3">
      <c r="A98" s="1" t="s">
        <v>369</v>
      </c>
      <c r="B98" s="1" t="s">
        <v>370</v>
      </c>
      <c r="C98" s="1" t="s">
        <v>35</v>
      </c>
      <c r="D98" s="1" t="s">
        <v>13</v>
      </c>
      <c r="E98" s="1" t="s">
        <v>20</v>
      </c>
      <c r="F98" s="2">
        <v>45729</v>
      </c>
      <c r="G98" s="1" t="s">
        <v>371</v>
      </c>
      <c r="H98" s="1" t="s">
        <v>372</v>
      </c>
      <c r="I98" s="1" t="b">
        <v>1</v>
      </c>
      <c r="J98" s="1" t="b">
        <v>1</v>
      </c>
    </row>
    <row r="99" spans="1:10" x14ac:dyDescent="0.3">
      <c r="A99" s="1" t="s">
        <v>373</v>
      </c>
      <c r="B99" s="1" t="s">
        <v>374</v>
      </c>
      <c r="C99" s="1" t="s">
        <v>25</v>
      </c>
      <c r="D99" s="1" t="s">
        <v>19</v>
      </c>
      <c r="E99" s="1" t="s">
        <v>36</v>
      </c>
      <c r="F99" s="2">
        <v>45884</v>
      </c>
      <c r="G99" s="1" t="s">
        <v>375</v>
      </c>
      <c r="H99" s="1" t="s">
        <v>376</v>
      </c>
      <c r="I99" s="1" t="b">
        <v>1</v>
      </c>
      <c r="J99" s="1" t="b">
        <v>1</v>
      </c>
    </row>
    <row r="100" spans="1:10" x14ac:dyDescent="0.3">
      <c r="A100" s="1" t="s">
        <v>377</v>
      </c>
      <c r="B100" s="1" t="s">
        <v>378</v>
      </c>
      <c r="C100" s="1" t="s">
        <v>56</v>
      </c>
      <c r="D100" s="1" t="s">
        <v>13</v>
      </c>
      <c r="E100" s="1" t="s">
        <v>36</v>
      </c>
      <c r="F100" s="2">
        <v>46034</v>
      </c>
      <c r="G100" s="1" t="s">
        <v>379</v>
      </c>
      <c r="H100" s="1" t="s">
        <v>380</v>
      </c>
      <c r="I100" s="1" t="b">
        <v>1</v>
      </c>
      <c r="J100" s="1" t="b">
        <v>1</v>
      </c>
    </row>
    <row r="101" spans="1:10" x14ac:dyDescent="0.3">
      <c r="A101" s="1" t="s">
        <v>381</v>
      </c>
      <c r="B101" s="1" t="s">
        <v>382</v>
      </c>
      <c r="C101" s="1" t="s">
        <v>35</v>
      </c>
      <c r="D101" s="1" t="s">
        <v>13</v>
      </c>
      <c r="E101" s="1" t="s">
        <v>36</v>
      </c>
      <c r="F101" s="2">
        <v>46096</v>
      </c>
      <c r="G101" s="1" t="s">
        <v>383</v>
      </c>
      <c r="H101" s="1" t="s">
        <v>96</v>
      </c>
      <c r="I101" s="1" t="b">
        <v>1</v>
      </c>
      <c r="J101" s="1" t="b">
        <v>0</v>
      </c>
    </row>
    <row r="102" spans="1:10" x14ac:dyDescent="0.3">
      <c r="A102" s="1" t="s">
        <v>384</v>
      </c>
      <c r="B102" s="1" t="s">
        <v>385</v>
      </c>
      <c r="C102" s="1" t="s">
        <v>35</v>
      </c>
      <c r="D102" s="1" t="s">
        <v>19</v>
      </c>
      <c r="E102" s="1" t="s">
        <v>90</v>
      </c>
      <c r="F102" s="2">
        <v>45776</v>
      </c>
      <c r="G102" s="1" t="s">
        <v>386</v>
      </c>
      <c r="H102" s="1" t="s">
        <v>387</v>
      </c>
      <c r="I102" s="1" t="b">
        <v>1</v>
      </c>
      <c r="J102" s="1" t="b">
        <v>1</v>
      </c>
    </row>
    <row r="103" spans="1:10" x14ac:dyDescent="0.3">
      <c r="A103" s="1" t="s">
        <v>388</v>
      </c>
      <c r="B103" s="1" t="s">
        <v>389</v>
      </c>
      <c r="C103" s="1" t="s">
        <v>56</v>
      </c>
      <c r="D103" s="1" t="s">
        <v>19</v>
      </c>
      <c r="E103" s="1" t="s">
        <v>36</v>
      </c>
      <c r="F103" s="2">
        <v>45652</v>
      </c>
      <c r="G103" s="1" t="s">
        <v>96</v>
      </c>
      <c r="H103" s="1" t="s">
        <v>390</v>
      </c>
      <c r="I103" s="1" t="b">
        <v>0</v>
      </c>
      <c r="J103" s="1" t="b">
        <v>1</v>
      </c>
    </row>
    <row r="104" spans="1:10" x14ac:dyDescent="0.3">
      <c r="A104" s="1" t="s">
        <v>391</v>
      </c>
      <c r="B104" s="1" t="s">
        <v>392</v>
      </c>
      <c r="C104" s="1" t="s">
        <v>12</v>
      </c>
      <c r="D104" s="1" t="s">
        <v>30</v>
      </c>
      <c r="E104" s="1" t="s">
        <v>31</v>
      </c>
      <c r="F104" s="2">
        <v>45488</v>
      </c>
      <c r="G104" s="1" t="s">
        <v>393</v>
      </c>
      <c r="H104" s="1" t="s">
        <v>394</v>
      </c>
      <c r="I104" s="1" t="b">
        <v>1</v>
      </c>
      <c r="J104" s="1" t="b">
        <v>1</v>
      </c>
    </row>
    <row r="105" spans="1:10" x14ac:dyDescent="0.3">
      <c r="A105" s="1" t="s">
        <v>395</v>
      </c>
      <c r="B105" s="1" t="s">
        <v>396</v>
      </c>
      <c r="C105" s="1" t="s">
        <v>12</v>
      </c>
      <c r="D105" s="1" t="s">
        <v>30</v>
      </c>
      <c r="E105" s="1" t="s">
        <v>36</v>
      </c>
      <c r="F105" s="2">
        <v>45934</v>
      </c>
      <c r="G105" s="1" t="s">
        <v>397</v>
      </c>
      <c r="H105" s="1" t="s">
        <v>96</v>
      </c>
      <c r="I105" s="1" t="b">
        <v>1</v>
      </c>
      <c r="J105" s="1" t="b">
        <v>0</v>
      </c>
    </row>
    <row r="106" spans="1:10" x14ac:dyDescent="0.3">
      <c r="A106" s="1" t="s">
        <v>398</v>
      </c>
      <c r="B106" s="1" t="s">
        <v>399</v>
      </c>
      <c r="C106" s="1" t="s">
        <v>25</v>
      </c>
      <c r="D106" s="1" t="s">
        <v>13</v>
      </c>
      <c r="E106" s="1" t="s">
        <v>90</v>
      </c>
      <c r="F106" s="2">
        <v>45285</v>
      </c>
      <c r="G106" s="1" t="s">
        <v>400</v>
      </c>
      <c r="H106" s="1" t="s">
        <v>401</v>
      </c>
      <c r="I106" s="1" t="b">
        <v>1</v>
      </c>
      <c r="J106" s="1" t="b">
        <v>1</v>
      </c>
    </row>
    <row r="107" spans="1:10" x14ac:dyDescent="0.3">
      <c r="A107" s="1" t="s">
        <v>402</v>
      </c>
      <c r="B107" s="1" t="s">
        <v>403</v>
      </c>
      <c r="C107" s="1" t="s">
        <v>25</v>
      </c>
      <c r="D107" s="1" t="s">
        <v>13</v>
      </c>
      <c r="E107" s="1" t="s">
        <v>31</v>
      </c>
      <c r="F107" s="2">
        <v>45760</v>
      </c>
      <c r="G107" s="1" t="s">
        <v>404</v>
      </c>
      <c r="H107" s="1" t="s">
        <v>405</v>
      </c>
      <c r="I107" s="1" t="b">
        <v>1</v>
      </c>
      <c r="J107" s="1" t="b">
        <v>1</v>
      </c>
    </row>
    <row r="108" spans="1:10" x14ac:dyDescent="0.3">
      <c r="A108" s="1" t="s">
        <v>406</v>
      </c>
      <c r="B108" s="1" t="s">
        <v>407</v>
      </c>
      <c r="C108" s="1" t="s">
        <v>12</v>
      </c>
      <c r="D108" s="1" t="s">
        <v>30</v>
      </c>
      <c r="E108" s="1" t="s">
        <v>14</v>
      </c>
      <c r="F108" s="2">
        <v>45659</v>
      </c>
      <c r="G108" s="1" t="s">
        <v>408</v>
      </c>
      <c r="H108" s="1" t="s">
        <v>409</v>
      </c>
      <c r="I108" s="1" t="b">
        <v>1</v>
      </c>
      <c r="J108" s="1" t="b">
        <v>1</v>
      </c>
    </row>
    <row r="109" spans="1:10" x14ac:dyDescent="0.3">
      <c r="A109" s="1" t="s">
        <v>410</v>
      </c>
      <c r="B109" s="1" t="s">
        <v>411</v>
      </c>
      <c r="C109" s="1" t="s">
        <v>12</v>
      </c>
      <c r="D109" s="1" t="s">
        <v>19</v>
      </c>
      <c r="E109" s="1" t="s">
        <v>14</v>
      </c>
      <c r="F109" s="2">
        <v>45333</v>
      </c>
      <c r="G109" s="1" t="s">
        <v>96</v>
      </c>
      <c r="H109" s="1" t="s">
        <v>96</v>
      </c>
      <c r="I109" s="1" t="b">
        <v>0</v>
      </c>
      <c r="J109" s="1" t="b">
        <v>0</v>
      </c>
    </row>
    <row r="110" spans="1:10" x14ac:dyDescent="0.3">
      <c r="A110" s="1" t="s">
        <v>412</v>
      </c>
      <c r="B110" s="1" t="s">
        <v>413</v>
      </c>
      <c r="C110" s="1" t="s">
        <v>35</v>
      </c>
      <c r="D110" s="1" t="s">
        <v>30</v>
      </c>
      <c r="E110" s="1" t="s">
        <v>36</v>
      </c>
      <c r="F110" s="2">
        <v>45776</v>
      </c>
      <c r="G110" s="1" t="s">
        <v>414</v>
      </c>
      <c r="H110" s="1" t="s">
        <v>415</v>
      </c>
      <c r="I110" s="1" t="b">
        <v>1</v>
      </c>
      <c r="J110" s="1" t="b">
        <v>1</v>
      </c>
    </row>
    <row r="111" spans="1:10" x14ac:dyDescent="0.3">
      <c r="A111" s="1" t="s">
        <v>416</v>
      </c>
      <c r="B111" s="1" t="s">
        <v>417</v>
      </c>
      <c r="C111" s="1" t="s">
        <v>48</v>
      </c>
      <c r="D111" s="1" t="s">
        <v>30</v>
      </c>
      <c r="E111" s="1" t="s">
        <v>20</v>
      </c>
      <c r="F111" s="2">
        <v>46128</v>
      </c>
      <c r="G111" s="1" t="s">
        <v>418</v>
      </c>
      <c r="H111" s="1" t="s">
        <v>419</v>
      </c>
      <c r="I111" s="1" t="b">
        <v>1</v>
      </c>
      <c r="J111" s="1" t="b">
        <v>1</v>
      </c>
    </row>
    <row r="112" spans="1:10" x14ac:dyDescent="0.3">
      <c r="A112" s="1" t="s">
        <v>420</v>
      </c>
      <c r="B112" s="1" t="s">
        <v>421</v>
      </c>
      <c r="C112" s="1" t="s">
        <v>35</v>
      </c>
      <c r="D112" s="1" t="s">
        <v>30</v>
      </c>
      <c r="E112" s="1" t="s">
        <v>14</v>
      </c>
      <c r="F112" s="2">
        <v>45878</v>
      </c>
      <c r="G112" s="1" t="s">
        <v>422</v>
      </c>
      <c r="H112" s="1" t="s">
        <v>423</v>
      </c>
      <c r="I112" s="1" t="b">
        <v>1</v>
      </c>
      <c r="J112" s="1" t="b">
        <v>1</v>
      </c>
    </row>
    <row r="113" spans="1:10" x14ac:dyDescent="0.3">
      <c r="A113" s="1" t="s">
        <v>424</v>
      </c>
      <c r="B113" s="1" t="s">
        <v>425</v>
      </c>
      <c r="C113" s="1" t="s">
        <v>25</v>
      </c>
      <c r="D113" s="1" t="s">
        <v>13</v>
      </c>
      <c r="E113" s="1" t="s">
        <v>31</v>
      </c>
      <c r="F113" s="2">
        <v>46187</v>
      </c>
      <c r="G113" s="1" t="s">
        <v>426</v>
      </c>
      <c r="H113" s="1" t="s">
        <v>96</v>
      </c>
      <c r="I113" s="1" t="b">
        <v>1</v>
      </c>
      <c r="J113" s="1" t="b">
        <v>0</v>
      </c>
    </row>
    <row r="114" spans="1:10" x14ac:dyDescent="0.3">
      <c r="A114" s="1" t="s">
        <v>427</v>
      </c>
      <c r="B114" s="1" t="s">
        <v>428</v>
      </c>
      <c r="C114" s="1" t="s">
        <v>35</v>
      </c>
      <c r="D114" s="1" t="s">
        <v>30</v>
      </c>
      <c r="E114" s="1" t="s">
        <v>20</v>
      </c>
      <c r="F114" s="2">
        <v>45439</v>
      </c>
      <c r="G114" s="1" t="s">
        <v>429</v>
      </c>
      <c r="H114" s="1" t="s">
        <v>430</v>
      </c>
      <c r="I114" s="1" t="b">
        <v>1</v>
      </c>
      <c r="J114" s="1" t="b">
        <v>1</v>
      </c>
    </row>
    <row r="115" spans="1:10" x14ac:dyDescent="0.3">
      <c r="A115" s="1" t="s">
        <v>431</v>
      </c>
      <c r="B115" s="1" t="s">
        <v>432</v>
      </c>
      <c r="C115" s="1" t="s">
        <v>56</v>
      </c>
      <c r="D115" s="1" t="s">
        <v>13</v>
      </c>
      <c r="E115" s="1" t="s">
        <v>31</v>
      </c>
      <c r="F115" s="2">
        <v>45561</v>
      </c>
      <c r="G115" s="1" t="s">
        <v>96</v>
      </c>
      <c r="H115" s="1" t="s">
        <v>433</v>
      </c>
      <c r="I115" s="1" t="b">
        <v>0</v>
      </c>
      <c r="J115" s="1" t="b">
        <v>1</v>
      </c>
    </row>
    <row r="116" spans="1:10" x14ac:dyDescent="0.3">
      <c r="A116" s="1" t="s">
        <v>434</v>
      </c>
      <c r="B116" s="1" t="s">
        <v>435</v>
      </c>
      <c r="C116" s="1" t="s">
        <v>25</v>
      </c>
      <c r="D116" s="1" t="s">
        <v>30</v>
      </c>
      <c r="E116" s="1" t="s">
        <v>31</v>
      </c>
      <c r="F116" s="2">
        <v>45583</v>
      </c>
      <c r="G116" s="1" t="s">
        <v>436</v>
      </c>
      <c r="H116" s="1" t="s">
        <v>437</v>
      </c>
      <c r="I116" s="1" t="b">
        <v>1</v>
      </c>
      <c r="J116" s="1" t="b">
        <v>1</v>
      </c>
    </row>
    <row r="117" spans="1:10" x14ac:dyDescent="0.3">
      <c r="A117" s="1" t="s">
        <v>438</v>
      </c>
      <c r="B117" s="1" t="s">
        <v>439</v>
      </c>
      <c r="C117" s="1" t="s">
        <v>35</v>
      </c>
      <c r="D117" s="1" t="s">
        <v>30</v>
      </c>
      <c r="E117" s="1" t="s">
        <v>14</v>
      </c>
      <c r="F117" s="2">
        <v>45695</v>
      </c>
      <c r="G117" s="1" t="s">
        <v>440</v>
      </c>
      <c r="H117" s="1" t="s">
        <v>96</v>
      </c>
      <c r="I117" s="1" t="b">
        <v>1</v>
      </c>
      <c r="J117" s="1" t="b">
        <v>0</v>
      </c>
    </row>
    <row r="118" spans="1:10" x14ac:dyDescent="0.3">
      <c r="A118" s="1" t="s">
        <v>441</v>
      </c>
      <c r="B118" s="1" t="s">
        <v>442</v>
      </c>
      <c r="C118" s="1" t="s">
        <v>56</v>
      </c>
      <c r="D118" s="1" t="s">
        <v>30</v>
      </c>
      <c r="E118" s="1" t="s">
        <v>31</v>
      </c>
      <c r="F118" s="2">
        <v>46190</v>
      </c>
      <c r="G118" s="1" t="s">
        <v>443</v>
      </c>
      <c r="H118" s="1" t="s">
        <v>444</v>
      </c>
      <c r="I118" s="1" t="b">
        <v>1</v>
      </c>
      <c r="J118" s="1" t="b">
        <v>1</v>
      </c>
    </row>
    <row r="119" spans="1:10" x14ac:dyDescent="0.3">
      <c r="A119" s="1" t="s">
        <v>445</v>
      </c>
      <c r="B119" s="1" t="s">
        <v>446</v>
      </c>
      <c r="C119" s="1" t="s">
        <v>48</v>
      </c>
      <c r="D119" s="1" t="s">
        <v>30</v>
      </c>
      <c r="E119" s="1" t="s">
        <v>90</v>
      </c>
      <c r="F119" s="2">
        <v>45566</v>
      </c>
      <c r="G119" s="1" t="s">
        <v>447</v>
      </c>
      <c r="H119" s="1" t="s">
        <v>448</v>
      </c>
      <c r="I119" s="1" t="b">
        <v>1</v>
      </c>
      <c r="J119" s="1" t="b">
        <v>1</v>
      </c>
    </row>
    <row r="120" spans="1:10" x14ac:dyDescent="0.3">
      <c r="A120" s="1" t="s">
        <v>449</v>
      </c>
      <c r="B120" s="1" t="s">
        <v>450</v>
      </c>
      <c r="C120" s="1" t="s">
        <v>67</v>
      </c>
      <c r="D120" s="1" t="s">
        <v>13</v>
      </c>
      <c r="E120" s="1" t="s">
        <v>90</v>
      </c>
      <c r="F120" s="2">
        <v>45827</v>
      </c>
      <c r="G120" s="1" t="s">
        <v>451</v>
      </c>
      <c r="H120" s="1" t="s">
        <v>452</v>
      </c>
      <c r="I120" s="1" t="b">
        <v>1</v>
      </c>
      <c r="J120" s="1" t="b">
        <v>1</v>
      </c>
    </row>
    <row r="121" spans="1:10" x14ac:dyDescent="0.3">
      <c r="A121" s="1" t="s">
        <v>453</v>
      </c>
      <c r="B121" s="1" t="s">
        <v>454</v>
      </c>
      <c r="C121" s="1" t="s">
        <v>25</v>
      </c>
      <c r="D121" s="1" t="s">
        <v>19</v>
      </c>
      <c r="E121" s="1" t="s">
        <v>36</v>
      </c>
      <c r="F121" s="2">
        <v>45960</v>
      </c>
      <c r="G121" s="1" t="s">
        <v>96</v>
      </c>
      <c r="H121" s="1" t="s">
        <v>96</v>
      </c>
      <c r="I121" s="1" t="b">
        <v>0</v>
      </c>
      <c r="J121" s="1" t="b">
        <v>0</v>
      </c>
    </row>
    <row r="122" spans="1:10" x14ac:dyDescent="0.3">
      <c r="A122" s="1" t="s">
        <v>455</v>
      </c>
      <c r="B122" s="1" t="s">
        <v>456</v>
      </c>
      <c r="C122" s="1" t="s">
        <v>25</v>
      </c>
      <c r="D122" s="1" t="s">
        <v>30</v>
      </c>
      <c r="E122" s="1" t="s">
        <v>90</v>
      </c>
      <c r="F122" s="2">
        <v>45867</v>
      </c>
      <c r="G122" s="1" t="s">
        <v>457</v>
      </c>
      <c r="H122" s="1" t="s">
        <v>458</v>
      </c>
      <c r="I122" s="1" t="b">
        <v>1</v>
      </c>
      <c r="J122" s="1" t="b">
        <v>1</v>
      </c>
    </row>
    <row r="123" spans="1:10" x14ac:dyDescent="0.3">
      <c r="A123" s="1" t="s">
        <v>459</v>
      </c>
      <c r="B123" s="1" t="s">
        <v>460</v>
      </c>
      <c r="C123" s="1" t="s">
        <v>56</v>
      </c>
      <c r="D123" s="1" t="s">
        <v>19</v>
      </c>
      <c r="E123" s="1" t="s">
        <v>14</v>
      </c>
      <c r="F123" s="2">
        <v>45571</v>
      </c>
      <c r="G123" s="1" t="s">
        <v>461</v>
      </c>
      <c r="H123" s="1" t="s">
        <v>462</v>
      </c>
      <c r="I123" s="1" t="b">
        <v>1</v>
      </c>
      <c r="J123" s="1" t="b">
        <v>1</v>
      </c>
    </row>
    <row r="124" spans="1:10" x14ac:dyDescent="0.3">
      <c r="A124" s="1" t="s">
        <v>463</v>
      </c>
      <c r="B124" s="1" t="s">
        <v>464</v>
      </c>
      <c r="C124" s="1" t="s">
        <v>35</v>
      </c>
      <c r="D124" s="1" t="s">
        <v>19</v>
      </c>
      <c r="E124" s="1" t="s">
        <v>31</v>
      </c>
      <c r="F124" s="2">
        <v>45306</v>
      </c>
      <c r="G124" s="1" t="s">
        <v>465</v>
      </c>
      <c r="H124" s="1" t="s">
        <v>466</v>
      </c>
      <c r="I124" s="1" t="b">
        <v>1</v>
      </c>
      <c r="J124" s="1" t="b">
        <v>1</v>
      </c>
    </row>
    <row r="125" spans="1:10" x14ac:dyDescent="0.3">
      <c r="A125" s="1" t="s">
        <v>467</v>
      </c>
      <c r="B125" s="1" t="s">
        <v>468</v>
      </c>
      <c r="C125" s="1" t="s">
        <v>48</v>
      </c>
      <c r="D125" s="1" t="s">
        <v>13</v>
      </c>
      <c r="E125" s="1" t="s">
        <v>14</v>
      </c>
      <c r="F125" s="2">
        <v>46143</v>
      </c>
      <c r="G125" s="1" t="s">
        <v>469</v>
      </c>
      <c r="H125" s="1" t="s">
        <v>96</v>
      </c>
      <c r="I125" s="1" t="b">
        <v>1</v>
      </c>
      <c r="J125" s="1" t="b">
        <v>0</v>
      </c>
    </row>
    <row r="126" spans="1:10" x14ac:dyDescent="0.3">
      <c r="A126" s="1" t="s">
        <v>470</v>
      </c>
      <c r="B126" s="1" t="s">
        <v>471</v>
      </c>
      <c r="C126" s="1" t="s">
        <v>48</v>
      </c>
      <c r="D126" s="1" t="s">
        <v>13</v>
      </c>
      <c r="E126" s="1" t="s">
        <v>31</v>
      </c>
      <c r="F126" s="2">
        <v>46086</v>
      </c>
      <c r="G126" s="1" t="s">
        <v>472</v>
      </c>
      <c r="H126" s="1" t="s">
        <v>473</v>
      </c>
      <c r="I126" s="1" t="b">
        <v>1</v>
      </c>
      <c r="J126" s="1" t="b">
        <v>1</v>
      </c>
    </row>
    <row r="127" spans="1:10" x14ac:dyDescent="0.3">
      <c r="A127" s="1" t="s">
        <v>474</v>
      </c>
      <c r="B127" s="1" t="s">
        <v>475</v>
      </c>
      <c r="C127" s="1" t="s">
        <v>67</v>
      </c>
      <c r="D127" s="1" t="s">
        <v>13</v>
      </c>
      <c r="E127" s="1" t="s">
        <v>90</v>
      </c>
      <c r="F127" s="2">
        <v>45578</v>
      </c>
      <c r="G127" s="1" t="s">
        <v>96</v>
      </c>
      <c r="H127" s="1" t="s">
        <v>476</v>
      </c>
      <c r="I127" s="1" t="b">
        <v>0</v>
      </c>
      <c r="J127" s="1" t="b">
        <v>1</v>
      </c>
    </row>
    <row r="128" spans="1:10" x14ac:dyDescent="0.3">
      <c r="A128" s="1" t="s">
        <v>477</v>
      </c>
      <c r="B128" s="1" t="s">
        <v>478</v>
      </c>
      <c r="C128" s="1" t="s">
        <v>35</v>
      </c>
      <c r="D128" s="1" t="s">
        <v>13</v>
      </c>
      <c r="E128" s="1" t="s">
        <v>90</v>
      </c>
      <c r="F128" s="2">
        <v>45870</v>
      </c>
      <c r="G128" s="1" t="s">
        <v>479</v>
      </c>
      <c r="H128" s="1" t="s">
        <v>480</v>
      </c>
      <c r="I128" s="1" t="b">
        <v>1</v>
      </c>
      <c r="J128" s="1" t="b">
        <v>1</v>
      </c>
    </row>
    <row r="129" spans="1:10" x14ac:dyDescent="0.3">
      <c r="A129" s="1" t="s">
        <v>481</v>
      </c>
      <c r="B129" s="1" t="s">
        <v>482</v>
      </c>
      <c r="C129" s="1" t="s">
        <v>67</v>
      </c>
      <c r="D129" s="1" t="s">
        <v>13</v>
      </c>
      <c r="E129" s="1" t="s">
        <v>36</v>
      </c>
      <c r="F129" s="2">
        <v>45426</v>
      </c>
      <c r="G129" s="1" t="s">
        <v>483</v>
      </c>
      <c r="H129" s="1" t="s">
        <v>96</v>
      </c>
      <c r="I129" s="1" t="b">
        <v>1</v>
      </c>
      <c r="J129" s="1" t="b">
        <v>0</v>
      </c>
    </row>
    <row r="130" spans="1:10" x14ac:dyDescent="0.3">
      <c r="A130" s="1" t="s">
        <v>484</v>
      </c>
      <c r="B130" s="1" t="s">
        <v>485</v>
      </c>
      <c r="C130" s="1" t="s">
        <v>48</v>
      </c>
      <c r="D130" s="1" t="s">
        <v>30</v>
      </c>
      <c r="E130" s="1" t="s">
        <v>90</v>
      </c>
      <c r="F130" s="2">
        <v>45269</v>
      </c>
      <c r="G130" s="1" t="s">
        <v>486</v>
      </c>
      <c r="H130" s="1" t="s">
        <v>487</v>
      </c>
      <c r="I130" s="1" t="b">
        <v>1</v>
      </c>
      <c r="J130" s="1" t="b">
        <v>1</v>
      </c>
    </row>
    <row r="131" spans="1:10" x14ac:dyDescent="0.3">
      <c r="A131" s="1" t="s">
        <v>488</v>
      </c>
      <c r="B131" s="1" t="s">
        <v>489</v>
      </c>
      <c r="C131" s="1" t="s">
        <v>48</v>
      </c>
      <c r="D131" s="1" t="s">
        <v>30</v>
      </c>
      <c r="E131" s="1" t="s">
        <v>31</v>
      </c>
      <c r="F131" s="2">
        <v>45545</v>
      </c>
      <c r="G131" s="1" t="s">
        <v>490</v>
      </c>
      <c r="H131" s="1" t="s">
        <v>491</v>
      </c>
      <c r="I131" s="1" t="b">
        <v>1</v>
      </c>
      <c r="J131" s="1" t="b">
        <v>1</v>
      </c>
    </row>
    <row r="132" spans="1:10" x14ac:dyDescent="0.3">
      <c r="A132" s="1" t="s">
        <v>492</v>
      </c>
      <c r="B132" s="1" t="s">
        <v>493</v>
      </c>
      <c r="C132" s="1" t="s">
        <v>35</v>
      </c>
      <c r="D132" s="1" t="s">
        <v>30</v>
      </c>
      <c r="E132" s="1" t="s">
        <v>31</v>
      </c>
      <c r="F132" s="2">
        <v>46042</v>
      </c>
      <c r="G132" s="1" t="s">
        <v>494</v>
      </c>
      <c r="H132" s="1" t="s">
        <v>495</v>
      </c>
      <c r="I132" s="1" t="b">
        <v>1</v>
      </c>
      <c r="J132" s="1" t="b">
        <v>1</v>
      </c>
    </row>
    <row r="133" spans="1:10" x14ac:dyDescent="0.3">
      <c r="A133" s="1" t="s">
        <v>496</v>
      </c>
      <c r="B133" s="1" t="s">
        <v>497</v>
      </c>
      <c r="C133" s="1" t="s">
        <v>67</v>
      </c>
      <c r="D133" s="1" t="s">
        <v>30</v>
      </c>
      <c r="E133" s="1" t="s">
        <v>14</v>
      </c>
      <c r="F133" s="2">
        <v>45553</v>
      </c>
      <c r="G133" s="1" t="s">
        <v>96</v>
      </c>
      <c r="H133" s="1" t="s">
        <v>96</v>
      </c>
      <c r="I133" s="1" t="b">
        <v>0</v>
      </c>
      <c r="J133" s="1" t="b">
        <v>0</v>
      </c>
    </row>
    <row r="134" spans="1:10" x14ac:dyDescent="0.3">
      <c r="A134" s="1" t="s">
        <v>498</v>
      </c>
      <c r="B134" s="1" t="s">
        <v>499</v>
      </c>
      <c r="C134" s="1" t="s">
        <v>25</v>
      </c>
      <c r="D134" s="1" t="s">
        <v>19</v>
      </c>
      <c r="E134" s="1" t="s">
        <v>14</v>
      </c>
      <c r="F134" s="2">
        <v>45299</v>
      </c>
      <c r="G134" s="1" t="s">
        <v>500</v>
      </c>
      <c r="H134" s="1" t="s">
        <v>501</v>
      </c>
      <c r="I134" s="1" t="b">
        <v>1</v>
      </c>
      <c r="J134" s="1" t="b">
        <v>1</v>
      </c>
    </row>
    <row r="135" spans="1:10" x14ac:dyDescent="0.3">
      <c r="A135" s="1" t="s">
        <v>502</v>
      </c>
      <c r="B135" s="1" t="s">
        <v>503</v>
      </c>
      <c r="C135" s="1" t="s">
        <v>35</v>
      </c>
      <c r="D135" s="1" t="s">
        <v>30</v>
      </c>
      <c r="E135" s="1" t="s">
        <v>31</v>
      </c>
      <c r="F135" s="2">
        <v>46146</v>
      </c>
      <c r="G135" s="1" t="s">
        <v>504</v>
      </c>
      <c r="H135" s="1" t="s">
        <v>505</v>
      </c>
      <c r="I135" s="1" t="b">
        <v>1</v>
      </c>
      <c r="J135" s="1" t="b">
        <v>1</v>
      </c>
    </row>
    <row r="136" spans="1:10" x14ac:dyDescent="0.3">
      <c r="A136" s="1" t="s">
        <v>506</v>
      </c>
      <c r="B136" s="1" t="s">
        <v>507</v>
      </c>
      <c r="C136" s="1" t="s">
        <v>25</v>
      </c>
      <c r="D136" s="1" t="s">
        <v>19</v>
      </c>
      <c r="E136" s="1" t="s">
        <v>90</v>
      </c>
      <c r="F136" s="2">
        <v>45713</v>
      </c>
      <c r="G136" s="1" t="s">
        <v>508</v>
      </c>
      <c r="H136" s="1" t="s">
        <v>509</v>
      </c>
      <c r="I136" s="1" t="b">
        <v>1</v>
      </c>
      <c r="J136" s="1" t="b">
        <v>1</v>
      </c>
    </row>
    <row r="137" spans="1:10" x14ac:dyDescent="0.3">
      <c r="A137" s="1" t="s">
        <v>510</v>
      </c>
      <c r="B137" s="1" t="s">
        <v>511</v>
      </c>
      <c r="C137" s="1" t="s">
        <v>48</v>
      </c>
      <c r="D137" s="1" t="s">
        <v>13</v>
      </c>
      <c r="E137" s="1" t="s">
        <v>90</v>
      </c>
      <c r="F137" s="2">
        <v>45264</v>
      </c>
      <c r="G137" s="1" t="s">
        <v>512</v>
      </c>
      <c r="H137" s="1" t="s">
        <v>96</v>
      </c>
      <c r="I137" s="1" t="b">
        <v>1</v>
      </c>
      <c r="J137" s="1" t="b">
        <v>0</v>
      </c>
    </row>
    <row r="138" spans="1:10" x14ac:dyDescent="0.3">
      <c r="A138" s="1" t="s">
        <v>513</v>
      </c>
      <c r="B138" s="1" t="s">
        <v>514</v>
      </c>
      <c r="C138" s="1" t="s">
        <v>25</v>
      </c>
      <c r="D138" s="1" t="s">
        <v>30</v>
      </c>
      <c r="E138" s="1" t="s">
        <v>90</v>
      </c>
      <c r="F138" s="2">
        <v>46239</v>
      </c>
      <c r="G138" s="1" t="s">
        <v>515</v>
      </c>
      <c r="H138" s="1" t="s">
        <v>516</v>
      </c>
      <c r="I138" s="1" t="b">
        <v>1</v>
      </c>
      <c r="J138" s="1" t="b">
        <v>1</v>
      </c>
    </row>
    <row r="139" spans="1:10" x14ac:dyDescent="0.3">
      <c r="A139" s="1" t="s">
        <v>517</v>
      </c>
      <c r="B139" s="1" t="s">
        <v>518</v>
      </c>
      <c r="C139" s="1" t="s">
        <v>48</v>
      </c>
      <c r="D139" s="1" t="s">
        <v>19</v>
      </c>
      <c r="E139" s="1" t="s">
        <v>90</v>
      </c>
      <c r="F139" s="2">
        <v>45690</v>
      </c>
      <c r="G139" s="1" t="s">
        <v>96</v>
      </c>
      <c r="H139" s="1" t="s">
        <v>519</v>
      </c>
      <c r="I139" s="1" t="b">
        <v>0</v>
      </c>
      <c r="J139" s="1" t="b">
        <v>1</v>
      </c>
    </row>
    <row r="140" spans="1:10" x14ac:dyDescent="0.3">
      <c r="A140" s="1" t="s">
        <v>520</v>
      </c>
      <c r="B140" s="1" t="s">
        <v>521</v>
      </c>
      <c r="C140" s="1" t="s">
        <v>35</v>
      </c>
      <c r="D140" s="1" t="s">
        <v>13</v>
      </c>
      <c r="E140" s="1" t="s">
        <v>36</v>
      </c>
      <c r="F140" s="2">
        <v>45578</v>
      </c>
      <c r="G140" s="1" t="s">
        <v>522</v>
      </c>
      <c r="H140" s="1" t="s">
        <v>523</v>
      </c>
      <c r="I140" s="1" t="b">
        <v>1</v>
      </c>
      <c r="J140" s="1" t="b">
        <v>1</v>
      </c>
    </row>
    <row r="141" spans="1:10" x14ac:dyDescent="0.3">
      <c r="A141" s="1" t="s">
        <v>524</v>
      </c>
      <c r="B141" s="1" t="s">
        <v>525</v>
      </c>
      <c r="C141" s="1" t="s">
        <v>67</v>
      </c>
      <c r="D141" s="1" t="s">
        <v>13</v>
      </c>
      <c r="E141" s="1" t="s">
        <v>14</v>
      </c>
      <c r="F141" s="2">
        <v>45590</v>
      </c>
      <c r="G141" s="1" t="s">
        <v>526</v>
      </c>
      <c r="H141" s="1" t="s">
        <v>96</v>
      </c>
      <c r="I141" s="1" t="b">
        <v>1</v>
      </c>
      <c r="J141" s="1" t="b">
        <v>0</v>
      </c>
    </row>
    <row r="142" spans="1:10" x14ac:dyDescent="0.3">
      <c r="A142" s="1" t="s">
        <v>527</v>
      </c>
      <c r="B142" s="1" t="s">
        <v>528</v>
      </c>
      <c r="C142" s="1" t="s">
        <v>67</v>
      </c>
      <c r="D142" s="1" t="s">
        <v>13</v>
      </c>
      <c r="E142" s="1" t="s">
        <v>90</v>
      </c>
      <c r="F142" s="2">
        <v>45932</v>
      </c>
      <c r="G142" s="1" t="s">
        <v>529</v>
      </c>
      <c r="H142" s="1" t="s">
        <v>530</v>
      </c>
      <c r="I142" s="1" t="b">
        <v>1</v>
      </c>
      <c r="J142" s="1" t="b">
        <v>1</v>
      </c>
    </row>
    <row r="143" spans="1:10" x14ac:dyDescent="0.3">
      <c r="A143" s="1" t="s">
        <v>531</v>
      </c>
      <c r="B143" s="1" t="s">
        <v>532</v>
      </c>
      <c r="C143" s="1" t="s">
        <v>25</v>
      </c>
      <c r="D143" s="1" t="s">
        <v>30</v>
      </c>
      <c r="E143" s="1" t="s">
        <v>36</v>
      </c>
      <c r="F143" s="2">
        <v>46249</v>
      </c>
      <c r="G143" s="1" t="s">
        <v>533</v>
      </c>
      <c r="H143" s="1" t="s">
        <v>534</v>
      </c>
      <c r="I143" s="1" t="b">
        <v>1</v>
      </c>
      <c r="J143" s="1" t="b">
        <v>1</v>
      </c>
    </row>
    <row r="144" spans="1:10" x14ac:dyDescent="0.3">
      <c r="A144" s="1" t="s">
        <v>535</v>
      </c>
      <c r="B144" s="1" t="s">
        <v>536</v>
      </c>
      <c r="C144" s="1" t="s">
        <v>48</v>
      </c>
      <c r="D144" s="1" t="s">
        <v>30</v>
      </c>
      <c r="E144" s="1" t="s">
        <v>36</v>
      </c>
      <c r="F144" s="2">
        <v>46232</v>
      </c>
      <c r="G144" s="1" t="s">
        <v>537</v>
      </c>
      <c r="H144" s="1" t="s">
        <v>538</v>
      </c>
      <c r="I144" s="1" t="b">
        <v>1</v>
      </c>
      <c r="J144" s="1" t="b">
        <v>1</v>
      </c>
    </row>
    <row r="145" spans="1:10" x14ac:dyDescent="0.3">
      <c r="A145" s="1" t="s">
        <v>539</v>
      </c>
      <c r="B145" s="1" t="s">
        <v>540</v>
      </c>
      <c r="C145" s="1" t="s">
        <v>48</v>
      </c>
      <c r="D145" s="1" t="s">
        <v>13</v>
      </c>
      <c r="E145" s="1" t="s">
        <v>14</v>
      </c>
      <c r="F145" s="2">
        <v>45492</v>
      </c>
      <c r="G145" s="1" t="s">
        <v>96</v>
      </c>
      <c r="H145" s="1" t="s">
        <v>96</v>
      </c>
      <c r="I145" s="1" t="b">
        <v>0</v>
      </c>
      <c r="J145" s="1" t="b">
        <v>0</v>
      </c>
    </row>
    <row r="146" spans="1:10" x14ac:dyDescent="0.3">
      <c r="A146" s="1" t="s">
        <v>541</v>
      </c>
      <c r="B146" s="1" t="s">
        <v>542</v>
      </c>
      <c r="C146" s="1" t="s">
        <v>35</v>
      </c>
      <c r="D146" s="1" t="s">
        <v>30</v>
      </c>
      <c r="E146" s="1" t="s">
        <v>20</v>
      </c>
      <c r="F146" s="2">
        <v>45459</v>
      </c>
      <c r="G146" s="1" t="s">
        <v>543</v>
      </c>
      <c r="H146" s="1" t="s">
        <v>544</v>
      </c>
      <c r="I146" s="1" t="b">
        <v>1</v>
      </c>
      <c r="J146" s="1" t="b">
        <v>1</v>
      </c>
    </row>
    <row r="147" spans="1:10" x14ac:dyDescent="0.3">
      <c r="A147" s="1" t="s">
        <v>545</v>
      </c>
      <c r="B147" s="1" t="s">
        <v>546</v>
      </c>
      <c r="C147" s="1" t="s">
        <v>48</v>
      </c>
      <c r="D147" s="1" t="s">
        <v>13</v>
      </c>
      <c r="E147" s="1" t="s">
        <v>90</v>
      </c>
      <c r="F147" s="2">
        <v>45949</v>
      </c>
      <c r="G147" s="1" t="s">
        <v>547</v>
      </c>
      <c r="H147" s="1" t="s">
        <v>548</v>
      </c>
      <c r="I147" s="1" t="b">
        <v>1</v>
      </c>
      <c r="J147" s="1" t="b">
        <v>1</v>
      </c>
    </row>
    <row r="148" spans="1:10" x14ac:dyDescent="0.3">
      <c r="A148" s="1" t="s">
        <v>549</v>
      </c>
      <c r="B148" s="1" t="s">
        <v>550</v>
      </c>
      <c r="C148" s="1" t="s">
        <v>48</v>
      </c>
      <c r="D148" s="1" t="s">
        <v>30</v>
      </c>
      <c r="E148" s="1" t="s">
        <v>20</v>
      </c>
      <c r="F148" s="2">
        <v>45880</v>
      </c>
      <c r="G148" s="1" t="s">
        <v>551</v>
      </c>
      <c r="H148" s="1" t="s">
        <v>552</v>
      </c>
      <c r="I148" s="1" t="b">
        <v>1</v>
      </c>
      <c r="J148" s="1" t="b">
        <v>1</v>
      </c>
    </row>
    <row r="149" spans="1:10" x14ac:dyDescent="0.3">
      <c r="A149" s="1" t="s">
        <v>553</v>
      </c>
      <c r="B149" s="1" t="s">
        <v>554</v>
      </c>
      <c r="C149" s="1" t="s">
        <v>56</v>
      </c>
      <c r="D149" s="1" t="s">
        <v>13</v>
      </c>
      <c r="E149" s="1" t="s">
        <v>14</v>
      </c>
      <c r="F149" s="2">
        <v>45300</v>
      </c>
      <c r="G149" s="1" t="s">
        <v>555</v>
      </c>
      <c r="H149" s="1" t="s">
        <v>96</v>
      </c>
      <c r="I149" s="1" t="b">
        <v>1</v>
      </c>
      <c r="J149" s="1" t="b">
        <v>0</v>
      </c>
    </row>
    <row r="150" spans="1:10" x14ac:dyDescent="0.3">
      <c r="A150" s="1" t="s">
        <v>556</v>
      </c>
      <c r="B150" s="1" t="s">
        <v>557</v>
      </c>
      <c r="C150" s="1" t="s">
        <v>67</v>
      </c>
      <c r="D150" s="1" t="s">
        <v>19</v>
      </c>
      <c r="E150" s="1" t="s">
        <v>14</v>
      </c>
      <c r="F150" s="2">
        <v>45712</v>
      </c>
      <c r="G150" s="1" t="s">
        <v>558</v>
      </c>
      <c r="H150" s="1" t="s">
        <v>559</v>
      </c>
      <c r="I150" s="1" t="b">
        <v>1</v>
      </c>
      <c r="J150" s="1" t="b">
        <v>1</v>
      </c>
    </row>
    <row r="151" spans="1:10" x14ac:dyDescent="0.3">
      <c r="A151" s="1" t="s">
        <v>560</v>
      </c>
      <c r="B151" s="1" t="s">
        <v>561</v>
      </c>
      <c r="C151" s="1" t="s">
        <v>67</v>
      </c>
      <c r="D151" s="1" t="s">
        <v>13</v>
      </c>
      <c r="E151" s="1" t="s">
        <v>20</v>
      </c>
      <c r="F151" s="2">
        <v>45904</v>
      </c>
      <c r="G151" s="1" t="s">
        <v>96</v>
      </c>
      <c r="H151" s="1" t="s">
        <v>562</v>
      </c>
      <c r="I151" s="1" t="b">
        <v>0</v>
      </c>
      <c r="J151" s="1" t="b">
        <v>1</v>
      </c>
    </row>
    <row r="152" spans="1:10" x14ac:dyDescent="0.3">
      <c r="A152" s="1" t="s">
        <v>563</v>
      </c>
      <c r="B152" s="1" t="s">
        <v>564</v>
      </c>
      <c r="C152" s="1" t="s">
        <v>12</v>
      </c>
      <c r="D152" s="1" t="s">
        <v>13</v>
      </c>
      <c r="E152" s="1" t="s">
        <v>90</v>
      </c>
      <c r="F152" s="2">
        <v>45594</v>
      </c>
      <c r="G152" s="1" t="s">
        <v>565</v>
      </c>
      <c r="H152" s="1" t="s">
        <v>566</v>
      </c>
      <c r="I152" s="1" t="b">
        <v>1</v>
      </c>
      <c r="J152" s="1" t="b">
        <v>1</v>
      </c>
    </row>
    <row r="153" spans="1:10" x14ac:dyDescent="0.3">
      <c r="A153" s="1" t="s">
        <v>567</v>
      </c>
      <c r="B153" s="1" t="s">
        <v>568</v>
      </c>
      <c r="C153" s="1" t="s">
        <v>48</v>
      </c>
      <c r="D153" s="1" t="s">
        <v>19</v>
      </c>
      <c r="E153" s="1" t="s">
        <v>31</v>
      </c>
      <c r="F153" s="2">
        <v>46131</v>
      </c>
      <c r="G153" s="1" t="s">
        <v>569</v>
      </c>
      <c r="H153" s="1" t="s">
        <v>96</v>
      </c>
      <c r="I153" s="1" t="b">
        <v>1</v>
      </c>
      <c r="J153" s="1" t="b">
        <v>0</v>
      </c>
    </row>
    <row r="154" spans="1:10" x14ac:dyDescent="0.3">
      <c r="A154" s="1" t="s">
        <v>570</v>
      </c>
      <c r="B154" s="1" t="s">
        <v>571</v>
      </c>
      <c r="C154" s="1" t="s">
        <v>12</v>
      </c>
      <c r="D154" s="1" t="s">
        <v>13</v>
      </c>
      <c r="E154" s="1" t="s">
        <v>20</v>
      </c>
      <c r="F154" s="2">
        <v>46187</v>
      </c>
      <c r="G154" s="1" t="s">
        <v>572</v>
      </c>
      <c r="H154" s="1" t="s">
        <v>573</v>
      </c>
      <c r="I154" s="1" t="b">
        <v>1</v>
      </c>
      <c r="J154" s="1" t="b">
        <v>1</v>
      </c>
    </row>
    <row r="155" spans="1:10" x14ac:dyDescent="0.3">
      <c r="A155" s="1" t="s">
        <v>574</v>
      </c>
      <c r="B155" s="1" t="s">
        <v>575</v>
      </c>
      <c r="C155" s="1" t="s">
        <v>25</v>
      </c>
      <c r="D155" s="1" t="s">
        <v>13</v>
      </c>
      <c r="E155" s="1" t="s">
        <v>36</v>
      </c>
      <c r="F155" s="2">
        <v>46024</v>
      </c>
      <c r="G155" s="1" t="s">
        <v>576</v>
      </c>
      <c r="H155" s="1" t="s">
        <v>577</v>
      </c>
      <c r="I155" s="1" t="b">
        <v>1</v>
      </c>
      <c r="J155" s="1" t="b">
        <v>1</v>
      </c>
    </row>
    <row r="156" spans="1:10" x14ac:dyDescent="0.3">
      <c r="A156" s="1" t="s">
        <v>578</v>
      </c>
      <c r="B156" s="1" t="s">
        <v>579</v>
      </c>
      <c r="C156" s="1" t="s">
        <v>35</v>
      </c>
      <c r="D156" s="1" t="s">
        <v>13</v>
      </c>
      <c r="E156" s="1" t="s">
        <v>90</v>
      </c>
      <c r="F156" s="2">
        <v>45949</v>
      </c>
      <c r="G156" s="1" t="s">
        <v>580</v>
      </c>
      <c r="H156" s="1" t="s">
        <v>581</v>
      </c>
      <c r="I156" s="1" t="b">
        <v>1</v>
      </c>
      <c r="J156" s="1" t="b">
        <v>1</v>
      </c>
    </row>
    <row r="157" spans="1:10" x14ac:dyDescent="0.3">
      <c r="A157" s="1" t="s">
        <v>582</v>
      </c>
      <c r="B157" s="1" t="s">
        <v>583</v>
      </c>
      <c r="C157" s="1" t="s">
        <v>56</v>
      </c>
      <c r="D157" s="1" t="s">
        <v>30</v>
      </c>
      <c r="E157" s="1" t="s">
        <v>20</v>
      </c>
      <c r="F157" s="2">
        <v>45980</v>
      </c>
      <c r="G157" s="1" t="s">
        <v>96</v>
      </c>
      <c r="H157" s="1" t="s">
        <v>96</v>
      </c>
      <c r="I157" s="1" t="b">
        <v>0</v>
      </c>
      <c r="J157" s="1" t="b">
        <v>0</v>
      </c>
    </row>
    <row r="158" spans="1:10" x14ac:dyDescent="0.3">
      <c r="A158" s="1" t="s">
        <v>584</v>
      </c>
      <c r="B158" s="1" t="s">
        <v>585</v>
      </c>
      <c r="C158" s="1" t="s">
        <v>67</v>
      </c>
      <c r="D158" s="1" t="s">
        <v>13</v>
      </c>
      <c r="E158" s="1" t="s">
        <v>14</v>
      </c>
      <c r="F158" s="2">
        <v>45253</v>
      </c>
      <c r="G158" s="1" t="s">
        <v>586</v>
      </c>
      <c r="H158" s="1" t="s">
        <v>587</v>
      </c>
      <c r="I158" s="1" t="b">
        <v>1</v>
      </c>
      <c r="J158" s="1" t="b">
        <v>1</v>
      </c>
    </row>
    <row r="159" spans="1:10" x14ac:dyDescent="0.3">
      <c r="A159" s="1" t="s">
        <v>588</v>
      </c>
      <c r="B159" s="1" t="s">
        <v>589</v>
      </c>
      <c r="C159" s="1" t="s">
        <v>56</v>
      </c>
      <c r="D159" s="1" t="s">
        <v>13</v>
      </c>
      <c r="E159" s="1" t="s">
        <v>36</v>
      </c>
      <c r="F159" s="2">
        <v>45271</v>
      </c>
      <c r="G159" s="1" t="s">
        <v>590</v>
      </c>
      <c r="H159" s="1" t="s">
        <v>591</v>
      </c>
      <c r="I159" s="1" t="b">
        <v>1</v>
      </c>
      <c r="J159" s="1" t="b">
        <v>1</v>
      </c>
    </row>
    <row r="160" spans="1:10" x14ac:dyDescent="0.3">
      <c r="A160" s="1" t="s">
        <v>592</v>
      </c>
      <c r="B160" s="1" t="s">
        <v>593</v>
      </c>
      <c r="C160" s="1" t="s">
        <v>25</v>
      </c>
      <c r="D160" s="1" t="s">
        <v>13</v>
      </c>
      <c r="E160" s="1" t="s">
        <v>36</v>
      </c>
      <c r="F160" s="2">
        <v>45554</v>
      </c>
      <c r="G160" s="1" t="s">
        <v>594</v>
      </c>
      <c r="H160" s="1" t="s">
        <v>595</v>
      </c>
      <c r="I160" s="1" t="b">
        <v>1</v>
      </c>
      <c r="J160" s="1" t="b">
        <v>1</v>
      </c>
    </row>
    <row r="161" spans="1:10" x14ac:dyDescent="0.3">
      <c r="A161" s="1" t="s">
        <v>596</v>
      </c>
      <c r="B161" s="1" t="s">
        <v>597</v>
      </c>
      <c r="C161" s="1" t="s">
        <v>67</v>
      </c>
      <c r="D161" s="1" t="s">
        <v>19</v>
      </c>
      <c r="E161" s="1" t="s">
        <v>20</v>
      </c>
      <c r="F161" s="2">
        <v>45974</v>
      </c>
      <c r="G161" s="1" t="s">
        <v>598</v>
      </c>
      <c r="H161" s="1" t="s">
        <v>96</v>
      </c>
      <c r="I161" s="1" t="b">
        <v>1</v>
      </c>
      <c r="J161" s="1" t="b">
        <v>0</v>
      </c>
    </row>
    <row r="162" spans="1:10" x14ac:dyDescent="0.3">
      <c r="A162" s="1" t="s">
        <v>599</v>
      </c>
      <c r="B162" s="1" t="s">
        <v>600</v>
      </c>
      <c r="C162" s="1" t="s">
        <v>25</v>
      </c>
      <c r="D162" s="1" t="s">
        <v>13</v>
      </c>
      <c r="E162" s="1" t="s">
        <v>20</v>
      </c>
      <c r="F162" s="2">
        <v>46105</v>
      </c>
      <c r="G162" s="1" t="s">
        <v>601</v>
      </c>
      <c r="H162" s="1" t="s">
        <v>602</v>
      </c>
      <c r="I162" s="1" t="b">
        <v>1</v>
      </c>
      <c r="J162" s="1" t="b">
        <v>1</v>
      </c>
    </row>
    <row r="163" spans="1:10" x14ac:dyDescent="0.3">
      <c r="A163" s="1" t="s">
        <v>603</v>
      </c>
      <c r="B163" s="1" t="s">
        <v>604</v>
      </c>
      <c r="C163" s="1" t="s">
        <v>56</v>
      </c>
      <c r="D163" s="1" t="s">
        <v>19</v>
      </c>
      <c r="E163" s="1" t="s">
        <v>90</v>
      </c>
      <c r="F163" s="2">
        <v>45421</v>
      </c>
      <c r="G163" s="1" t="s">
        <v>96</v>
      </c>
      <c r="H163" s="1" t="s">
        <v>605</v>
      </c>
      <c r="I163" s="1" t="b">
        <v>0</v>
      </c>
      <c r="J163" s="1" t="b">
        <v>1</v>
      </c>
    </row>
    <row r="164" spans="1:10" x14ac:dyDescent="0.3">
      <c r="A164" s="1" t="s">
        <v>606</v>
      </c>
      <c r="B164" s="1" t="s">
        <v>607</v>
      </c>
      <c r="C164" s="1" t="s">
        <v>35</v>
      </c>
      <c r="D164" s="1" t="s">
        <v>19</v>
      </c>
      <c r="E164" s="1" t="s">
        <v>90</v>
      </c>
      <c r="F164" s="2">
        <v>45758</v>
      </c>
      <c r="G164" s="1" t="s">
        <v>608</v>
      </c>
      <c r="H164" s="1" t="s">
        <v>609</v>
      </c>
      <c r="I164" s="1" t="b">
        <v>1</v>
      </c>
      <c r="J164" s="1" t="b">
        <v>1</v>
      </c>
    </row>
    <row r="165" spans="1:10" x14ac:dyDescent="0.3">
      <c r="A165" s="1" t="s">
        <v>610</v>
      </c>
      <c r="B165" s="1" t="s">
        <v>611</v>
      </c>
      <c r="C165" s="1" t="s">
        <v>12</v>
      </c>
      <c r="D165" s="1" t="s">
        <v>30</v>
      </c>
      <c r="E165" s="1" t="s">
        <v>36</v>
      </c>
      <c r="F165" s="2">
        <v>46168</v>
      </c>
      <c r="G165" s="1" t="s">
        <v>612</v>
      </c>
      <c r="H165" s="1" t="s">
        <v>96</v>
      </c>
      <c r="I165" s="1" t="b">
        <v>1</v>
      </c>
      <c r="J165" s="1" t="b">
        <v>0</v>
      </c>
    </row>
    <row r="166" spans="1:10" x14ac:dyDescent="0.3">
      <c r="A166" s="1" t="s">
        <v>613</v>
      </c>
      <c r="B166" s="1" t="s">
        <v>614</v>
      </c>
      <c r="C166" s="1" t="s">
        <v>12</v>
      </c>
      <c r="D166" s="1" t="s">
        <v>30</v>
      </c>
      <c r="E166" s="1" t="s">
        <v>90</v>
      </c>
      <c r="F166" s="2">
        <v>45388</v>
      </c>
      <c r="G166" s="1" t="s">
        <v>615</v>
      </c>
      <c r="H166" s="1" t="s">
        <v>616</v>
      </c>
      <c r="I166" s="1" t="b">
        <v>1</v>
      </c>
      <c r="J166" s="1" t="b">
        <v>1</v>
      </c>
    </row>
    <row r="167" spans="1:10" x14ac:dyDescent="0.3">
      <c r="A167" s="1" t="s">
        <v>617</v>
      </c>
      <c r="B167" s="1" t="s">
        <v>618</v>
      </c>
      <c r="C167" s="1" t="s">
        <v>35</v>
      </c>
      <c r="D167" s="1" t="s">
        <v>13</v>
      </c>
      <c r="E167" s="1" t="s">
        <v>90</v>
      </c>
      <c r="F167" s="2">
        <v>46210</v>
      </c>
      <c r="G167" s="1" t="s">
        <v>619</v>
      </c>
      <c r="H167" s="1" t="s">
        <v>620</v>
      </c>
      <c r="I167" s="1" t="b">
        <v>1</v>
      </c>
      <c r="J167" s="1" t="b">
        <v>1</v>
      </c>
    </row>
    <row r="168" spans="1:10" x14ac:dyDescent="0.3">
      <c r="A168" s="1" t="s">
        <v>621</v>
      </c>
      <c r="B168" s="1" t="s">
        <v>622</v>
      </c>
      <c r="C168" s="1" t="s">
        <v>25</v>
      </c>
      <c r="D168" s="1" t="s">
        <v>30</v>
      </c>
      <c r="E168" s="1" t="s">
        <v>90</v>
      </c>
      <c r="F168" s="2">
        <v>45569</v>
      </c>
      <c r="G168" s="1" t="s">
        <v>623</v>
      </c>
      <c r="H168" s="1" t="s">
        <v>624</v>
      </c>
      <c r="I168" s="1" t="b">
        <v>1</v>
      </c>
      <c r="J168" s="1" t="b">
        <v>1</v>
      </c>
    </row>
    <row r="169" spans="1:10" x14ac:dyDescent="0.3">
      <c r="A169" s="1" t="s">
        <v>625</v>
      </c>
      <c r="B169" s="1" t="s">
        <v>626</v>
      </c>
      <c r="C169" s="1" t="s">
        <v>35</v>
      </c>
      <c r="D169" s="1" t="s">
        <v>13</v>
      </c>
      <c r="E169" s="1" t="s">
        <v>31</v>
      </c>
      <c r="F169" s="2">
        <v>45500</v>
      </c>
      <c r="G169" s="1" t="s">
        <v>96</v>
      </c>
      <c r="H169" s="1" t="s">
        <v>96</v>
      </c>
      <c r="I169" s="1" t="b">
        <v>0</v>
      </c>
      <c r="J169" s="1" t="b">
        <v>0</v>
      </c>
    </row>
    <row r="170" spans="1:10" x14ac:dyDescent="0.3">
      <c r="A170" s="1" t="s">
        <v>627</v>
      </c>
      <c r="B170" s="1" t="s">
        <v>628</v>
      </c>
      <c r="C170" s="1" t="s">
        <v>56</v>
      </c>
      <c r="D170" s="1" t="s">
        <v>19</v>
      </c>
      <c r="E170" s="1" t="s">
        <v>90</v>
      </c>
      <c r="F170" s="2">
        <v>45447</v>
      </c>
      <c r="G170" s="1" t="s">
        <v>629</v>
      </c>
      <c r="H170" s="1" t="s">
        <v>630</v>
      </c>
      <c r="I170" s="1" t="b">
        <v>1</v>
      </c>
      <c r="J170" s="1" t="b">
        <v>1</v>
      </c>
    </row>
    <row r="171" spans="1:10" x14ac:dyDescent="0.3">
      <c r="A171" s="1" t="s">
        <v>631</v>
      </c>
      <c r="B171" s="1" t="s">
        <v>632</v>
      </c>
      <c r="C171" s="1" t="s">
        <v>56</v>
      </c>
      <c r="D171" s="1" t="s">
        <v>30</v>
      </c>
      <c r="E171" s="1" t="s">
        <v>31</v>
      </c>
      <c r="F171" s="2">
        <v>46205</v>
      </c>
      <c r="G171" s="1" t="s">
        <v>633</v>
      </c>
      <c r="H171" s="1" t="s">
        <v>634</v>
      </c>
      <c r="I171" s="1" t="b">
        <v>1</v>
      </c>
      <c r="J171" s="1" t="b">
        <v>1</v>
      </c>
    </row>
    <row r="172" spans="1:10" x14ac:dyDescent="0.3">
      <c r="A172" s="1" t="s">
        <v>635</v>
      </c>
      <c r="B172" s="1" t="s">
        <v>636</v>
      </c>
      <c r="C172" s="1" t="s">
        <v>35</v>
      </c>
      <c r="D172" s="1" t="s">
        <v>19</v>
      </c>
      <c r="E172" s="1" t="s">
        <v>31</v>
      </c>
      <c r="F172" s="2">
        <v>45700</v>
      </c>
      <c r="G172" s="1" t="s">
        <v>637</v>
      </c>
      <c r="H172" s="1" t="s">
        <v>638</v>
      </c>
      <c r="I172" s="1" t="b">
        <v>1</v>
      </c>
      <c r="J172" s="1" t="b">
        <v>1</v>
      </c>
    </row>
    <row r="173" spans="1:10" x14ac:dyDescent="0.3">
      <c r="A173" s="1" t="s">
        <v>639</v>
      </c>
      <c r="B173" s="1" t="s">
        <v>640</v>
      </c>
      <c r="C173" s="1" t="s">
        <v>25</v>
      </c>
      <c r="D173" s="1" t="s">
        <v>19</v>
      </c>
      <c r="E173" s="1" t="s">
        <v>14</v>
      </c>
      <c r="F173" s="2">
        <v>45390</v>
      </c>
      <c r="G173" s="1" t="s">
        <v>641</v>
      </c>
      <c r="H173" s="1" t="s">
        <v>96</v>
      </c>
      <c r="I173" s="1" t="b">
        <v>1</v>
      </c>
      <c r="J173" s="1" t="b">
        <v>0</v>
      </c>
    </row>
    <row r="174" spans="1:10" x14ac:dyDescent="0.3">
      <c r="A174" s="1" t="s">
        <v>642</v>
      </c>
      <c r="B174" s="1" t="s">
        <v>643</v>
      </c>
      <c r="C174" s="1" t="s">
        <v>12</v>
      </c>
      <c r="D174" s="1" t="s">
        <v>19</v>
      </c>
      <c r="E174" s="1" t="s">
        <v>14</v>
      </c>
      <c r="F174" s="2">
        <v>45608</v>
      </c>
      <c r="G174" s="1" t="s">
        <v>644</v>
      </c>
      <c r="H174" s="1" t="s">
        <v>645</v>
      </c>
      <c r="I174" s="1" t="b">
        <v>1</v>
      </c>
      <c r="J174" s="1" t="b">
        <v>1</v>
      </c>
    </row>
    <row r="175" spans="1:10" x14ac:dyDescent="0.3">
      <c r="A175" s="1" t="s">
        <v>646</v>
      </c>
      <c r="B175" s="1" t="s">
        <v>647</v>
      </c>
      <c r="C175" s="1" t="s">
        <v>48</v>
      </c>
      <c r="D175" s="1" t="s">
        <v>30</v>
      </c>
      <c r="E175" s="1" t="s">
        <v>20</v>
      </c>
      <c r="F175" s="2">
        <v>45718</v>
      </c>
      <c r="G175" s="1" t="s">
        <v>96</v>
      </c>
      <c r="H175" s="1" t="s">
        <v>648</v>
      </c>
      <c r="I175" s="1" t="b">
        <v>0</v>
      </c>
      <c r="J175" s="1" t="b">
        <v>1</v>
      </c>
    </row>
    <row r="176" spans="1:10" x14ac:dyDescent="0.3">
      <c r="A176" s="1" t="s">
        <v>649</v>
      </c>
      <c r="B176" s="1" t="s">
        <v>650</v>
      </c>
      <c r="C176" s="1" t="s">
        <v>67</v>
      </c>
      <c r="D176" s="1" t="s">
        <v>19</v>
      </c>
      <c r="E176" s="1" t="s">
        <v>14</v>
      </c>
      <c r="F176" s="2">
        <v>45811</v>
      </c>
      <c r="G176" s="1" t="s">
        <v>651</v>
      </c>
      <c r="H176" s="1" t="s">
        <v>652</v>
      </c>
      <c r="I176" s="1" t="b">
        <v>1</v>
      </c>
      <c r="J176" s="1" t="b">
        <v>1</v>
      </c>
    </row>
    <row r="177" spans="1:10" x14ac:dyDescent="0.3">
      <c r="A177" s="1" t="s">
        <v>653</v>
      </c>
      <c r="B177" s="1" t="s">
        <v>654</v>
      </c>
      <c r="C177" s="1" t="s">
        <v>12</v>
      </c>
      <c r="D177" s="1" t="s">
        <v>19</v>
      </c>
      <c r="E177" s="1" t="s">
        <v>31</v>
      </c>
      <c r="F177" s="2">
        <v>45830</v>
      </c>
      <c r="G177" s="1" t="s">
        <v>655</v>
      </c>
      <c r="H177" s="1" t="s">
        <v>96</v>
      </c>
      <c r="I177" s="1" t="b">
        <v>1</v>
      </c>
      <c r="J177" s="1" t="b">
        <v>0</v>
      </c>
    </row>
    <row r="178" spans="1:10" x14ac:dyDescent="0.3">
      <c r="A178" s="1" t="s">
        <v>656</v>
      </c>
      <c r="B178" s="1" t="s">
        <v>657</v>
      </c>
      <c r="C178" s="1" t="s">
        <v>67</v>
      </c>
      <c r="D178" s="1" t="s">
        <v>30</v>
      </c>
      <c r="E178" s="1" t="s">
        <v>14</v>
      </c>
      <c r="F178" s="2">
        <v>45533</v>
      </c>
      <c r="G178" s="1" t="s">
        <v>658</v>
      </c>
      <c r="H178" s="1" t="s">
        <v>659</v>
      </c>
      <c r="I178" s="1" t="b">
        <v>1</v>
      </c>
      <c r="J178" s="1" t="b">
        <v>1</v>
      </c>
    </row>
    <row r="179" spans="1:10" x14ac:dyDescent="0.3">
      <c r="A179" s="1" t="s">
        <v>660</v>
      </c>
      <c r="B179" s="1" t="s">
        <v>661</v>
      </c>
      <c r="C179" s="1" t="s">
        <v>12</v>
      </c>
      <c r="D179" s="1" t="s">
        <v>19</v>
      </c>
      <c r="E179" s="1" t="s">
        <v>31</v>
      </c>
      <c r="F179" s="2">
        <v>45943</v>
      </c>
      <c r="G179" s="1" t="s">
        <v>662</v>
      </c>
      <c r="H179" s="1" t="s">
        <v>663</v>
      </c>
      <c r="I179" s="1" t="b">
        <v>1</v>
      </c>
      <c r="J179" s="1" t="b">
        <v>1</v>
      </c>
    </row>
    <row r="180" spans="1:10" x14ac:dyDescent="0.3">
      <c r="A180" s="1" t="s">
        <v>664</v>
      </c>
      <c r="B180" s="1" t="s">
        <v>665</v>
      </c>
      <c r="C180" s="1" t="s">
        <v>67</v>
      </c>
      <c r="D180" s="1" t="s">
        <v>30</v>
      </c>
      <c r="E180" s="1" t="s">
        <v>36</v>
      </c>
      <c r="F180" s="2">
        <v>45620</v>
      </c>
      <c r="G180" s="1" t="s">
        <v>666</v>
      </c>
      <c r="H180" s="1" t="s">
        <v>667</v>
      </c>
      <c r="I180" s="1" t="b">
        <v>1</v>
      </c>
      <c r="J180" s="1" t="b">
        <v>1</v>
      </c>
    </row>
    <row r="181" spans="1:10" x14ac:dyDescent="0.3">
      <c r="A181" s="1" t="s">
        <v>668</v>
      </c>
      <c r="B181" s="1" t="s">
        <v>669</v>
      </c>
      <c r="C181" s="1" t="s">
        <v>67</v>
      </c>
      <c r="D181" s="1" t="s">
        <v>19</v>
      </c>
      <c r="E181" s="1" t="s">
        <v>90</v>
      </c>
      <c r="F181" s="2">
        <v>45781</v>
      </c>
      <c r="G181" s="1" t="s">
        <v>96</v>
      </c>
      <c r="H181" s="1" t="s">
        <v>96</v>
      </c>
      <c r="I181" s="1" t="b">
        <v>0</v>
      </c>
      <c r="J181" s="1" t="b">
        <v>0</v>
      </c>
    </row>
    <row r="182" spans="1:10" x14ac:dyDescent="0.3">
      <c r="A182" s="1" t="s">
        <v>670</v>
      </c>
      <c r="B182" s="1" t="s">
        <v>671</v>
      </c>
      <c r="C182" s="1" t="s">
        <v>48</v>
      </c>
      <c r="D182" s="1" t="s">
        <v>13</v>
      </c>
      <c r="E182" s="1" t="s">
        <v>20</v>
      </c>
      <c r="F182" s="2">
        <v>45366</v>
      </c>
      <c r="G182" s="1" t="s">
        <v>672</v>
      </c>
      <c r="H182" s="1" t="s">
        <v>673</v>
      </c>
      <c r="I182" s="1" t="b">
        <v>1</v>
      </c>
      <c r="J182" s="1" t="b">
        <v>1</v>
      </c>
    </row>
    <row r="183" spans="1:10" x14ac:dyDescent="0.3">
      <c r="A183" s="1" t="s">
        <v>674</v>
      </c>
      <c r="B183" s="1" t="s">
        <v>675</v>
      </c>
      <c r="C183" s="1" t="s">
        <v>56</v>
      </c>
      <c r="D183" s="1" t="s">
        <v>30</v>
      </c>
      <c r="E183" s="1" t="s">
        <v>36</v>
      </c>
      <c r="F183" s="2">
        <v>45818</v>
      </c>
      <c r="G183" s="1" t="s">
        <v>676</v>
      </c>
      <c r="H183" s="1" t="s">
        <v>677</v>
      </c>
      <c r="I183" s="1" t="b">
        <v>1</v>
      </c>
      <c r="J183" s="1" t="b">
        <v>1</v>
      </c>
    </row>
    <row r="184" spans="1:10" x14ac:dyDescent="0.3">
      <c r="A184" s="1" t="s">
        <v>678</v>
      </c>
      <c r="B184" s="1" t="s">
        <v>679</v>
      </c>
      <c r="C184" s="1" t="s">
        <v>12</v>
      </c>
      <c r="D184" s="1" t="s">
        <v>30</v>
      </c>
      <c r="E184" s="1" t="s">
        <v>20</v>
      </c>
      <c r="F184" s="2">
        <v>45879</v>
      </c>
      <c r="G184" s="1" t="s">
        <v>680</v>
      </c>
      <c r="H184" s="1" t="s">
        <v>681</v>
      </c>
      <c r="I184" s="1" t="b">
        <v>1</v>
      </c>
      <c r="J184" s="1" t="b">
        <v>1</v>
      </c>
    </row>
    <row r="185" spans="1:10" x14ac:dyDescent="0.3">
      <c r="A185" s="1" t="s">
        <v>682</v>
      </c>
      <c r="B185" s="1" t="s">
        <v>683</v>
      </c>
      <c r="C185" s="1" t="s">
        <v>48</v>
      </c>
      <c r="D185" s="1" t="s">
        <v>30</v>
      </c>
      <c r="E185" s="1" t="s">
        <v>90</v>
      </c>
      <c r="F185" s="2">
        <v>45574</v>
      </c>
      <c r="G185" s="1" t="s">
        <v>684</v>
      </c>
      <c r="H185" s="1" t="s">
        <v>96</v>
      </c>
      <c r="I185" s="1" t="b">
        <v>1</v>
      </c>
      <c r="J185" s="1" t="b">
        <v>0</v>
      </c>
    </row>
    <row r="186" spans="1:10" x14ac:dyDescent="0.3">
      <c r="A186" s="1" t="s">
        <v>685</v>
      </c>
      <c r="B186" s="1" t="s">
        <v>686</v>
      </c>
      <c r="C186" s="1" t="s">
        <v>56</v>
      </c>
      <c r="D186" s="1" t="s">
        <v>30</v>
      </c>
      <c r="E186" s="1" t="s">
        <v>14</v>
      </c>
      <c r="F186" s="2">
        <v>45377</v>
      </c>
      <c r="G186" s="1" t="s">
        <v>687</v>
      </c>
      <c r="H186" s="1" t="s">
        <v>688</v>
      </c>
      <c r="I186" s="1" t="b">
        <v>1</v>
      </c>
      <c r="J186" s="1" t="b">
        <v>1</v>
      </c>
    </row>
    <row r="187" spans="1:10" x14ac:dyDescent="0.3">
      <c r="A187" s="1" t="s">
        <v>689</v>
      </c>
      <c r="B187" s="1" t="s">
        <v>690</v>
      </c>
      <c r="C187" s="1" t="s">
        <v>67</v>
      </c>
      <c r="D187" s="1" t="s">
        <v>19</v>
      </c>
      <c r="E187" s="1" t="s">
        <v>20</v>
      </c>
      <c r="F187" s="2">
        <v>45696</v>
      </c>
      <c r="G187" s="1" t="s">
        <v>96</v>
      </c>
      <c r="H187" s="1" t="s">
        <v>691</v>
      </c>
      <c r="I187" s="1" t="b">
        <v>0</v>
      </c>
      <c r="J187" s="1" t="b">
        <v>1</v>
      </c>
    </row>
    <row r="188" spans="1:10" x14ac:dyDescent="0.3">
      <c r="A188" s="1" t="s">
        <v>692</v>
      </c>
      <c r="B188" s="1" t="s">
        <v>693</v>
      </c>
      <c r="C188" s="1" t="s">
        <v>56</v>
      </c>
      <c r="D188" s="1" t="s">
        <v>30</v>
      </c>
      <c r="E188" s="1" t="s">
        <v>31</v>
      </c>
      <c r="F188" s="2">
        <v>46215</v>
      </c>
      <c r="G188" s="1" t="s">
        <v>694</v>
      </c>
      <c r="H188" s="1" t="s">
        <v>695</v>
      </c>
      <c r="I188" s="1" t="b">
        <v>1</v>
      </c>
      <c r="J188" s="1" t="b">
        <v>1</v>
      </c>
    </row>
    <row r="189" spans="1:10" x14ac:dyDescent="0.3">
      <c r="A189" s="1" t="s">
        <v>696</v>
      </c>
      <c r="B189" s="1" t="s">
        <v>697</v>
      </c>
      <c r="C189" s="1" t="s">
        <v>12</v>
      </c>
      <c r="D189" s="1" t="s">
        <v>19</v>
      </c>
      <c r="E189" s="1" t="s">
        <v>36</v>
      </c>
      <c r="F189" s="2">
        <v>45346</v>
      </c>
      <c r="G189" s="1" t="s">
        <v>698</v>
      </c>
      <c r="H189" s="1" t="s">
        <v>96</v>
      </c>
      <c r="I189" s="1" t="b">
        <v>1</v>
      </c>
      <c r="J189" s="1" t="b">
        <v>0</v>
      </c>
    </row>
    <row r="190" spans="1:10" x14ac:dyDescent="0.3">
      <c r="A190" s="1" t="s">
        <v>699</v>
      </c>
      <c r="B190" s="1" t="s">
        <v>700</v>
      </c>
      <c r="C190" s="1" t="s">
        <v>56</v>
      </c>
      <c r="D190" s="1" t="s">
        <v>19</v>
      </c>
      <c r="E190" s="1" t="s">
        <v>20</v>
      </c>
      <c r="F190" s="2">
        <v>46071</v>
      </c>
      <c r="G190" s="1" t="s">
        <v>701</v>
      </c>
      <c r="H190" s="1" t="s">
        <v>702</v>
      </c>
      <c r="I190" s="1" t="b">
        <v>1</v>
      </c>
      <c r="J190" s="1" t="b">
        <v>1</v>
      </c>
    </row>
    <row r="191" spans="1:10" x14ac:dyDescent="0.3">
      <c r="A191" s="1" t="s">
        <v>703</v>
      </c>
      <c r="B191" s="1" t="s">
        <v>704</v>
      </c>
      <c r="C191" s="1" t="s">
        <v>48</v>
      </c>
      <c r="D191" s="1" t="s">
        <v>19</v>
      </c>
      <c r="E191" s="1" t="s">
        <v>20</v>
      </c>
      <c r="F191" s="2">
        <v>45210</v>
      </c>
      <c r="G191" s="1" t="s">
        <v>705</v>
      </c>
      <c r="H191" s="1" t="s">
        <v>706</v>
      </c>
      <c r="I191" s="1" t="b">
        <v>1</v>
      </c>
      <c r="J191" s="1" t="b">
        <v>1</v>
      </c>
    </row>
    <row r="192" spans="1:10" x14ac:dyDescent="0.3">
      <c r="A192" s="1" t="s">
        <v>707</v>
      </c>
      <c r="B192" s="1" t="s">
        <v>708</v>
      </c>
      <c r="C192" s="1" t="s">
        <v>12</v>
      </c>
      <c r="D192" s="1" t="s">
        <v>13</v>
      </c>
      <c r="E192" s="1" t="s">
        <v>90</v>
      </c>
      <c r="F192" s="2">
        <v>45840</v>
      </c>
      <c r="G192" s="1" t="s">
        <v>709</v>
      </c>
      <c r="H192" s="1" t="s">
        <v>710</v>
      </c>
      <c r="I192" s="1" t="b">
        <v>1</v>
      </c>
      <c r="J192" s="1" t="b">
        <v>1</v>
      </c>
    </row>
    <row r="193" spans="1:10" x14ac:dyDescent="0.3">
      <c r="A193" s="1" t="s">
        <v>711</v>
      </c>
      <c r="B193" s="1" t="s">
        <v>712</v>
      </c>
      <c r="C193" s="1" t="s">
        <v>48</v>
      </c>
      <c r="D193" s="1" t="s">
        <v>30</v>
      </c>
      <c r="E193" s="1" t="s">
        <v>31</v>
      </c>
      <c r="F193" s="2">
        <v>45395</v>
      </c>
      <c r="G193" s="1" t="s">
        <v>96</v>
      </c>
      <c r="H193" s="1" t="s">
        <v>96</v>
      </c>
      <c r="I193" s="1" t="b">
        <v>0</v>
      </c>
      <c r="J193" s="1" t="b">
        <v>0</v>
      </c>
    </row>
    <row r="194" spans="1:10" x14ac:dyDescent="0.3">
      <c r="A194" s="1" t="s">
        <v>713</v>
      </c>
      <c r="B194" s="1" t="s">
        <v>714</v>
      </c>
      <c r="C194" s="1" t="s">
        <v>67</v>
      </c>
      <c r="D194" s="1" t="s">
        <v>13</v>
      </c>
      <c r="E194" s="1" t="s">
        <v>20</v>
      </c>
      <c r="F194" s="2">
        <v>46214</v>
      </c>
      <c r="G194" s="1" t="s">
        <v>715</v>
      </c>
      <c r="H194" s="1" t="s">
        <v>716</v>
      </c>
      <c r="I194" s="1" t="b">
        <v>1</v>
      </c>
      <c r="J194" s="1" t="b">
        <v>1</v>
      </c>
    </row>
    <row r="195" spans="1:10" x14ac:dyDescent="0.3">
      <c r="A195" s="1" t="s">
        <v>717</v>
      </c>
      <c r="B195" s="1" t="s">
        <v>718</v>
      </c>
      <c r="C195" s="1" t="s">
        <v>12</v>
      </c>
      <c r="D195" s="1" t="s">
        <v>19</v>
      </c>
      <c r="E195" s="1" t="s">
        <v>20</v>
      </c>
      <c r="F195" s="2">
        <v>45583</v>
      </c>
      <c r="G195" s="1" t="s">
        <v>719</v>
      </c>
      <c r="H195" s="1" t="s">
        <v>720</v>
      </c>
      <c r="I195" s="1" t="b">
        <v>1</v>
      </c>
      <c r="J195" s="1" t="b">
        <v>1</v>
      </c>
    </row>
    <row r="196" spans="1:10" x14ac:dyDescent="0.3">
      <c r="A196" s="1" t="s">
        <v>721</v>
      </c>
      <c r="B196" s="1" t="s">
        <v>722</v>
      </c>
      <c r="C196" s="1" t="s">
        <v>25</v>
      </c>
      <c r="D196" s="1" t="s">
        <v>13</v>
      </c>
      <c r="E196" s="1" t="s">
        <v>14</v>
      </c>
      <c r="F196" s="2">
        <v>46250</v>
      </c>
      <c r="G196" s="1" t="s">
        <v>723</v>
      </c>
      <c r="H196" s="1" t="s">
        <v>724</v>
      </c>
      <c r="I196" s="1" t="b">
        <v>1</v>
      </c>
      <c r="J196" s="1" t="b">
        <v>1</v>
      </c>
    </row>
    <row r="197" spans="1:10" x14ac:dyDescent="0.3">
      <c r="A197" s="1" t="s">
        <v>725</v>
      </c>
      <c r="B197" s="1" t="s">
        <v>726</v>
      </c>
      <c r="C197" s="1" t="s">
        <v>35</v>
      </c>
      <c r="D197" s="1" t="s">
        <v>13</v>
      </c>
      <c r="E197" s="1" t="s">
        <v>36</v>
      </c>
      <c r="F197" s="2">
        <v>45594</v>
      </c>
      <c r="G197" s="1" t="s">
        <v>727</v>
      </c>
      <c r="H197" s="1" t="s">
        <v>96</v>
      </c>
      <c r="I197" s="1" t="b">
        <v>1</v>
      </c>
      <c r="J197" s="1" t="b">
        <v>0</v>
      </c>
    </row>
    <row r="198" spans="1:10" x14ac:dyDescent="0.3">
      <c r="A198" s="1" t="s">
        <v>728</v>
      </c>
      <c r="B198" s="1" t="s">
        <v>729</v>
      </c>
      <c r="C198" s="1" t="s">
        <v>48</v>
      </c>
      <c r="D198" s="1" t="s">
        <v>13</v>
      </c>
      <c r="E198" s="1" t="s">
        <v>36</v>
      </c>
      <c r="F198" s="2">
        <v>45709</v>
      </c>
      <c r="G198" s="1" t="s">
        <v>730</v>
      </c>
      <c r="H198" s="1" t="s">
        <v>731</v>
      </c>
      <c r="I198" s="1" t="b">
        <v>1</v>
      </c>
      <c r="J198" s="1" t="b">
        <v>1</v>
      </c>
    </row>
    <row r="199" spans="1:10" x14ac:dyDescent="0.3">
      <c r="A199" s="1" t="s">
        <v>732</v>
      </c>
      <c r="B199" s="1" t="s">
        <v>733</v>
      </c>
      <c r="C199" s="1" t="s">
        <v>56</v>
      </c>
      <c r="D199" s="1" t="s">
        <v>30</v>
      </c>
      <c r="E199" s="1" t="s">
        <v>31</v>
      </c>
      <c r="F199" s="2">
        <v>45713</v>
      </c>
      <c r="G199" s="1" t="s">
        <v>96</v>
      </c>
      <c r="H199" s="1" t="s">
        <v>734</v>
      </c>
      <c r="I199" s="1" t="b">
        <v>0</v>
      </c>
      <c r="J199" s="1" t="b">
        <v>1</v>
      </c>
    </row>
    <row r="200" spans="1:10" x14ac:dyDescent="0.3">
      <c r="A200" s="1" t="s">
        <v>735</v>
      </c>
      <c r="B200" s="1" t="s">
        <v>736</v>
      </c>
      <c r="C200" s="1" t="s">
        <v>25</v>
      </c>
      <c r="D200" s="1" t="s">
        <v>30</v>
      </c>
      <c r="E200" s="1" t="s">
        <v>36</v>
      </c>
      <c r="F200" s="2">
        <v>46104</v>
      </c>
      <c r="G200" s="1" t="s">
        <v>737</v>
      </c>
      <c r="H200" s="1" t="s">
        <v>738</v>
      </c>
      <c r="I200" s="1" t="b">
        <v>1</v>
      </c>
      <c r="J200" s="1" t="b">
        <v>1</v>
      </c>
    </row>
    <row r="201" spans="1:10" x14ac:dyDescent="0.3">
      <c r="A201" s="1" t="s">
        <v>739</v>
      </c>
      <c r="B201" s="1" t="s">
        <v>740</v>
      </c>
      <c r="C201" s="1" t="s">
        <v>56</v>
      </c>
      <c r="D201" s="1" t="s">
        <v>19</v>
      </c>
      <c r="E201" s="1" t="s">
        <v>20</v>
      </c>
      <c r="F201" s="2">
        <v>45793</v>
      </c>
      <c r="G201" s="1" t="s">
        <v>741</v>
      </c>
      <c r="H201" s="1" t="s">
        <v>96</v>
      </c>
      <c r="I201" s="1" t="b">
        <v>1</v>
      </c>
      <c r="J201" s="1" t="b">
        <v>0</v>
      </c>
    </row>
    <row r="202" spans="1:10" x14ac:dyDescent="0.3">
      <c r="A202" s="1" t="s">
        <v>742</v>
      </c>
      <c r="B202" s="1" t="s">
        <v>743</v>
      </c>
      <c r="C202" s="1" t="s">
        <v>25</v>
      </c>
      <c r="D202" s="1" t="s">
        <v>30</v>
      </c>
      <c r="E202" s="1" t="s">
        <v>14</v>
      </c>
      <c r="F202" s="2">
        <v>46228</v>
      </c>
      <c r="G202" s="1" t="s">
        <v>744</v>
      </c>
      <c r="H202" s="1" t="s">
        <v>745</v>
      </c>
      <c r="I202" s="1" t="b">
        <v>1</v>
      </c>
      <c r="J202" s="1" t="b">
        <v>1</v>
      </c>
    </row>
    <row r="203" spans="1:10" x14ac:dyDescent="0.3">
      <c r="A203" s="1" t="s">
        <v>746</v>
      </c>
      <c r="B203" s="1" t="s">
        <v>747</v>
      </c>
      <c r="C203" s="1" t="s">
        <v>35</v>
      </c>
      <c r="D203" s="1" t="s">
        <v>19</v>
      </c>
      <c r="E203" s="1" t="s">
        <v>20</v>
      </c>
      <c r="F203" s="2">
        <v>45707</v>
      </c>
      <c r="G203" s="1" t="s">
        <v>748</v>
      </c>
      <c r="H203" s="1" t="s">
        <v>749</v>
      </c>
      <c r="I203" s="1" t="b">
        <v>1</v>
      </c>
      <c r="J203" s="1" t="b">
        <v>1</v>
      </c>
    </row>
    <row r="204" spans="1:10" x14ac:dyDescent="0.3">
      <c r="A204" s="1" t="s">
        <v>750</v>
      </c>
      <c r="B204" s="1" t="s">
        <v>751</v>
      </c>
      <c r="C204" s="1" t="s">
        <v>25</v>
      </c>
      <c r="D204" s="1" t="s">
        <v>30</v>
      </c>
      <c r="E204" s="1" t="s">
        <v>31</v>
      </c>
      <c r="F204" s="2">
        <v>46111</v>
      </c>
      <c r="G204" s="1" t="s">
        <v>752</v>
      </c>
      <c r="H204" s="1" t="s">
        <v>753</v>
      </c>
      <c r="I204" s="1" t="b">
        <v>1</v>
      </c>
      <c r="J204" s="1" t="b">
        <v>1</v>
      </c>
    </row>
    <row r="205" spans="1:10" x14ac:dyDescent="0.3">
      <c r="A205" s="1" t="s">
        <v>754</v>
      </c>
      <c r="B205" s="1" t="s">
        <v>755</v>
      </c>
      <c r="C205" s="1" t="s">
        <v>56</v>
      </c>
      <c r="D205" s="1" t="s">
        <v>13</v>
      </c>
      <c r="E205" s="1" t="s">
        <v>31</v>
      </c>
      <c r="F205" s="2">
        <v>46025</v>
      </c>
      <c r="G205" s="1" t="s">
        <v>96</v>
      </c>
      <c r="H205" s="1" t="s">
        <v>96</v>
      </c>
      <c r="I205" s="1" t="b">
        <v>0</v>
      </c>
      <c r="J205" s="1" t="b">
        <v>0</v>
      </c>
    </row>
    <row r="206" spans="1:10" x14ac:dyDescent="0.3">
      <c r="A206" s="1" t="s">
        <v>756</v>
      </c>
      <c r="B206" s="1" t="s">
        <v>757</v>
      </c>
      <c r="C206" s="1" t="s">
        <v>25</v>
      </c>
      <c r="D206" s="1" t="s">
        <v>13</v>
      </c>
      <c r="E206" s="1" t="s">
        <v>36</v>
      </c>
      <c r="F206" s="2">
        <v>45852</v>
      </c>
      <c r="G206" s="1" t="s">
        <v>758</v>
      </c>
      <c r="H206" s="1" t="s">
        <v>759</v>
      </c>
      <c r="I206" s="1" t="b">
        <v>1</v>
      </c>
      <c r="J206" s="1" t="b">
        <v>1</v>
      </c>
    </row>
    <row r="207" spans="1:10" x14ac:dyDescent="0.3">
      <c r="A207" s="1" t="s">
        <v>760</v>
      </c>
      <c r="B207" s="1" t="s">
        <v>761</v>
      </c>
      <c r="C207" s="1" t="s">
        <v>25</v>
      </c>
      <c r="D207" s="1" t="s">
        <v>19</v>
      </c>
      <c r="E207" s="1" t="s">
        <v>31</v>
      </c>
      <c r="F207" s="2">
        <v>46148</v>
      </c>
      <c r="G207" s="1" t="s">
        <v>762</v>
      </c>
      <c r="H207" s="1" t="s">
        <v>763</v>
      </c>
      <c r="I207" s="1" t="b">
        <v>1</v>
      </c>
      <c r="J207" s="1" t="b">
        <v>1</v>
      </c>
    </row>
    <row r="208" spans="1:10" x14ac:dyDescent="0.3">
      <c r="A208" s="1" t="s">
        <v>764</v>
      </c>
      <c r="B208" s="1" t="s">
        <v>765</v>
      </c>
      <c r="C208" s="1" t="s">
        <v>48</v>
      </c>
      <c r="D208" s="1" t="s">
        <v>30</v>
      </c>
      <c r="E208" s="1" t="s">
        <v>90</v>
      </c>
      <c r="F208" s="2">
        <v>45659</v>
      </c>
      <c r="G208" s="1" t="s">
        <v>766</v>
      </c>
      <c r="H208" s="1" t="s">
        <v>767</v>
      </c>
      <c r="I208" s="1" t="b">
        <v>1</v>
      </c>
      <c r="J208" s="1" t="b">
        <v>1</v>
      </c>
    </row>
    <row r="209" spans="1:10" x14ac:dyDescent="0.3">
      <c r="A209" s="1" t="s">
        <v>768</v>
      </c>
      <c r="B209" s="1" t="s">
        <v>769</v>
      </c>
      <c r="C209" s="1" t="s">
        <v>56</v>
      </c>
      <c r="D209" s="1" t="s">
        <v>30</v>
      </c>
      <c r="E209" s="1" t="s">
        <v>31</v>
      </c>
      <c r="F209" s="2">
        <v>45593</v>
      </c>
      <c r="G209" s="1" t="s">
        <v>770</v>
      </c>
      <c r="H209" s="1" t="s">
        <v>96</v>
      </c>
      <c r="I209" s="1" t="b">
        <v>1</v>
      </c>
      <c r="J209" s="1" t="b">
        <v>0</v>
      </c>
    </row>
    <row r="210" spans="1:10" x14ac:dyDescent="0.3">
      <c r="A210" s="1" t="s">
        <v>771</v>
      </c>
      <c r="B210" s="1" t="s">
        <v>772</v>
      </c>
      <c r="C210" s="1" t="s">
        <v>56</v>
      </c>
      <c r="D210" s="1" t="s">
        <v>30</v>
      </c>
      <c r="E210" s="1" t="s">
        <v>36</v>
      </c>
      <c r="F210" s="2">
        <v>45907</v>
      </c>
      <c r="G210" s="1" t="s">
        <v>773</v>
      </c>
      <c r="H210" s="1" t="s">
        <v>774</v>
      </c>
      <c r="I210" s="1" t="b">
        <v>1</v>
      </c>
      <c r="J210" s="1" t="b">
        <v>1</v>
      </c>
    </row>
    <row r="211" spans="1:10" x14ac:dyDescent="0.3">
      <c r="A211" s="1" t="s">
        <v>775</v>
      </c>
      <c r="B211" s="1" t="s">
        <v>776</v>
      </c>
      <c r="C211" s="1" t="s">
        <v>25</v>
      </c>
      <c r="D211" s="1" t="s">
        <v>30</v>
      </c>
      <c r="E211" s="1" t="s">
        <v>36</v>
      </c>
      <c r="F211" s="2">
        <v>46140</v>
      </c>
      <c r="G211" s="1" t="s">
        <v>96</v>
      </c>
      <c r="H211" s="1" t="s">
        <v>777</v>
      </c>
      <c r="I211" s="1" t="b">
        <v>0</v>
      </c>
      <c r="J211" s="1" t="b">
        <v>1</v>
      </c>
    </row>
    <row r="212" spans="1:10" x14ac:dyDescent="0.3">
      <c r="A212" s="1" t="s">
        <v>778</v>
      </c>
      <c r="B212" s="1" t="s">
        <v>779</v>
      </c>
      <c r="C212" s="1" t="s">
        <v>56</v>
      </c>
      <c r="D212" s="1" t="s">
        <v>19</v>
      </c>
      <c r="E212" s="1" t="s">
        <v>20</v>
      </c>
      <c r="F212" s="2">
        <v>45489</v>
      </c>
      <c r="G212" s="1" t="s">
        <v>780</v>
      </c>
      <c r="H212" s="1" t="s">
        <v>781</v>
      </c>
      <c r="I212" s="1" t="b">
        <v>1</v>
      </c>
      <c r="J212" s="1" t="b">
        <v>1</v>
      </c>
    </row>
    <row r="213" spans="1:10" x14ac:dyDescent="0.3">
      <c r="A213" s="1" t="s">
        <v>782</v>
      </c>
      <c r="B213" s="1" t="s">
        <v>783</v>
      </c>
      <c r="C213" s="1" t="s">
        <v>12</v>
      </c>
      <c r="D213" s="1" t="s">
        <v>19</v>
      </c>
      <c r="E213" s="1" t="s">
        <v>31</v>
      </c>
      <c r="F213" s="2">
        <v>45748</v>
      </c>
      <c r="G213" s="1" t="s">
        <v>784</v>
      </c>
      <c r="H213" s="1" t="s">
        <v>96</v>
      </c>
      <c r="I213" s="1" t="b">
        <v>1</v>
      </c>
      <c r="J213" s="1" t="b">
        <v>0</v>
      </c>
    </row>
    <row r="214" spans="1:10" x14ac:dyDescent="0.3">
      <c r="A214" s="1" t="s">
        <v>785</v>
      </c>
      <c r="B214" s="1" t="s">
        <v>786</v>
      </c>
      <c r="C214" s="1" t="s">
        <v>56</v>
      </c>
      <c r="D214" s="1" t="s">
        <v>30</v>
      </c>
      <c r="E214" s="1" t="s">
        <v>20</v>
      </c>
      <c r="F214" s="2">
        <v>45326</v>
      </c>
      <c r="G214" s="1" t="s">
        <v>787</v>
      </c>
      <c r="H214" s="1" t="s">
        <v>788</v>
      </c>
      <c r="I214" s="1" t="b">
        <v>1</v>
      </c>
      <c r="J214" s="1" t="b">
        <v>1</v>
      </c>
    </row>
    <row r="215" spans="1:10" x14ac:dyDescent="0.3">
      <c r="A215" s="1" t="s">
        <v>789</v>
      </c>
      <c r="B215" s="1" t="s">
        <v>790</v>
      </c>
      <c r="C215" s="1" t="s">
        <v>67</v>
      </c>
      <c r="D215" s="1" t="s">
        <v>19</v>
      </c>
      <c r="E215" s="1" t="s">
        <v>14</v>
      </c>
      <c r="F215" s="2">
        <v>46026</v>
      </c>
      <c r="G215" s="1" t="s">
        <v>791</v>
      </c>
      <c r="H215" s="1" t="s">
        <v>792</v>
      </c>
      <c r="I215" s="1" t="b">
        <v>1</v>
      </c>
      <c r="J215" s="1" t="b">
        <v>1</v>
      </c>
    </row>
    <row r="216" spans="1:10" x14ac:dyDescent="0.3">
      <c r="A216" s="1" t="s">
        <v>793</v>
      </c>
      <c r="B216" s="1" t="s">
        <v>794</v>
      </c>
      <c r="C216" s="1" t="s">
        <v>12</v>
      </c>
      <c r="D216" s="1" t="s">
        <v>19</v>
      </c>
      <c r="E216" s="1" t="s">
        <v>20</v>
      </c>
      <c r="F216" s="2">
        <v>45810</v>
      </c>
      <c r="G216" s="1" t="s">
        <v>795</v>
      </c>
      <c r="H216" s="1" t="s">
        <v>796</v>
      </c>
      <c r="I216" s="1" t="b">
        <v>1</v>
      </c>
      <c r="J216" s="1" t="b">
        <v>1</v>
      </c>
    </row>
    <row r="217" spans="1:10" x14ac:dyDescent="0.3">
      <c r="A217" s="1" t="s">
        <v>797</v>
      </c>
      <c r="B217" s="1" t="s">
        <v>798</v>
      </c>
      <c r="C217" s="1" t="s">
        <v>67</v>
      </c>
      <c r="D217" s="1" t="s">
        <v>19</v>
      </c>
      <c r="E217" s="1" t="s">
        <v>90</v>
      </c>
      <c r="F217" s="2">
        <v>45360</v>
      </c>
      <c r="G217" s="1" t="s">
        <v>96</v>
      </c>
      <c r="H217" s="1" t="s">
        <v>96</v>
      </c>
      <c r="I217" s="1" t="b">
        <v>0</v>
      </c>
      <c r="J217" s="1" t="b">
        <v>0</v>
      </c>
    </row>
    <row r="218" spans="1:10" x14ac:dyDescent="0.3">
      <c r="A218" s="1" t="s">
        <v>799</v>
      </c>
      <c r="B218" s="1" t="s">
        <v>800</v>
      </c>
      <c r="C218" s="1" t="s">
        <v>48</v>
      </c>
      <c r="D218" s="1" t="s">
        <v>13</v>
      </c>
      <c r="E218" s="1" t="s">
        <v>20</v>
      </c>
      <c r="F218" s="2">
        <v>45953</v>
      </c>
      <c r="G218" s="1" t="s">
        <v>801</v>
      </c>
      <c r="H218" s="1" t="s">
        <v>802</v>
      </c>
      <c r="I218" s="1" t="b">
        <v>1</v>
      </c>
      <c r="J218" s="1" t="b">
        <v>1</v>
      </c>
    </row>
    <row r="219" spans="1:10" x14ac:dyDescent="0.3">
      <c r="A219" s="1" t="s">
        <v>803</v>
      </c>
      <c r="B219" s="1" t="s">
        <v>804</v>
      </c>
      <c r="C219" s="1" t="s">
        <v>25</v>
      </c>
      <c r="D219" s="1" t="s">
        <v>13</v>
      </c>
      <c r="E219" s="1" t="s">
        <v>36</v>
      </c>
      <c r="F219" s="2">
        <v>45670</v>
      </c>
      <c r="G219" s="1" t="s">
        <v>805</v>
      </c>
      <c r="H219" s="1" t="s">
        <v>806</v>
      </c>
      <c r="I219" s="1" t="b">
        <v>1</v>
      </c>
      <c r="J219" s="1" t="b">
        <v>1</v>
      </c>
    </row>
    <row r="220" spans="1:10" x14ac:dyDescent="0.3">
      <c r="A220" s="1" t="s">
        <v>807</v>
      </c>
      <c r="B220" s="1" t="s">
        <v>808</v>
      </c>
      <c r="C220" s="1" t="s">
        <v>12</v>
      </c>
      <c r="D220" s="1" t="s">
        <v>13</v>
      </c>
      <c r="E220" s="1" t="s">
        <v>20</v>
      </c>
      <c r="F220" s="2">
        <v>45573</v>
      </c>
      <c r="G220" s="1" t="s">
        <v>809</v>
      </c>
      <c r="H220" s="1" t="s">
        <v>810</v>
      </c>
      <c r="I220" s="1" t="b">
        <v>1</v>
      </c>
      <c r="J220" s="1" t="b">
        <v>1</v>
      </c>
    </row>
    <row r="221" spans="1:10" x14ac:dyDescent="0.3">
      <c r="A221" s="1" t="s">
        <v>811</v>
      </c>
      <c r="B221" s="1" t="s">
        <v>812</v>
      </c>
      <c r="C221" s="1" t="s">
        <v>35</v>
      </c>
      <c r="D221" s="1" t="s">
        <v>19</v>
      </c>
      <c r="E221" s="1" t="s">
        <v>36</v>
      </c>
      <c r="F221" s="2">
        <v>45903</v>
      </c>
      <c r="G221" s="1" t="s">
        <v>813</v>
      </c>
      <c r="H221" s="1" t="s">
        <v>96</v>
      </c>
      <c r="I221" s="1" t="b">
        <v>1</v>
      </c>
      <c r="J221" s="1" t="b">
        <v>0</v>
      </c>
    </row>
    <row r="222" spans="1:10" x14ac:dyDescent="0.3">
      <c r="A222" s="1" t="s">
        <v>814</v>
      </c>
      <c r="B222" s="1" t="s">
        <v>815</v>
      </c>
      <c r="C222" s="1" t="s">
        <v>67</v>
      </c>
      <c r="D222" s="1" t="s">
        <v>30</v>
      </c>
      <c r="E222" s="1" t="s">
        <v>36</v>
      </c>
      <c r="F222" s="2">
        <v>45234</v>
      </c>
      <c r="G222" s="1" t="s">
        <v>816</v>
      </c>
      <c r="H222" s="1" t="s">
        <v>817</v>
      </c>
      <c r="I222" s="1" t="b">
        <v>1</v>
      </c>
      <c r="J222" s="1" t="b">
        <v>1</v>
      </c>
    </row>
    <row r="223" spans="1:10" x14ac:dyDescent="0.3">
      <c r="A223" s="1" t="s">
        <v>818</v>
      </c>
      <c r="B223" s="1" t="s">
        <v>819</v>
      </c>
      <c r="C223" s="1" t="s">
        <v>56</v>
      </c>
      <c r="D223" s="1" t="s">
        <v>13</v>
      </c>
      <c r="E223" s="1" t="s">
        <v>20</v>
      </c>
      <c r="F223" s="2">
        <v>46008</v>
      </c>
      <c r="G223" s="1" t="s">
        <v>96</v>
      </c>
      <c r="H223" s="1" t="s">
        <v>820</v>
      </c>
      <c r="I223" s="1" t="b">
        <v>0</v>
      </c>
      <c r="J223" s="1" t="b">
        <v>1</v>
      </c>
    </row>
    <row r="224" spans="1:10" x14ac:dyDescent="0.3">
      <c r="A224" s="1" t="s">
        <v>821</v>
      </c>
      <c r="B224" s="1" t="s">
        <v>822</v>
      </c>
      <c r="C224" s="1" t="s">
        <v>56</v>
      </c>
      <c r="D224" s="1" t="s">
        <v>19</v>
      </c>
      <c r="E224" s="1" t="s">
        <v>31</v>
      </c>
      <c r="F224" s="2">
        <v>46090</v>
      </c>
      <c r="G224" s="1" t="s">
        <v>823</v>
      </c>
      <c r="H224" s="1" t="s">
        <v>824</v>
      </c>
      <c r="I224" s="1" t="b">
        <v>1</v>
      </c>
      <c r="J224" s="1" t="b">
        <v>1</v>
      </c>
    </row>
    <row r="225" spans="1:10" x14ac:dyDescent="0.3">
      <c r="A225" s="1" t="s">
        <v>825</v>
      </c>
      <c r="B225" s="1" t="s">
        <v>826</v>
      </c>
      <c r="C225" s="1" t="s">
        <v>12</v>
      </c>
      <c r="D225" s="1" t="s">
        <v>13</v>
      </c>
      <c r="E225" s="1" t="s">
        <v>31</v>
      </c>
      <c r="F225" s="2">
        <v>45276</v>
      </c>
      <c r="G225" s="1" t="s">
        <v>827</v>
      </c>
      <c r="H225" s="1" t="s">
        <v>96</v>
      </c>
      <c r="I225" s="1" t="b">
        <v>1</v>
      </c>
      <c r="J225" s="1" t="b">
        <v>0</v>
      </c>
    </row>
    <row r="226" spans="1:10" x14ac:dyDescent="0.3">
      <c r="A226" s="1" t="s">
        <v>828</v>
      </c>
      <c r="B226" s="1" t="s">
        <v>829</v>
      </c>
      <c r="C226" s="1" t="s">
        <v>56</v>
      </c>
      <c r="D226" s="1" t="s">
        <v>19</v>
      </c>
      <c r="E226" s="1" t="s">
        <v>14</v>
      </c>
      <c r="F226" s="2">
        <v>45265</v>
      </c>
      <c r="G226" s="1" t="s">
        <v>830</v>
      </c>
      <c r="H226" s="1" t="s">
        <v>831</v>
      </c>
      <c r="I226" s="1" t="b">
        <v>1</v>
      </c>
      <c r="J226" s="1" t="b">
        <v>1</v>
      </c>
    </row>
    <row r="227" spans="1:10" x14ac:dyDescent="0.3">
      <c r="A227" s="1" t="s">
        <v>832</v>
      </c>
      <c r="B227" s="1" t="s">
        <v>833</v>
      </c>
      <c r="C227" s="1" t="s">
        <v>67</v>
      </c>
      <c r="D227" s="1" t="s">
        <v>19</v>
      </c>
      <c r="E227" s="1" t="s">
        <v>36</v>
      </c>
      <c r="F227" s="2">
        <v>45330</v>
      </c>
      <c r="G227" s="1" t="s">
        <v>834</v>
      </c>
      <c r="H227" s="1" t="s">
        <v>835</v>
      </c>
      <c r="I227" s="1" t="b">
        <v>1</v>
      </c>
      <c r="J227" s="1" t="b">
        <v>1</v>
      </c>
    </row>
    <row r="228" spans="1:10" x14ac:dyDescent="0.3">
      <c r="A228" s="1" t="s">
        <v>836</v>
      </c>
      <c r="B228" s="1" t="s">
        <v>837</v>
      </c>
      <c r="C228" s="1" t="s">
        <v>56</v>
      </c>
      <c r="D228" s="1" t="s">
        <v>30</v>
      </c>
      <c r="E228" s="1" t="s">
        <v>31</v>
      </c>
      <c r="F228" s="2">
        <v>46046</v>
      </c>
      <c r="G228" s="1" t="s">
        <v>838</v>
      </c>
      <c r="H228" s="1" t="s">
        <v>839</v>
      </c>
      <c r="I228" s="1" t="b">
        <v>1</v>
      </c>
      <c r="J228" s="1" t="b">
        <v>1</v>
      </c>
    </row>
    <row r="229" spans="1:10" x14ac:dyDescent="0.3">
      <c r="A229" s="1" t="s">
        <v>840</v>
      </c>
      <c r="B229" s="1" t="s">
        <v>841</v>
      </c>
      <c r="C229" s="1" t="s">
        <v>48</v>
      </c>
      <c r="D229" s="1" t="s">
        <v>13</v>
      </c>
      <c r="E229" s="1" t="s">
        <v>36</v>
      </c>
      <c r="F229" s="2">
        <v>45982</v>
      </c>
      <c r="G229" s="1" t="s">
        <v>96</v>
      </c>
      <c r="H229" s="1" t="s">
        <v>96</v>
      </c>
      <c r="I229" s="1" t="b">
        <v>0</v>
      </c>
      <c r="J229" s="1" t="b">
        <v>0</v>
      </c>
    </row>
    <row r="230" spans="1:10" x14ac:dyDescent="0.3">
      <c r="A230" s="1" t="s">
        <v>842</v>
      </c>
      <c r="B230" s="1" t="s">
        <v>843</v>
      </c>
      <c r="C230" s="1" t="s">
        <v>25</v>
      </c>
      <c r="D230" s="1" t="s">
        <v>19</v>
      </c>
      <c r="E230" s="1" t="s">
        <v>36</v>
      </c>
      <c r="F230" s="2">
        <v>45334</v>
      </c>
      <c r="G230" s="1" t="s">
        <v>844</v>
      </c>
      <c r="H230" s="1" t="s">
        <v>845</v>
      </c>
      <c r="I230" s="1" t="b">
        <v>1</v>
      </c>
      <c r="J230" s="1" t="b">
        <v>1</v>
      </c>
    </row>
    <row r="231" spans="1:10" x14ac:dyDescent="0.3">
      <c r="A231" s="1" t="s">
        <v>846</v>
      </c>
      <c r="B231" s="1" t="s">
        <v>847</v>
      </c>
      <c r="C231" s="1" t="s">
        <v>56</v>
      </c>
      <c r="D231" s="1" t="s">
        <v>13</v>
      </c>
      <c r="E231" s="1" t="s">
        <v>36</v>
      </c>
      <c r="F231" s="2">
        <v>45658</v>
      </c>
      <c r="G231" s="1" t="s">
        <v>848</v>
      </c>
      <c r="H231" s="1" t="s">
        <v>849</v>
      </c>
      <c r="I231" s="1" t="b">
        <v>1</v>
      </c>
      <c r="J231" s="1" t="b">
        <v>1</v>
      </c>
    </row>
    <row r="232" spans="1:10" x14ac:dyDescent="0.3">
      <c r="A232" s="1" t="s">
        <v>850</v>
      </c>
      <c r="B232" s="1" t="s">
        <v>851</v>
      </c>
      <c r="C232" s="1" t="s">
        <v>67</v>
      </c>
      <c r="D232" s="1" t="s">
        <v>30</v>
      </c>
      <c r="E232" s="1" t="s">
        <v>36</v>
      </c>
      <c r="F232" s="2">
        <v>46153</v>
      </c>
      <c r="G232" s="1" t="s">
        <v>852</v>
      </c>
      <c r="H232" s="1" t="s">
        <v>853</v>
      </c>
      <c r="I232" s="1" t="b">
        <v>1</v>
      </c>
      <c r="J232" s="1" t="b">
        <v>1</v>
      </c>
    </row>
    <row r="233" spans="1:10" x14ac:dyDescent="0.3">
      <c r="A233" s="1" t="s">
        <v>854</v>
      </c>
      <c r="B233" s="1" t="s">
        <v>855</v>
      </c>
      <c r="C233" s="1" t="s">
        <v>12</v>
      </c>
      <c r="D233" s="1" t="s">
        <v>13</v>
      </c>
      <c r="E233" s="1" t="s">
        <v>36</v>
      </c>
      <c r="F233" s="2">
        <v>45870</v>
      </c>
      <c r="G233" s="1" t="s">
        <v>856</v>
      </c>
      <c r="H233" s="1" t="s">
        <v>96</v>
      </c>
      <c r="I233" s="1" t="b">
        <v>1</v>
      </c>
      <c r="J233" s="1" t="b">
        <v>0</v>
      </c>
    </row>
    <row r="234" spans="1:10" x14ac:dyDescent="0.3">
      <c r="A234" s="1" t="s">
        <v>857</v>
      </c>
      <c r="B234" s="1" t="s">
        <v>858</v>
      </c>
      <c r="C234" s="1" t="s">
        <v>25</v>
      </c>
      <c r="D234" s="1" t="s">
        <v>30</v>
      </c>
      <c r="E234" s="1" t="s">
        <v>31</v>
      </c>
      <c r="F234" s="2">
        <v>45764</v>
      </c>
      <c r="G234" s="1" t="s">
        <v>859</v>
      </c>
      <c r="H234" s="1" t="s">
        <v>860</v>
      </c>
      <c r="I234" s="1" t="b">
        <v>1</v>
      </c>
      <c r="J234" s="1" t="b">
        <v>1</v>
      </c>
    </row>
    <row r="235" spans="1:10" x14ac:dyDescent="0.3">
      <c r="A235" s="1" t="s">
        <v>861</v>
      </c>
      <c r="B235" s="1" t="s">
        <v>862</v>
      </c>
      <c r="C235" s="1" t="s">
        <v>35</v>
      </c>
      <c r="D235" s="1" t="s">
        <v>19</v>
      </c>
      <c r="E235" s="1" t="s">
        <v>31</v>
      </c>
      <c r="F235" s="2">
        <v>45217</v>
      </c>
      <c r="G235" s="1" t="s">
        <v>96</v>
      </c>
      <c r="H235" s="1" t="s">
        <v>863</v>
      </c>
      <c r="I235" s="1" t="b">
        <v>0</v>
      </c>
      <c r="J235" s="1" t="b">
        <v>1</v>
      </c>
    </row>
    <row r="236" spans="1:10" x14ac:dyDescent="0.3">
      <c r="A236" s="1" t="s">
        <v>864</v>
      </c>
      <c r="B236" s="1" t="s">
        <v>865</v>
      </c>
      <c r="C236" s="1" t="s">
        <v>48</v>
      </c>
      <c r="D236" s="1" t="s">
        <v>30</v>
      </c>
      <c r="E236" s="1" t="s">
        <v>14</v>
      </c>
      <c r="F236" s="2">
        <v>46181</v>
      </c>
      <c r="G236" s="1" t="s">
        <v>866</v>
      </c>
      <c r="H236" s="1" t="s">
        <v>867</v>
      </c>
      <c r="I236" s="1" t="b">
        <v>1</v>
      </c>
      <c r="J236" s="1" t="b">
        <v>1</v>
      </c>
    </row>
    <row r="237" spans="1:10" x14ac:dyDescent="0.3">
      <c r="A237" s="1" t="s">
        <v>868</v>
      </c>
      <c r="B237" s="1" t="s">
        <v>869</v>
      </c>
      <c r="C237" s="1" t="s">
        <v>35</v>
      </c>
      <c r="D237" s="1" t="s">
        <v>30</v>
      </c>
      <c r="E237" s="1" t="s">
        <v>36</v>
      </c>
      <c r="F237" s="2">
        <v>45763</v>
      </c>
      <c r="G237" s="1" t="s">
        <v>870</v>
      </c>
      <c r="H237" s="1" t="s">
        <v>96</v>
      </c>
      <c r="I237" s="1" t="b">
        <v>1</v>
      </c>
      <c r="J237" s="1" t="b">
        <v>0</v>
      </c>
    </row>
    <row r="238" spans="1:10" x14ac:dyDescent="0.3">
      <c r="A238" s="1" t="s">
        <v>871</v>
      </c>
      <c r="B238" s="1" t="s">
        <v>790</v>
      </c>
      <c r="C238" s="1" t="s">
        <v>25</v>
      </c>
      <c r="D238" s="1" t="s">
        <v>19</v>
      </c>
      <c r="E238" s="1" t="s">
        <v>20</v>
      </c>
      <c r="F238" s="2">
        <v>45826</v>
      </c>
      <c r="G238" s="1" t="s">
        <v>791</v>
      </c>
      <c r="H238" s="1" t="s">
        <v>872</v>
      </c>
      <c r="I238" s="1" t="b">
        <v>1</v>
      </c>
      <c r="J238" s="1" t="b">
        <v>1</v>
      </c>
    </row>
    <row r="239" spans="1:10" x14ac:dyDescent="0.3">
      <c r="A239" s="1" t="s">
        <v>873</v>
      </c>
      <c r="B239" s="1" t="s">
        <v>874</v>
      </c>
      <c r="C239" s="1" t="s">
        <v>35</v>
      </c>
      <c r="D239" s="1" t="s">
        <v>19</v>
      </c>
      <c r="E239" s="1" t="s">
        <v>36</v>
      </c>
      <c r="F239" s="2">
        <v>45336</v>
      </c>
      <c r="G239" s="1" t="s">
        <v>875</v>
      </c>
      <c r="H239" s="1" t="s">
        <v>876</v>
      </c>
      <c r="I239" s="1" t="b">
        <v>1</v>
      </c>
      <c r="J239" s="1" t="b">
        <v>1</v>
      </c>
    </row>
    <row r="240" spans="1:10" x14ac:dyDescent="0.3">
      <c r="A240" s="1" t="s">
        <v>877</v>
      </c>
      <c r="B240" s="1" t="s">
        <v>878</v>
      </c>
      <c r="C240" s="1" t="s">
        <v>67</v>
      </c>
      <c r="D240" s="1" t="s">
        <v>13</v>
      </c>
      <c r="E240" s="1" t="s">
        <v>36</v>
      </c>
      <c r="F240" s="2">
        <v>46029</v>
      </c>
      <c r="G240" s="1" t="s">
        <v>879</v>
      </c>
      <c r="H240" s="1" t="s">
        <v>880</v>
      </c>
      <c r="I240" s="1" t="b">
        <v>1</v>
      </c>
      <c r="J240" s="1" t="b">
        <v>1</v>
      </c>
    </row>
    <row r="241" spans="1:10" x14ac:dyDescent="0.3">
      <c r="A241" s="1" t="s">
        <v>881</v>
      </c>
      <c r="B241" s="1" t="s">
        <v>882</v>
      </c>
      <c r="C241" s="1" t="s">
        <v>67</v>
      </c>
      <c r="D241" s="1" t="s">
        <v>19</v>
      </c>
      <c r="E241" s="1" t="s">
        <v>36</v>
      </c>
      <c r="F241" s="2">
        <v>46244</v>
      </c>
      <c r="G241" s="1" t="s">
        <v>96</v>
      </c>
      <c r="H241" s="1" t="s">
        <v>96</v>
      </c>
      <c r="I241" s="1" t="b">
        <v>0</v>
      </c>
      <c r="J241" s="1" t="b">
        <v>0</v>
      </c>
    </row>
    <row r="242" spans="1:10" x14ac:dyDescent="0.3">
      <c r="A242" s="1" t="s">
        <v>883</v>
      </c>
      <c r="B242" s="1" t="s">
        <v>884</v>
      </c>
      <c r="C242" s="1" t="s">
        <v>67</v>
      </c>
      <c r="D242" s="1" t="s">
        <v>19</v>
      </c>
      <c r="E242" s="1" t="s">
        <v>90</v>
      </c>
      <c r="F242" s="2">
        <v>46166</v>
      </c>
      <c r="G242" s="1" t="s">
        <v>885</v>
      </c>
      <c r="H242" s="1" t="s">
        <v>886</v>
      </c>
      <c r="I242" s="1" t="b">
        <v>1</v>
      </c>
      <c r="J242" s="1" t="b">
        <v>1</v>
      </c>
    </row>
    <row r="243" spans="1:10" x14ac:dyDescent="0.3">
      <c r="A243" s="1" t="s">
        <v>887</v>
      </c>
      <c r="B243" s="1" t="s">
        <v>888</v>
      </c>
      <c r="C243" s="1" t="s">
        <v>35</v>
      </c>
      <c r="D243" s="1" t="s">
        <v>19</v>
      </c>
      <c r="E243" s="1" t="s">
        <v>14</v>
      </c>
      <c r="F243" s="2">
        <v>45258</v>
      </c>
      <c r="G243" s="1" t="s">
        <v>889</v>
      </c>
      <c r="H243" s="1" t="s">
        <v>890</v>
      </c>
      <c r="I243" s="1" t="b">
        <v>1</v>
      </c>
      <c r="J243" s="1" t="b">
        <v>1</v>
      </c>
    </row>
    <row r="244" spans="1:10" x14ac:dyDescent="0.3">
      <c r="A244" s="1" t="s">
        <v>891</v>
      </c>
      <c r="B244" s="1" t="s">
        <v>892</v>
      </c>
      <c r="C244" s="1" t="s">
        <v>12</v>
      </c>
      <c r="D244" s="1" t="s">
        <v>30</v>
      </c>
      <c r="E244" s="1" t="s">
        <v>14</v>
      </c>
      <c r="F244" s="2">
        <v>45993</v>
      </c>
      <c r="G244" s="1" t="s">
        <v>893</v>
      </c>
      <c r="H244" s="1" t="s">
        <v>894</v>
      </c>
      <c r="I244" s="1" t="b">
        <v>1</v>
      </c>
      <c r="J244" s="1" t="b">
        <v>1</v>
      </c>
    </row>
    <row r="245" spans="1:10" x14ac:dyDescent="0.3">
      <c r="A245" s="1" t="s">
        <v>895</v>
      </c>
      <c r="B245" s="1" t="s">
        <v>896</v>
      </c>
      <c r="C245" s="1" t="s">
        <v>67</v>
      </c>
      <c r="D245" s="1" t="s">
        <v>13</v>
      </c>
      <c r="E245" s="1" t="s">
        <v>14</v>
      </c>
      <c r="F245" s="2">
        <v>45265</v>
      </c>
      <c r="G245" s="1" t="s">
        <v>897</v>
      </c>
      <c r="H245" s="1" t="s">
        <v>96</v>
      </c>
      <c r="I245" s="1" t="b">
        <v>1</v>
      </c>
      <c r="J245" s="1" t="b">
        <v>0</v>
      </c>
    </row>
    <row r="246" spans="1:10" x14ac:dyDescent="0.3">
      <c r="A246" s="1" t="s">
        <v>898</v>
      </c>
      <c r="B246" s="1" t="s">
        <v>899</v>
      </c>
      <c r="C246" s="1" t="s">
        <v>12</v>
      </c>
      <c r="D246" s="1" t="s">
        <v>13</v>
      </c>
      <c r="E246" s="1" t="s">
        <v>14</v>
      </c>
      <c r="F246" s="2">
        <v>46235</v>
      </c>
      <c r="G246" s="1" t="s">
        <v>900</v>
      </c>
      <c r="H246" s="1" t="s">
        <v>901</v>
      </c>
      <c r="I246" s="1" t="b">
        <v>1</v>
      </c>
      <c r="J246" s="1" t="b">
        <v>1</v>
      </c>
    </row>
    <row r="247" spans="1:10" x14ac:dyDescent="0.3">
      <c r="A247" s="1" t="s">
        <v>902</v>
      </c>
      <c r="B247" s="1" t="s">
        <v>903</v>
      </c>
      <c r="C247" s="1" t="s">
        <v>25</v>
      </c>
      <c r="D247" s="1" t="s">
        <v>13</v>
      </c>
      <c r="E247" s="1" t="s">
        <v>14</v>
      </c>
      <c r="F247" s="2">
        <v>45771</v>
      </c>
      <c r="G247" s="1" t="s">
        <v>96</v>
      </c>
      <c r="H247" s="1" t="s">
        <v>904</v>
      </c>
      <c r="I247" s="1" t="b">
        <v>0</v>
      </c>
      <c r="J247" s="1" t="b">
        <v>1</v>
      </c>
    </row>
    <row r="248" spans="1:10" x14ac:dyDescent="0.3">
      <c r="A248" s="1" t="s">
        <v>905</v>
      </c>
      <c r="B248" s="1" t="s">
        <v>906</v>
      </c>
      <c r="C248" s="1" t="s">
        <v>48</v>
      </c>
      <c r="D248" s="1" t="s">
        <v>13</v>
      </c>
      <c r="E248" s="1" t="s">
        <v>20</v>
      </c>
      <c r="F248" s="2">
        <v>45309</v>
      </c>
      <c r="G248" s="1" t="s">
        <v>907</v>
      </c>
      <c r="H248" s="1" t="s">
        <v>908</v>
      </c>
      <c r="I248" s="1" t="b">
        <v>1</v>
      </c>
      <c r="J248" s="1" t="b">
        <v>1</v>
      </c>
    </row>
    <row r="249" spans="1:10" x14ac:dyDescent="0.3">
      <c r="A249" s="1" t="s">
        <v>909</v>
      </c>
      <c r="B249" s="1" t="s">
        <v>910</v>
      </c>
      <c r="C249" s="1" t="s">
        <v>25</v>
      </c>
      <c r="D249" s="1" t="s">
        <v>19</v>
      </c>
      <c r="E249" s="1" t="s">
        <v>14</v>
      </c>
      <c r="F249" s="2">
        <v>45786</v>
      </c>
      <c r="G249" s="1" t="s">
        <v>911</v>
      </c>
      <c r="H249" s="1" t="s">
        <v>96</v>
      </c>
      <c r="I249" s="1" t="b">
        <v>1</v>
      </c>
      <c r="J249" s="1" t="b">
        <v>0</v>
      </c>
    </row>
    <row r="250" spans="1:10" x14ac:dyDescent="0.3">
      <c r="A250" s="1" t="s">
        <v>912</v>
      </c>
      <c r="B250" s="1" t="s">
        <v>913</v>
      </c>
      <c r="C250" s="1" t="s">
        <v>48</v>
      </c>
      <c r="D250" s="1" t="s">
        <v>13</v>
      </c>
      <c r="E250" s="1" t="s">
        <v>36</v>
      </c>
      <c r="F250" s="2">
        <v>45897</v>
      </c>
      <c r="G250" s="1" t="s">
        <v>914</v>
      </c>
      <c r="H250" s="1" t="s">
        <v>915</v>
      </c>
      <c r="I250" s="1" t="b">
        <v>1</v>
      </c>
      <c r="J250" s="1" t="b">
        <v>1</v>
      </c>
    </row>
    <row r="251" spans="1:10" x14ac:dyDescent="0.3">
      <c r="A251" s="1" t="s">
        <v>916</v>
      </c>
      <c r="B251" s="1" t="s">
        <v>917</v>
      </c>
      <c r="C251" s="1" t="s">
        <v>12</v>
      </c>
      <c r="D251" s="1" t="s">
        <v>19</v>
      </c>
      <c r="E251" s="1" t="s">
        <v>90</v>
      </c>
      <c r="F251" s="2">
        <v>45946</v>
      </c>
      <c r="G251" s="1" t="s">
        <v>918</v>
      </c>
      <c r="H251" s="1" t="s">
        <v>919</v>
      </c>
      <c r="I251" s="1" t="b">
        <v>1</v>
      </c>
      <c r="J251" s="1" t="b">
        <v>1</v>
      </c>
    </row>
    <row r="252" spans="1:10" x14ac:dyDescent="0.3">
      <c r="A252" s="1" t="s">
        <v>920</v>
      </c>
      <c r="B252" s="1" t="s">
        <v>921</v>
      </c>
      <c r="C252" s="1" t="s">
        <v>25</v>
      </c>
      <c r="D252" s="1" t="s">
        <v>30</v>
      </c>
      <c r="E252" s="1" t="s">
        <v>31</v>
      </c>
      <c r="F252" s="2">
        <v>46074</v>
      </c>
      <c r="G252" s="1" t="s">
        <v>922</v>
      </c>
      <c r="H252" s="1" t="s">
        <v>923</v>
      </c>
      <c r="I252" s="1" t="b">
        <v>1</v>
      </c>
      <c r="J252" s="1" t="b">
        <v>1</v>
      </c>
    </row>
    <row r="253" spans="1:10" x14ac:dyDescent="0.3">
      <c r="A253" s="1" t="s">
        <v>924</v>
      </c>
      <c r="B253" s="1" t="s">
        <v>925</v>
      </c>
      <c r="C253" s="1" t="s">
        <v>12</v>
      </c>
      <c r="D253" s="1" t="s">
        <v>30</v>
      </c>
      <c r="E253" s="1" t="s">
        <v>14</v>
      </c>
      <c r="F253" s="2">
        <v>45806</v>
      </c>
      <c r="G253" s="1" t="s">
        <v>96</v>
      </c>
      <c r="H253" s="1" t="s">
        <v>96</v>
      </c>
      <c r="I253" s="1" t="b">
        <v>0</v>
      </c>
      <c r="J253" s="1" t="b">
        <v>0</v>
      </c>
    </row>
    <row r="254" spans="1:10" x14ac:dyDescent="0.3">
      <c r="A254" s="1" t="s">
        <v>926</v>
      </c>
      <c r="B254" s="1" t="s">
        <v>927</v>
      </c>
      <c r="C254" s="1" t="s">
        <v>25</v>
      </c>
      <c r="D254" s="1" t="s">
        <v>19</v>
      </c>
      <c r="E254" s="1" t="s">
        <v>14</v>
      </c>
      <c r="F254" s="2">
        <v>46016</v>
      </c>
      <c r="G254" s="1" t="s">
        <v>928</v>
      </c>
      <c r="H254" s="1" t="s">
        <v>929</v>
      </c>
      <c r="I254" s="1" t="b">
        <v>1</v>
      </c>
      <c r="J254" s="1" t="b">
        <v>1</v>
      </c>
    </row>
    <row r="255" spans="1:10" x14ac:dyDescent="0.3">
      <c r="A255" s="1" t="s">
        <v>930</v>
      </c>
      <c r="B255" s="1" t="s">
        <v>931</v>
      </c>
      <c r="C255" s="1" t="s">
        <v>48</v>
      </c>
      <c r="D255" s="1" t="s">
        <v>13</v>
      </c>
      <c r="E255" s="1" t="s">
        <v>90</v>
      </c>
      <c r="F255" s="2">
        <v>45607</v>
      </c>
      <c r="G255" s="1" t="s">
        <v>932</v>
      </c>
      <c r="H255" s="1" t="s">
        <v>933</v>
      </c>
      <c r="I255" s="1" t="b">
        <v>1</v>
      </c>
      <c r="J255" s="1" t="b">
        <v>1</v>
      </c>
    </row>
    <row r="256" spans="1:10" x14ac:dyDescent="0.3">
      <c r="A256" s="1" t="s">
        <v>934</v>
      </c>
      <c r="B256" s="1" t="s">
        <v>935</v>
      </c>
      <c r="C256" s="1" t="s">
        <v>48</v>
      </c>
      <c r="D256" s="1" t="s">
        <v>30</v>
      </c>
      <c r="E256" s="1" t="s">
        <v>36</v>
      </c>
      <c r="F256" s="2">
        <v>45472</v>
      </c>
      <c r="G256" s="1" t="s">
        <v>936</v>
      </c>
      <c r="H256" s="1" t="s">
        <v>937</v>
      </c>
      <c r="I256" s="1" t="b">
        <v>1</v>
      </c>
      <c r="J256" s="1" t="b">
        <v>1</v>
      </c>
    </row>
    <row r="257" spans="1:10" x14ac:dyDescent="0.3">
      <c r="A257" s="1" t="s">
        <v>938</v>
      </c>
      <c r="B257" s="1" t="s">
        <v>939</v>
      </c>
      <c r="C257" s="1" t="s">
        <v>56</v>
      </c>
      <c r="D257" s="1" t="s">
        <v>30</v>
      </c>
      <c r="E257" s="1" t="s">
        <v>20</v>
      </c>
      <c r="F257" s="2">
        <v>45216</v>
      </c>
      <c r="G257" s="1" t="s">
        <v>940</v>
      </c>
      <c r="H257" s="1" t="s">
        <v>96</v>
      </c>
      <c r="I257" s="1" t="b">
        <v>1</v>
      </c>
      <c r="J257" s="1" t="b">
        <v>0</v>
      </c>
    </row>
    <row r="258" spans="1:10" x14ac:dyDescent="0.3">
      <c r="A258" s="1" t="s">
        <v>941</v>
      </c>
      <c r="B258" s="1" t="s">
        <v>942</v>
      </c>
      <c r="C258" s="1" t="s">
        <v>35</v>
      </c>
      <c r="D258" s="1" t="s">
        <v>30</v>
      </c>
      <c r="E258" s="1" t="s">
        <v>20</v>
      </c>
      <c r="F258" s="2">
        <v>45451</v>
      </c>
      <c r="G258" s="1" t="s">
        <v>943</v>
      </c>
      <c r="H258" s="1" t="s">
        <v>944</v>
      </c>
      <c r="I258" s="1" t="b">
        <v>1</v>
      </c>
      <c r="J258" s="1" t="b">
        <v>1</v>
      </c>
    </row>
    <row r="259" spans="1:10" x14ac:dyDescent="0.3">
      <c r="A259" s="1" t="s">
        <v>945</v>
      </c>
      <c r="B259" s="1" t="s">
        <v>946</v>
      </c>
      <c r="C259" s="1" t="s">
        <v>35</v>
      </c>
      <c r="D259" s="1" t="s">
        <v>30</v>
      </c>
      <c r="E259" s="1" t="s">
        <v>90</v>
      </c>
      <c r="F259" s="2">
        <v>45811</v>
      </c>
      <c r="G259" s="1" t="s">
        <v>96</v>
      </c>
      <c r="H259" s="1" t="s">
        <v>947</v>
      </c>
      <c r="I259" s="1" t="b">
        <v>0</v>
      </c>
      <c r="J259" s="1" t="b">
        <v>1</v>
      </c>
    </row>
    <row r="260" spans="1:10" x14ac:dyDescent="0.3">
      <c r="A260" s="1" t="s">
        <v>948</v>
      </c>
      <c r="B260" s="1" t="s">
        <v>949</v>
      </c>
      <c r="C260" s="1" t="s">
        <v>12</v>
      </c>
      <c r="D260" s="1" t="s">
        <v>30</v>
      </c>
      <c r="E260" s="1" t="s">
        <v>14</v>
      </c>
      <c r="F260" s="2">
        <v>45207</v>
      </c>
      <c r="G260" s="1" t="s">
        <v>950</v>
      </c>
      <c r="H260" s="1" t="s">
        <v>951</v>
      </c>
      <c r="I260" s="1" t="b">
        <v>1</v>
      </c>
      <c r="J260" s="1" t="b">
        <v>1</v>
      </c>
    </row>
    <row r="261" spans="1:10" x14ac:dyDescent="0.3">
      <c r="A261" s="1" t="s">
        <v>952</v>
      </c>
      <c r="B261" s="1" t="s">
        <v>953</v>
      </c>
      <c r="C261" s="1" t="s">
        <v>48</v>
      </c>
      <c r="D261" s="1" t="s">
        <v>13</v>
      </c>
      <c r="E261" s="1" t="s">
        <v>90</v>
      </c>
      <c r="F261" s="2">
        <v>46063</v>
      </c>
      <c r="G261" s="1" t="s">
        <v>954</v>
      </c>
      <c r="H261" s="1" t="s">
        <v>96</v>
      </c>
      <c r="I261" s="1" t="b">
        <v>1</v>
      </c>
      <c r="J261" s="1" t="b">
        <v>0</v>
      </c>
    </row>
    <row r="262" spans="1:10" x14ac:dyDescent="0.3">
      <c r="A262" s="1" t="s">
        <v>955</v>
      </c>
      <c r="B262" s="1" t="s">
        <v>956</v>
      </c>
      <c r="C262" s="1" t="s">
        <v>48</v>
      </c>
      <c r="D262" s="1" t="s">
        <v>19</v>
      </c>
      <c r="E262" s="1" t="s">
        <v>90</v>
      </c>
      <c r="F262" s="2">
        <v>45891</v>
      </c>
      <c r="G262" s="1" t="s">
        <v>957</v>
      </c>
      <c r="H262" s="1" t="s">
        <v>958</v>
      </c>
      <c r="I262" s="1" t="b">
        <v>1</v>
      </c>
      <c r="J262" s="1" t="b">
        <v>1</v>
      </c>
    </row>
    <row r="263" spans="1:10" x14ac:dyDescent="0.3">
      <c r="A263" s="1" t="s">
        <v>959</v>
      </c>
      <c r="B263" s="1" t="s">
        <v>960</v>
      </c>
      <c r="C263" s="1" t="s">
        <v>35</v>
      </c>
      <c r="D263" s="1" t="s">
        <v>30</v>
      </c>
      <c r="E263" s="1" t="s">
        <v>90</v>
      </c>
      <c r="F263" s="2">
        <v>45386</v>
      </c>
      <c r="G263" s="1" t="s">
        <v>961</v>
      </c>
      <c r="H263" s="1" t="s">
        <v>962</v>
      </c>
      <c r="I263" s="1" t="b">
        <v>1</v>
      </c>
      <c r="J263" s="1" t="b">
        <v>1</v>
      </c>
    </row>
    <row r="264" spans="1:10" x14ac:dyDescent="0.3">
      <c r="A264" s="1" t="s">
        <v>963</v>
      </c>
      <c r="B264" s="1" t="s">
        <v>964</v>
      </c>
      <c r="C264" s="1" t="s">
        <v>35</v>
      </c>
      <c r="D264" s="1" t="s">
        <v>19</v>
      </c>
      <c r="E264" s="1" t="s">
        <v>36</v>
      </c>
      <c r="F264" s="2">
        <v>45865</v>
      </c>
      <c r="G264" s="1" t="s">
        <v>965</v>
      </c>
      <c r="H264" s="1" t="s">
        <v>966</v>
      </c>
      <c r="I264" s="1" t="b">
        <v>1</v>
      </c>
      <c r="J264" s="1" t="b">
        <v>1</v>
      </c>
    </row>
    <row r="265" spans="1:10" x14ac:dyDescent="0.3">
      <c r="A265" s="1" t="s">
        <v>967</v>
      </c>
      <c r="B265" s="1" t="s">
        <v>968</v>
      </c>
      <c r="C265" s="1" t="s">
        <v>35</v>
      </c>
      <c r="D265" s="1" t="s">
        <v>19</v>
      </c>
      <c r="E265" s="1" t="s">
        <v>90</v>
      </c>
      <c r="F265" s="2">
        <v>46114</v>
      </c>
      <c r="G265" s="1" t="s">
        <v>96</v>
      </c>
      <c r="H265" s="1" t="s">
        <v>96</v>
      </c>
      <c r="I265" s="1" t="b">
        <v>0</v>
      </c>
      <c r="J265" s="1" t="b">
        <v>0</v>
      </c>
    </row>
    <row r="266" spans="1:10" x14ac:dyDescent="0.3">
      <c r="A266" s="1" t="s">
        <v>969</v>
      </c>
      <c r="B266" s="1" t="s">
        <v>970</v>
      </c>
      <c r="C266" s="1" t="s">
        <v>12</v>
      </c>
      <c r="D266" s="1" t="s">
        <v>19</v>
      </c>
      <c r="E266" s="1" t="s">
        <v>20</v>
      </c>
      <c r="F266" s="2">
        <v>45809</v>
      </c>
      <c r="G266" s="1" t="s">
        <v>971</v>
      </c>
      <c r="H266" s="1" t="s">
        <v>972</v>
      </c>
      <c r="I266" s="1" t="b">
        <v>1</v>
      </c>
      <c r="J266" s="1" t="b">
        <v>1</v>
      </c>
    </row>
    <row r="267" spans="1:10" x14ac:dyDescent="0.3">
      <c r="A267" s="1" t="s">
        <v>973</v>
      </c>
      <c r="B267" s="1" t="s">
        <v>974</v>
      </c>
      <c r="C267" s="1" t="s">
        <v>56</v>
      </c>
      <c r="D267" s="1" t="s">
        <v>13</v>
      </c>
      <c r="E267" s="1" t="s">
        <v>31</v>
      </c>
      <c r="F267" s="2">
        <v>46242</v>
      </c>
      <c r="G267" s="1" t="s">
        <v>975</v>
      </c>
      <c r="H267" s="1" t="s">
        <v>976</v>
      </c>
      <c r="I267" s="1" t="b">
        <v>1</v>
      </c>
      <c r="J267" s="1" t="b">
        <v>1</v>
      </c>
    </row>
    <row r="268" spans="1:10" x14ac:dyDescent="0.3">
      <c r="A268" s="1" t="s">
        <v>977</v>
      </c>
      <c r="B268" s="1" t="s">
        <v>978</v>
      </c>
      <c r="C268" s="1" t="s">
        <v>12</v>
      </c>
      <c r="D268" s="1" t="s">
        <v>19</v>
      </c>
      <c r="E268" s="1" t="s">
        <v>31</v>
      </c>
      <c r="F268" s="2">
        <v>45354</v>
      </c>
      <c r="G268" s="1" t="s">
        <v>979</v>
      </c>
      <c r="H268" s="1" t="s">
        <v>980</v>
      </c>
      <c r="I268" s="1" t="b">
        <v>1</v>
      </c>
      <c r="J268" s="1" t="b">
        <v>1</v>
      </c>
    </row>
    <row r="269" spans="1:10" x14ac:dyDescent="0.3">
      <c r="A269" s="1" t="s">
        <v>981</v>
      </c>
      <c r="B269" s="1" t="s">
        <v>982</v>
      </c>
      <c r="C269" s="1" t="s">
        <v>48</v>
      </c>
      <c r="D269" s="1" t="s">
        <v>19</v>
      </c>
      <c r="E269" s="1" t="s">
        <v>36</v>
      </c>
      <c r="F269" s="2">
        <v>45205</v>
      </c>
      <c r="G269" s="1" t="s">
        <v>983</v>
      </c>
      <c r="H269" s="1" t="s">
        <v>96</v>
      </c>
      <c r="I269" s="1" t="b">
        <v>1</v>
      </c>
      <c r="J269" s="1" t="b">
        <v>0</v>
      </c>
    </row>
    <row r="270" spans="1:10" x14ac:dyDescent="0.3">
      <c r="A270" s="1" t="s">
        <v>984</v>
      </c>
      <c r="B270" s="1" t="s">
        <v>985</v>
      </c>
      <c r="C270" s="1" t="s">
        <v>56</v>
      </c>
      <c r="D270" s="1" t="s">
        <v>30</v>
      </c>
      <c r="E270" s="1" t="s">
        <v>31</v>
      </c>
      <c r="F270" s="2">
        <v>46119</v>
      </c>
      <c r="G270" s="1" t="s">
        <v>986</v>
      </c>
      <c r="H270" s="1" t="s">
        <v>987</v>
      </c>
      <c r="I270" s="1" t="b">
        <v>1</v>
      </c>
      <c r="J270" s="1" t="b">
        <v>1</v>
      </c>
    </row>
    <row r="271" spans="1:10" x14ac:dyDescent="0.3">
      <c r="A271" s="1" t="s">
        <v>988</v>
      </c>
      <c r="B271" s="1" t="s">
        <v>989</v>
      </c>
      <c r="C271" s="1" t="s">
        <v>67</v>
      </c>
      <c r="D271" s="1" t="s">
        <v>19</v>
      </c>
      <c r="E271" s="1" t="s">
        <v>20</v>
      </c>
      <c r="F271" s="2">
        <v>46145</v>
      </c>
      <c r="G271" s="1" t="s">
        <v>96</v>
      </c>
      <c r="H271" s="1" t="s">
        <v>990</v>
      </c>
      <c r="I271" s="1" t="b">
        <v>0</v>
      </c>
      <c r="J271" s="1" t="b">
        <v>1</v>
      </c>
    </row>
    <row r="272" spans="1:10" x14ac:dyDescent="0.3">
      <c r="A272" s="1" t="s">
        <v>991</v>
      </c>
      <c r="B272" s="1" t="s">
        <v>992</v>
      </c>
      <c r="C272" s="1" t="s">
        <v>35</v>
      </c>
      <c r="D272" s="1" t="s">
        <v>19</v>
      </c>
      <c r="E272" s="1" t="s">
        <v>36</v>
      </c>
      <c r="F272" s="2">
        <v>46119</v>
      </c>
      <c r="G272" s="1" t="s">
        <v>993</v>
      </c>
      <c r="H272" s="1" t="s">
        <v>994</v>
      </c>
      <c r="I272" s="1" t="b">
        <v>1</v>
      </c>
      <c r="J272" s="1" t="b">
        <v>1</v>
      </c>
    </row>
    <row r="273" spans="1:10" x14ac:dyDescent="0.3">
      <c r="A273" s="1" t="s">
        <v>995</v>
      </c>
      <c r="B273" s="1" t="s">
        <v>996</v>
      </c>
      <c r="C273" s="1" t="s">
        <v>25</v>
      </c>
      <c r="D273" s="1" t="s">
        <v>19</v>
      </c>
      <c r="E273" s="1" t="s">
        <v>31</v>
      </c>
      <c r="F273" s="2">
        <v>45926</v>
      </c>
      <c r="G273" s="1" t="s">
        <v>997</v>
      </c>
      <c r="H273" s="1" t="s">
        <v>96</v>
      </c>
      <c r="I273" s="1" t="b">
        <v>1</v>
      </c>
      <c r="J273" s="1" t="b">
        <v>0</v>
      </c>
    </row>
    <row r="274" spans="1:10" x14ac:dyDescent="0.3">
      <c r="A274" s="1" t="s">
        <v>998</v>
      </c>
      <c r="B274" s="1" t="s">
        <v>999</v>
      </c>
      <c r="C274" s="1" t="s">
        <v>48</v>
      </c>
      <c r="D274" s="1" t="s">
        <v>30</v>
      </c>
      <c r="E274" s="1" t="s">
        <v>36</v>
      </c>
      <c r="F274" s="2">
        <v>45891</v>
      </c>
      <c r="G274" s="1" t="s">
        <v>1000</v>
      </c>
      <c r="H274" s="1" t="s">
        <v>1001</v>
      </c>
      <c r="I274" s="1" t="b">
        <v>1</v>
      </c>
      <c r="J274" s="1" t="b">
        <v>1</v>
      </c>
    </row>
    <row r="275" spans="1:10" x14ac:dyDescent="0.3">
      <c r="A275" s="1" t="s">
        <v>1002</v>
      </c>
      <c r="B275" s="1" t="s">
        <v>1003</v>
      </c>
      <c r="C275" s="1" t="s">
        <v>67</v>
      </c>
      <c r="D275" s="1" t="s">
        <v>13</v>
      </c>
      <c r="E275" s="1" t="s">
        <v>36</v>
      </c>
      <c r="F275" s="2">
        <v>46222</v>
      </c>
      <c r="G275" s="1" t="s">
        <v>1004</v>
      </c>
      <c r="H275" s="1" t="s">
        <v>1005</v>
      </c>
      <c r="I275" s="1" t="b">
        <v>1</v>
      </c>
      <c r="J275" s="1" t="b">
        <v>1</v>
      </c>
    </row>
    <row r="276" spans="1:10" x14ac:dyDescent="0.3">
      <c r="A276" s="1" t="s">
        <v>1006</v>
      </c>
      <c r="B276" s="1" t="s">
        <v>1007</v>
      </c>
      <c r="C276" s="1" t="s">
        <v>67</v>
      </c>
      <c r="D276" s="1" t="s">
        <v>13</v>
      </c>
      <c r="E276" s="1" t="s">
        <v>36</v>
      </c>
      <c r="F276" s="2">
        <v>45344</v>
      </c>
      <c r="G276" s="1" t="s">
        <v>1008</v>
      </c>
      <c r="H276" s="1" t="s">
        <v>1009</v>
      </c>
      <c r="I276" s="1" t="b">
        <v>1</v>
      </c>
      <c r="J276" s="1" t="b">
        <v>1</v>
      </c>
    </row>
    <row r="277" spans="1:10" x14ac:dyDescent="0.3">
      <c r="A277" s="1" t="s">
        <v>1010</v>
      </c>
      <c r="B277" s="1" t="s">
        <v>1011</v>
      </c>
      <c r="C277" s="1" t="s">
        <v>25</v>
      </c>
      <c r="D277" s="1" t="s">
        <v>19</v>
      </c>
      <c r="E277" s="1" t="s">
        <v>90</v>
      </c>
      <c r="F277" s="2">
        <v>45495</v>
      </c>
      <c r="G277" s="1" t="s">
        <v>96</v>
      </c>
      <c r="H277" s="1" t="s">
        <v>96</v>
      </c>
      <c r="I277" s="1" t="b">
        <v>0</v>
      </c>
      <c r="J277" s="1" t="b">
        <v>0</v>
      </c>
    </row>
    <row r="278" spans="1:10" x14ac:dyDescent="0.3">
      <c r="A278" s="1" t="s">
        <v>1012</v>
      </c>
      <c r="B278" s="1" t="s">
        <v>1013</v>
      </c>
      <c r="C278" s="1" t="s">
        <v>67</v>
      </c>
      <c r="D278" s="1" t="s">
        <v>19</v>
      </c>
      <c r="E278" s="1" t="s">
        <v>31</v>
      </c>
      <c r="F278" s="2">
        <v>45287</v>
      </c>
      <c r="G278" s="1" t="s">
        <v>1014</v>
      </c>
      <c r="H278" s="1" t="s">
        <v>1015</v>
      </c>
      <c r="I278" s="1" t="b">
        <v>1</v>
      </c>
      <c r="J278" s="1" t="b">
        <v>1</v>
      </c>
    </row>
    <row r="279" spans="1:10" x14ac:dyDescent="0.3">
      <c r="A279" s="1" t="s">
        <v>1016</v>
      </c>
      <c r="B279" s="1" t="s">
        <v>1017</v>
      </c>
      <c r="C279" s="1" t="s">
        <v>12</v>
      </c>
      <c r="D279" s="1" t="s">
        <v>19</v>
      </c>
      <c r="E279" s="1" t="s">
        <v>31</v>
      </c>
      <c r="F279" s="2">
        <v>45920</v>
      </c>
      <c r="G279" s="1" t="s">
        <v>1018</v>
      </c>
      <c r="H279" s="1" t="s">
        <v>1019</v>
      </c>
      <c r="I279" s="1" t="b">
        <v>1</v>
      </c>
      <c r="J279" s="1" t="b">
        <v>1</v>
      </c>
    </row>
    <row r="280" spans="1:10" x14ac:dyDescent="0.3">
      <c r="A280" s="1" t="s">
        <v>1020</v>
      </c>
      <c r="B280" s="1" t="s">
        <v>1021</v>
      </c>
      <c r="C280" s="1" t="s">
        <v>35</v>
      </c>
      <c r="D280" s="1" t="s">
        <v>30</v>
      </c>
      <c r="E280" s="1" t="s">
        <v>20</v>
      </c>
      <c r="F280" s="2">
        <v>46123</v>
      </c>
      <c r="G280" s="1" t="s">
        <v>1022</v>
      </c>
      <c r="H280" s="1" t="s">
        <v>1023</v>
      </c>
      <c r="I280" s="1" t="b">
        <v>1</v>
      </c>
      <c r="J280" s="1" t="b">
        <v>1</v>
      </c>
    </row>
    <row r="281" spans="1:10" x14ac:dyDescent="0.3">
      <c r="A281" s="1" t="s">
        <v>1024</v>
      </c>
      <c r="B281" s="1" t="s">
        <v>1025</v>
      </c>
      <c r="C281" s="1" t="s">
        <v>35</v>
      </c>
      <c r="D281" s="1" t="s">
        <v>13</v>
      </c>
      <c r="E281" s="1" t="s">
        <v>36</v>
      </c>
      <c r="F281" s="2">
        <v>45646</v>
      </c>
      <c r="G281" s="1" t="s">
        <v>1026</v>
      </c>
      <c r="H281" s="1" t="s">
        <v>96</v>
      </c>
      <c r="I281" s="1" t="b">
        <v>1</v>
      </c>
      <c r="J281" s="1" t="b">
        <v>0</v>
      </c>
    </row>
    <row r="282" spans="1:10" x14ac:dyDescent="0.3">
      <c r="A282" s="1" t="s">
        <v>1027</v>
      </c>
      <c r="B282" s="1" t="s">
        <v>1028</v>
      </c>
      <c r="C282" s="1" t="s">
        <v>56</v>
      </c>
      <c r="D282" s="1" t="s">
        <v>30</v>
      </c>
      <c r="E282" s="1" t="s">
        <v>20</v>
      </c>
      <c r="F282" s="2">
        <v>45869</v>
      </c>
      <c r="G282" s="1" t="s">
        <v>1029</v>
      </c>
      <c r="H282" s="1" t="s">
        <v>1030</v>
      </c>
      <c r="I282" s="1" t="b">
        <v>1</v>
      </c>
      <c r="J282" s="1" t="b">
        <v>1</v>
      </c>
    </row>
    <row r="283" spans="1:10" x14ac:dyDescent="0.3">
      <c r="A283" s="1" t="s">
        <v>1031</v>
      </c>
      <c r="B283" s="1" t="s">
        <v>1032</v>
      </c>
      <c r="C283" s="1" t="s">
        <v>12</v>
      </c>
      <c r="D283" s="1" t="s">
        <v>19</v>
      </c>
      <c r="E283" s="1" t="s">
        <v>36</v>
      </c>
      <c r="F283" s="2">
        <v>45482</v>
      </c>
      <c r="G283" s="1" t="s">
        <v>96</v>
      </c>
      <c r="H283" s="1" t="s">
        <v>1033</v>
      </c>
      <c r="I283" s="1" t="b">
        <v>0</v>
      </c>
      <c r="J283" s="1" t="b">
        <v>1</v>
      </c>
    </row>
    <row r="284" spans="1:10" x14ac:dyDescent="0.3">
      <c r="A284" s="1" t="s">
        <v>1034</v>
      </c>
      <c r="B284" s="1" t="s">
        <v>1035</v>
      </c>
      <c r="C284" s="1" t="s">
        <v>56</v>
      </c>
      <c r="D284" s="1" t="s">
        <v>13</v>
      </c>
      <c r="E284" s="1" t="s">
        <v>14</v>
      </c>
      <c r="F284" s="2">
        <v>45224</v>
      </c>
      <c r="G284" s="1" t="s">
        <v>1036</v>
      </c>
      <c r="H284" s="1" t="s">
        <v>1037</v>
      </c>
      <c r="I284" s="1" t="b">
        <v>1</v>
      </c>
      <c r="J284" s="1" t="b">
        <v>1</v>
      </c>
    </row>
    <row r="285" spans="1:10" x14ac:dyDescent="0.3">
      <c r="A285" s="1" t="s">
        <v>1038</v>
      </c>
      <c r="B285" s="1" t="s">
        <v>1039</v>
      </c>
      <c r="C285" s="1" t="s">
        <v>67</v>
      </c>
      <c r="D285" s="1" t="s">
        <v>13</v>
      </c>
      <c r="E285" s="1" t="s">
        <v>36</v>
      </c>
      <c r="F285" s="2">
        <v>45669</v>
      </c>
      <c r="G285" s="1" t="s">
        <v>1040</v>
      </c>
      <c r="H285" s="1" t="s">
        <v>96</v>
      </c>
      <c r="I285" s="1" t="b">
        <v>1</v>
      </c>
      <c r="J285" s="1" t="b">
        <v>0</v>
      </c>
    </row>
    <row r="286" spans="1:10" x14ac:dyDescent="0.3">
      <c r="A286" s="1" t="s">
        <v>1041</v>
      </c>
      <c r="B286" s="1" t="s">
        <v>1042</v>
      </c>
      <c r="C286" s="1" t="s">
        <v>12</v>
      </c>
      <c r="D286" s="1" t="s">
        <v>13</v>
      </c>
      <c r="E286" s="1" t="s">
        <v>90</v>
      </c>
      <c r="F286" s="2">
        <v>45885</v>
      </c>
      <c r="G286" s="1" t="s">
        <v>1043</v>
      </c>
      <c r="H286" s="1" t="s">
        <v>1044</v>
      </c>
      <c r="I286" s="1" t="b">
        <v>1</v>
      </c>
      <c r="J286" s="1" t="b">
        <v>1</v>
      </c>
    </row>
    <row r="287" spans="1:10" x14ac:dyDescent="0.3">
      <c r="A287" s="1" t="s">
        <v>1045</v>
      </c>
      <c r="B287" s="1" t="s">
        <v>1046</v>
      </c>
      <c r="C287" s="1" t="s">
        <v>12</v>
      </c>
      <c r="D287" s="1" t="s">
        <v>30</v>
      </c>
      <c r="E287" s="1" t="s">
        <v>90</v>
      </c>
      <c r="F287" s="2">
        <v>45976</v>
      </c>
      <c r="G287" s="1" t="s">
        <v>1047</v>
      </c>
      <c r="H287" s="1" t="s">
        <v>1048</v>
      </c>
      <c r="I287" s="1" t="b">
        <v>1</v>
      </c>
      <c r="J287" s="1" t="b">
        <v>1</v>
      </c>
    </row>
    <row r="288" spans="1:10" x14ac:dyDescent="0.3">
      <c r="A288" s="1" t="s">
        <v>1049</v>
      </c>
      <c r="B288" s="1" t="s">
        <v>1050</v>
      </c>
      <c r="C288" s="1" t="s">
        <v>56</v>
      </c>
      <c r="D288" s="1" t="s">
        <v>30</v>
      </c>
      <c r="E288" s="1" t="s">
        <v>31</v>
      </c>
      <c r="F288" s="2">
        <v>46204</v>
      </c>
      <c r="G288" s="1" t="s">
        <v>1051</v>
      </c>
      <c r="H288" s="1" t="s">
        <v>1052</v>
      </c>
      <c r="I288" s="1" t="b">
        <v>1</v>
      </c>
      <c r="J288" s="1" t="b">
        <v>1</v>
      </c>
    </row>
    <row r="289" spans="1:10" x14ac:dyDescent="0.3">
      <c r="A289" s="1" t="s">
        <v>1053</v>
      </c>
      <c r="B289" s="1" t="s">
        <v>1054</v>
      </c>
      <c r="C289" s="1" t="s">
        <v>67</v>
      </c>
      <c r="D289" s="1" t="s">
        <v>19</v>
      </c>
      <c r="E289" s="1" t="s">
        <v>31</v>
      </c>
      <c r="F289" s="2">
        <v>45825</v>
      </c>
      <c r="G289" s="1" t="s">
        <v>96</v>
      </c>
      <c r="H289" s="1" t="s">
        <v>96</v>
      </c>
      <c r="I289" s="1" t="b">
        <v>0</v>
      </c>
      <c r="J289" s="1" t="b">
        <v>0</v>
      </c>
    </row>
    <row r="290" spans="1:10" x14ac:dyDescent="0.3">
      <c r="A290" s="1" t="s">
        <v>1055</v>
      </c>
      <c r="B290" s="1" t="s">
        <v>1056</v>
      </c>
      <c r="C290" s="1" t="s">
        <v>67</v>
      </c>
      <c r="D290" s="1" t="s">
        <v>19</v>
      </c>
      <c r="E290" s="1" t="s">
        <v>36</v>
      </c>
      <c r="F290" s="2">
        <v>46229</v>
      </c>
      <c r="G290" s="1" t="s">
        <v>1057</v>
      </c>
      <c r="H290" s="1" t="s">
        <v>1058</v>
      </c>
      <c r="I290" s="1" t="b">
        <v>1</v>
      </c>
      <c r="J290" s="1" t="b">
        <v>1</v>
      </c>
    </row>
    <row r="291" spans="1:10" x14ac:dyDescent="0.3">
      <c r="A291" s="1" t="s">
        <v>1059</v>
      </c>
      <c r="B291" s="1" t="s">
        <v>1060</v>
      </c>
      <c r="C291" s="1" t="s">
        <v>67</v>
      </c>
      <c r="D291" s="1" t="s">
        <v>19</v>
      </c>
      <c r="E291" s="1" t="s">
        <v>90</v>
      </c>
      <c r="F291" s="2">
        <v>45399</v>
      </c>
      <c r="G291" s="1" t="s">
        <v>1061</v>
      </c>
      <c r="H291" s="1" t="s">
        <v>1062</v>
      </c>
      <c r="I291" s="1" t="b">
        <v>1</v>
      </c>
      <c r="J291" s="1" t="b">
        <v>1</v>
      </c>
    </row>
    <row r="292" spans="1:10" x14ac:dyDescent="0.3">
      <c r="A292" s="1" t="s">
        <v>1063</v>
      </c>
      <c r="B292" s="1" t="s">
        <v>1064</v>
      </c>
      <c r="C292" s="1" t="s">
        <v>25</v>
      </c>
      <c r="D292" s="1" t="s">
        <v>13</v>
      </c>
      <c r="E292" s="1" t="s">
        <v>20</v>
      </c>
      <c r="F292" s="2">
        <v>45299</v>
      </c>
      <c r="G292" s="1" t="s">
        <v>1065</v>
      </c>
      <c r="H292" s="1" t="s">
        <v>1066</v>
      </c>
      <c r="I292" s="1" t="b">
        <v>1</v>
      </c>
      <c r="J292" s="1" t="b">
        <v>1</v>
      </c>
    </row>
    <row r="293" spans="1:10" x14ac:dyDescent="0.3">
      <c r="A293" s="1" t="s">
        <v>1067</v>
      </c>
      <c r="B293" s="1" t="s">
        <v>1068</v>
      </c>
      <c r="C293" s="1" t="s">
        <v>67</v>
      </c>
      <c r="D293" s="1" t="s">
        <v>13</v>
      </c>
      <c r="E293" s="1" t="s">
        <v>31</v>
      </c>
      <c r="F293" s="2">
        <v>45973</v>
      </c>
      <c r="G293" s="1" t="s">
        <v>1069</v>
      </c>
      <c r="H293" s="1" t="s">
        <v>96</v>
      </c>
      <c r="I293" s="1" t="b">
        <v>1</v>
      </c>
      <c r="J293" s="1" t="b">
        <v>0</v>
      </c>
    </row>
    <row r="294" spans="1:10" x14ac:dyDescent="0.3">
      <c r="A294" s="1" t="s">
        <v>1070</v>
      </c>
      <c r="B294" s="1" t="s">
        <v>1071</v>
      </c>
      <c r="C294" s="1" t="s">
        <v>12</v>
      </c>
      <c r="D294" s="1" t="s">
        <v>13</v>
      </c>
      <c r="E294" s="1" t="s">
        <v>20</v>
      </c>
      <c r="F294" s="2">
        <v>45439</v>
      </c>
      <c r="G294" s="1" t="s">
        <v>1072</v>
      </c>
      <c r="H294" s="1" t="s">
        <v>1073</v>
      </c>
      <c r="I294" s="1" t="b">
        <v>1</v>
      </c>
      <c r="J294" s="1" t="b">
        <v>1</v>
      </c>
    </row>
    <row r="295" spans="1:10" x14ac:dyDescent="0.3">
      <c r="A295" s="1" t="s">
        <v>1074</v>
      </c>
      <c r="B295" s="1" t="s">
        <v>1075</v>
      </c>
      <c r="C295" s="1" t="s">
        <v>25</v>
      </c>
      <c r="D295" s="1" t="s">
        <v>30</v>
      </c>
      <c r="E295" s="1" t="s">
        <v>36</v>
      </c>
      <c r="F295" s="2">
        <v>45990</v>
      </c>
      <c r="G295" s="1" t="s">
        <v>96</v>
      </c>
      <c r="H295" s="1" t="s">
        <v>1076</v>
      </c>
      <c r="I295" s="1" t="b">
        <v>0</v>
      </c>
      <c r="J295" s="1" t="b">
        <v>1</v>
      </c>
    </row>
    <row r="296" spans="1:10" x14ac:dyDescent="0.3">
      <c r="A296" s="1" t="s">
        <v>1077</v>
      </c>
      <c r="B296" s="1" t="s">
        <v>1078</v>
      </c>
      <c r="C296" s="1" t="s">
        <v>67</v>
      </c>
      <c r="D296" s="1" t="s">
        <v>30</v>
      </c>
      <c r="E296" s="1" t="s">
        <v>31</v>
      </c>
      <c r="F296" s="2">
        <v>45324</v>
      </c>
      <c r="G296" s="1" t="s">
        <v>1079</v>
      </c>
      <c r="H296" s="1" t="s">
        <v>1080</v>
      </c>
      <c r="I296" s="1" t="b">
        <v>1</v>
      </c>
      <c r="J296" s="1" t="b">
        <v>1</v>
      </c>
    </row>
    <row r="297" spans="1:10" x14ac:dyDescent="0.3">
      <c r="A297" s="1" t="s">
        <v>1081</v>
      </c>
      <c r="B297" s="1" t="s">
        <v>1082</v>
      </c>
      <c r="C297" s="1" t="s">
        <v>48</v>
      </c>
      <c r="D297" s="1" t="s">
        <v>30</v>
      </c>
      <c r="E297" s="1" t="s">
        <v>90</v>
      </c>
      <c r="F297" s="2">
        <v>45524</v>
      </c>
      <c r="G297" s="1" t="s">
        <v>1083</v>
      </c>
      <c r="H297" s="1" t="s">
        <v>96</v>
      </c>
      <c r="I297" s="1" t="b">
        <v>1</v>
      </c>
      <c r="J297" s="1" t="b">
        <v>0</v>
      </c>
    </row>
    <row r="298" spans="1:10" x14ac:dyDescent="0.3">
      <c r="A298" s="1" t="s">
        <v>1084</v>
      </c>
      <c r="B298" s="1" t="s">
        <v>1085</v>
      </c>
      <c r="C298" s="1" t="s">
        <v>35</v>
      </c>
      <c r="D298" s="1" t="s">
        <v>13</v>
      </c>
      <c r="E298" s="1" t="s">
        <v>90</v>
      </c>
      <c r="F298" s="2">
        <v>45723</v>
      </c>
      <c r="G298" s="1" t="s">
        <v>1086</v>
      </c>
      <c r="H298" s="1" t="s">
        <v>1087</v>
      </c>
      <c r="I298" s="1" t="b">
        <v>1</v>
      </c>
      <c r="J298" s="1" t="b">
        <v>1</v>
      </c>
    </row>
    <row r="299" spans="1:10" x14ac:dyDescent="0.3">
      <c r="A299" s="1" t="s">
        <v>1088</v>
      </c>
      <c r="B299" s="1" t="s">
        <v>1089</v>
      </c>
      <c r="C299" s="1" t="s">
        <v>25</v>
      </c>
      <c r="D299" s="1" t="s">
        <v>19</v>
      </c>
      <c r="E299" s="1" t="s">
        <v>20</v>
      </c>
      <c r="F299" s="2">
        <v>45870</v>
      </c>
      <c r="G299" s="1" t="s">
        <v>1090</v>
      </c>
      <c r="H299" s="1" t="s">
        <v>1091</v>
      </c>
      <c r="I299" s="1" t="b">
        <v>1</v>
      </c>
      <c r="J299" s="1" t="b">
        <v>1</v>
      </c>
    </row>
    <row r="300" spans="1:10" x14ac:dyDescent="0.3">
      <c r="A300" s="1" t="s">
        <v>1092</v>
      </c>
      <c r="B300" s="1" t="s">
        <v>1093</v>
      </c>
      <c r="C300" s="1" t="s">
        <v>67</v>
      </c>
      <c r="D300" s="1" t="s">
        <v>13</v>
      </c>
      <c r="E300" s="1" t="s">
        <v>31</v>
      </c>
      <c r="F300" s="2">
        <v>45273</v>
      </c>
      <c r="G300" s="1" t="s">
        <v>1094</v>
      </c>
      <c r="H300" s="1" t="s">
        <v>1095</v>
      </c>
      <c r="I300" s="1" t="b">
        <v>1</v>
      </c>
      <c r="J300" s="1" t="b">
        <v>1</v>
      </c>
    </row>
    <row r="301" spans="1:10" x14ac:dyDescent="0.3">
      <c r="A301" s="1" t="s">
        <v>1096</v>
      </c>
      <c r="B301" s="1" t="s">
        <v>1097</v>
      </c>
      <c r="C301" s="1" t="s">
        <v>25</v>
      </c>
      <c r="D301" s="1" t="s">
        <v>19</v>
      </c>
      <c r="E301" s="1" t="s">
        <v>14</v>
      </c>
      <c r="F301" s="2">
        <v>46011</v>
      </c>
      <c r="G301" s="1" t="s">
        <v>96</v>
      </c>
      <c r="H301" s="1" t="s">
        <v>96</v>
      </c>
      <c r="I301" s="1" t="b">
        <v>0</v>
      </c>
      <c r="J301" s="1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59"/>
  <sheetViews>
    <sheetView topLeftCell="A2" workbookViewId="0">
      <selection activeCell="D18" sqref="D18"/>
    </sheetView>
  </sheetViews>
  <sheetFormatPr defaultRowHeight="14.4" x14ac:dyDescent="0.3"/>
  <cols>
    <col min="1" max="1" width="15.109375" bestFit="1" customWidth="1"/>
    <col min="2" max="2" width="10.33203125" bestFit="1" customWidth="1"/>
    <col min="3" max="3" width="12.44140625" bestFit="1" customWidth="1"/>
    <col min="4" max="4" width="10.33203125" bestFit="1" customWidth="1"/>
    <col min="5" max="5" width="14.109375" bestFit="1" customWidth="1"/>
    <col min="6" max="6" width="22.88671875" bestFit="1" customWidth="1"/>
    <col min="7" max="7" width="11.6640625" bestFit="1" customWidth="1"/>
    <col min="8" max="8" width="14.21875" bestFit="1" customWidth="1"/>
    <col min="9" max="9" width="11.109375" bestFit="1" customWidth="1"/>
    <col min="10" max="10" width="12.5546875" bestFit="1" customWidth="1"/>
    <col min="11" max="11" width="13.6640625" bestFit="1" customWidth="1"/>
  </cols>
  <sheetData>
    <row r="1" spans="1:11" x14ac:dyDescent="0.3">
      <c r="A1" s="1" t="s">
        <v>1098</v>
      </c>
      <c r="B1" s="1" t="s">
        <v>1099</v>
      </c>
      <c r="C1" s="1" t="s">
        <v>1100</v>
      </c>
      <c r="D1" s="1" t="s">
        <v>1101</v>
      </c>
      <c r="E1" s="1" t="s">
        <v>1102</v>
      </c>
      <c r="F1" s="1" t="s">
        <v>1103</v>
      </c>
      <c r="G1" t="s">
        <v>3658</v>
      </c>
      <c r="H1" t="s">
        <v>3657</v>
      </c>
      <c r="I1" t="s">
        <v>3760</v>
      </c>
      <c r="J1" s="2" t="s">
        <v>3641</v>
      </c>
      <c r="K1" t="s">
        <v>0</v>
      </c>
    </row>
    <row r="2" spans="1:11" x14ac:dyDescent="0.3">
      <c r="A2" s="1" t="s">
        <v>1104</v>
      </c>
      <c r="B2" s="1" t="s">
        <v>1105</v>
      </c>
      <c r="C2" s="1" t="s">
        <v>1106</v>
      </c>
      <c r="D2" s="1">
        <v>4</v>
      </c>
      <c r="E2" s="1">
        <v>0</v>
      </c>
      <c r="F2" s="1" t="b">
        <v>0</v>
      </c>
      <c r="G2">
        <f>VLOOKUP(C2,Products!A:D,4,FALSE)</f>
        <v>1130</v>
      </c>
      <c r="H2" t="str">
        <f>VLOOKUP(C2,Products!A:D,3,FALSE)</f>
        <v>Books</v>
      </c>
      <c r="I2">
        <f>G2*D2*(1-E2)</f>
        <v>4520</v>
      </c>
      <c r="J2" s="2">
        <f>VLOOKUP(B2,Orders!A:C,3,FALSE)</f>
        <v>46260</v>
      </c>
      <c r="K2" s="1" t="str">
        <f>VLOOKUP(B2,Orders!A:B,2,FALSE)</f>
        <v>C0247</v>
      </c>
    </row>
    <row r="3" spans="1:11" x14ac:dyDescent="0.3">
      <c r="A3" s="1" t="s">
        <v>1107</v>
      </c>
      <c r="B3" s="1" t="s">
        <v>1108</v>
      </c>
      <c r="C3" s="1" t="s">
        <v>1109</v>
      </c>
      <c r="D3" s="1">
        <v>5</v>
      </c>
      <c r="E3" s="1">
        <v>0.1</v>
      </c>
      <c r="F3" s="1" t="b">
        <v>0</v>
      </c>
      <c r="G3">
        <f>VLOOKUP(C3,Products!A:D,4,FALSE)</f>
        <v>1475</v>
      </c>
      <c r="H3" t="str">
        <f>VLOOKUP(C3,Products!A:D,3,FALSE)</f>
        <v>Books</v>
      </c>
      <c r="I3">
        <f t="shared" ref="I3:I65" si="0">G3*D3*(1-E3)</f>
        <v>6637.5</v>
      </c>
      <c r="J3" s="2">
        <f>VLOOKUP(B3,Orders!A:C,3,FALSE)</f>
        <v>45812</v>
      </c>
      <c r="K3" s="1" t="str">
        <f>VLOOKUP(B3,Orders!A:B,2,FALSE)</f>
        <v>C0174</v>
      </c>
    </row>
    <row r="4" spans="1:11" x14ac:dyDescent="0.3">
      <c r="A4" s="1" t="s">
        <v>1110</v>
      </c>
      <c r="B4" s="1" t="s">
        <v>1108</v>
      </c>
      <c r="C4" s="1" t="s">
        <v>1111</v>
      </c>
      <c r="D4" s="1">
        <v>4</v>
      </c>
      <c r="E4" s="1">
        <v>0</v>
      </c>
      <c r="F4" s="1" t="b">
        <v>0</v>
      </c>
      <c r="G4">
        <f>VLOOKUP(C4,Products!A:D,4,FALSE)</f>
        <v>2450</v>
      </c>
      <c r="H4" t="str">
        <f>VLOOKUP(C4,Products!A:D,3,FALSE)</f>
        <v>Sports</v>
      </c>
      <c r="I4">
        <f t="shared" si="0"/>
        <v>9800</v>
      </c>
      <c r="J4" s="2">
        <f>VLOOKUP(B4,Orders!A:C,3,FALSE)</f>
        <v>45812</v>
      </c>
      <c r="K4" s="1" t="str">
        <f>VLOOKUP(B4,Orders!A:B,2,FALSE)</f>
        <v>C0174</v>
      </c>
    </row>
    <row r="5" spans="1:11" x14ac:dyDescent="0.3">
      <c r="A5" s="1" t="s">
        <v>1112</v>
      </c>
      <c r="B5" s="1" t="s">
        <v>1108</v>
      </c>
      <c r="C5" s="1" t="s">
        <v>1113</v>
      </c>
      <c r="D5" s="1">
        <v>1</v>
      </c>
      <c r="E5" s="1">
        <v>0.2</v>
      </c>
      <c r="F5" s="1" t="b">
        <v>0</v>
      </c>
      <c r="G5">
        <f>VLOOKUP(C5,Products!A:D,4,FALSE)</f>
        <v>2780</v>
      </c>
      <c r="H5" t="str">
        <f>VLOOKUP(C5,Products!A:D,3,FALSE)</f>
        <v>Apparel</v>
      </c>
      <c r="I5">
        <f t="shared" si="0"/>
        <v>2224</v>
      </c>
      <c r="J5" s="2">
        <f>VLOOKUP(B5,Orders!A:C,3,FALSE)</f>
        <v>45812</v>
      </c>
      <c r="K5" s="1" t="str">
        <f>VLOOKUP(B5,Orders!A:B,2,FALSE)</f>
        <v>C0174</v>
      </c>
    </row>
    <row r="6" spans="1:11" x14ac:dyDescent="0.3">
      <c r="A6" s="1" t="s">
        <v>1114</v>
      </c>
      <c r="B6" s="1" t="s">
        <v>1115</v>
      </c>
      <c r="C6" s="1" t="s">
        <v>1116</v>
      </c>
      <c r="D6" s="1">
        <v>3</v>
      </c>
      <c r="E6" s="1">
        <v>0.05</v>
      </c>
      <c r="F6" s="1" t="b">
        <v>0</v>
      </c>
      <c r="G6">
        <f>VLOOKUP(C6,Products!A:D,4,FALSE)</f>
        <v>3000</v>
      </c>
      <c r="H6" t="str">
        <f>VLOOKUP(C6,Products!A:D,3,FALSE)</f>
        <v>Home &amp; Kitchen</v>
      </c>
      <c r="I6">
        <f t="shared" si="0"/>
        <v>8550</v>
      </c>
      <c r="J6" s="2">
        <f>VLOOKUP(B6,Orders!A:C,3,FALSE)</f>
        <v>46105</v>
      </c>
      <c r="K6" s="1" t="str">
        <f>VLOOKUP(B6,Orders!A:B,2,FALSE)</f>
        <v>C0039</v>
      </c>
    </row>
    <row r="7" spans="1:11" x14ac:dyDescent="0.3">
      <c r="A7" s="1" t="s">
        <v>1117</v>
      </c>
      <c r="B7" s="1" t="s">
        <v>1115</v>
      </c>
      <c r="C7" s="1" t="s">
        <v>1118</v>
      </c>
      <c r="D7" s="1">
        <v>2</v>
      </c>
      <c r="E7" s="1">
        <v>0</v>
      </c>
      <c r="F7" s="1" t="b">
        <v>0</v>
      </c>
      <c r="G7">
        <f>VLOOKUP(C7,Products!A:D,4,FALSE)</f>
        <v>5550</v>
      </c>
      <c r="H7" t="str">
        <f>VLOOKUP(C7,Products!A:D,3,FALSE)</f>
        <v>Home &amp; Kitchen</v>
      </c>
      <c r="I7">
        <f t="shared" si="0"/>
        <v>11100</v>
      </c>
      <c r="J7" s="2">
        <f>VLOOKUP(B7,Orders!A:C,3,FALSE)</f>
        <v>46105</v>
      </c>
      <c r="K7" s="1" t="str">
        <f>VLOOKUP(B7,Orders!A:B,2,FALSE)</f>
        <v>C0039</v>
      </c>
    </row>
    <row r="8" spans="1:11" x14ac:dyDescent="0.3">
      <c r="A8" s="1" t="s">
        <v>1119</v>
      </c>
      <c r="B8" s="1" t="s">
        <v>1120</v>
      </c>
      <c r="C8" s="1" t="s">
        <v>1121</v>
      </c>
      <c r="D8" s="1">
        <v>4</v>
      </c>
      <c r="E8" s="1">
        <v>0.1</v>
      </c>
      <c r="F8" s="1" t="b">
        <v>0</v>
      </c>
      <c r="G8">
        <f>VLOOKUP(C8,Products!A:D,4,FALSE)</f>
        <v>1440</v>
      </c>
      <c r="H8" t="str">
        <f>VLOOKUP(C8,Products!A:D,3,FALSE)</f>
        <v>Sports</v>
      </c>
      <c r="I8">
        <f t="shared" si="0"/>
        <v>5184</v>
      </c>
      <c r="J8" s="2">
        <f>VLOOKUP(B8,Orders!A:C,3,FALSE)</f>
        <v>46234</v>
      </c>
      <c r="K8" s="1" t="str">
        <f>VLOOKUP(B8,Orders!A:B,2,FALSE)</f>
        <v>C0204</v>
      </c>
    </row>
    <row r="9" spans="1:11" x14ac:dyDescent="0.3">
      <c r="A9" s="1" t="s">
        <v>1122</v>
      </c>
      <c r="B9" s="1" t="s">
        <v>1120</v>
      </c>
      <c r="C9" s="1" t="s">
        <v>1123</v>
      </c>
      <c r="D9" s="1">
        <v>2</v>
      </c>
      <c r="E9" s="1">
        <v>0</v>
      </c>
      <c r="F9" s="1" t="b">
        <v>0</v>
      </c>
      <c r="G9">
        <f>VLOOKUP(C9,Products!A:D,4,FALSE)</f>
        <v>2200</v>
      </c>
      <c r="H9" t="str">
        <f>VLOOKUP(C9,Products!A:D,3,FALSE)</f>
        <v>Electronics</v>
      </c>
      <c r="I9">
        <f t="shared" si="0"/>
        <v>4400</v>
      </c>
      <c r="J9" s="2">
        <f>VLOOKUP(B9,Orders!A:C,3,FALSE)</f>
        <v>46234</v>
      </c>
      <c r="K9" s="1" t="str">
        <f>VLOOKUP(B9,Orders!A:B,2,FALSE)</f>
        <v>C0204</v>
      </c>
    </row>
    <row r="10" spans="1:11" x14ac:dyDescent="0.3">
      <c r="A10" s="1" t="s">
        <v>1124</v>
      </c>
      <c r="B10" s="1" t="s">
        <v>1120</v>
      </c>
      <c r="C10" s="1" t="s">
        <v>1125</v>
      </c>
      <c r="D10" s="1">
        <v>1</v>
      </c>
      <c r="E10" s="1">
        <v>0.05</v>
      </c>
      <c r="F10" s="1" t="b">
        <v>0</v>
      </c>
      <c r="G10">
        <f>VLOOKUP(C10,Products!A:D,4,FALSE)</f>
        <v>99</v>
      </c>
      <c r="H10" t="str">
        <f>VLOOKUP(C10,Products!A:D,3,FALSE)</f>
        <v>Electronics</v>
      </c>
      <c r="I10">
        <f t="shared" si="0"/>
        <v>94.05</v>
      </c>
      <c r="J10" s="2">
        <f>VLOOKUP(B10,Orders!A:C,3,FALSE)</f>
        <v>46234</v>
      </c>
      <c r="K10" s="1" t="str">
        <f>VLOOKUP(B10,Orders!A:B,2,FALSE)</f>
        <v>C0204</v>
      </c>
    </row>
    <row r="11" spans="1:11" x14ac:dyDescent="0.3">
      <c r="A11" s="1" t="s">
        <v>1126</v>
      </c>
      <c r="B11" s="1" t="s">
        <v>1120</v>
      </c>
      <c r="C11" s="1" t="s">
        <v>1127</v>
      </c>
      <c r="D11" s="1">
        <v>2</v>
      </c>
      <c r="E11" s="1">
        <v>0</v>
      </c>
      <c r="F11" s="1" t="b">
        <v>0</v>
      </c>
      <c r="G11">
        <f>VLOOKUP(C11,Products!A:D,4,FALSE)</f>
        <v>1660</v>
      </c>
      <c r="H11" t="str">
        <f>VLOOKUP(C11,Products!A:D,3,FALSE)</f>
        <v>Apparel</v>
      </c>
      <c r="I11">
        <f t="shared" si="0"/>
        <v>3320</v>
      </c>
      <c r="J11" s="2">
        <f>VLOOKUP(B11,Orders!A:C,3,FALSE)</f>
        <v>46234</v>
      </c>
      <c r="K11" s="1" t="str">
        <f>VLOOKUP(B11,Orders!A:B,2,FALSE)</f>
        <v>C0204</v>
      </c>
    </row>
    <row r="12" spans="1:11" x14ac:dyDescent="0.3">
      <c r="A12" s="1" t="s">
        <v>1128</v>
      </c>
      <c r="B12" s="1" t="s">
        <v>1129</v>
      </c>
      <c r="C12" s="1" t="s">
        <v>1130</v>
      </c>
      <c r="D12" s="1">
        <v>4</v>
      </c>
      <c r="E12" s="1">
        <v>0</v>
      </c>
      <c r="F12" s="1" t="b">
        <v>0</v>
      </c>
      <c r="G12">
        <f>VLOOKUP(C12,Products!A:D,4,FALSE)</f>
        <v>2400</v>
      </c>
      <c r="H12" t="str">
        <f>VLOOKUP(C12,Products!A:D,3,FALSE)</f>
        <v>Electronics</v>
      </c>
      <c r="I12">
        <f t="shared" si="0"/>
        <v>9600</v>
      </c>
      <c r="J12" s="2">
        <f>VLOOKUP(B12,Orders!A:C,3,FALSE)</f>
        <v>46169</v>
      </c>
      <c r="K12" s="1" t="str">
        <f>VLOOKUP(B12,Orders!A:B,2,FALSE)</f>
        <v>C0188</v>
      </c>
    </row>
    <row r="13" spans="1:11" x14ac:dyDescent="0.3">
      <c r="A13" s="1" t="s">
        <v>1131</v>
      </c>
      <c r="B13" s="1" t="s">
        <v>1129</v>
      </c>
      <c r="C13" s="1" t="s">
        <v>1132</v>
      </c>
      <c r="D13" s="1">
        <v>2</v>
      </c>
      <c r="E13" s="1">
        <v>0.1</v>
      </c>
      <c r="F13" s="1" t="b">
        <v>0</v>
      </c>
      <c r="G13">
        <f>VLOOKUP(C13,Products!A:D,4,FALSE)</f>
        <v>420</v>
      </c>
      <c r="H13" t="str">
        <f>VLOOKUP(C13,Products!A:D,3,FALSE)</f>
        <v>Beauty</v>
      </c>
      <c r="I13">
        <f t="shared" si="0"/>
        <v>756</v>
      </c>
      <c r="J13" s="2">
        <f>VLOOKUP(B13,Orders!A:C,3,FALSE)</f>
        <v>46169</v>
      </c>
      <c r="K13" s="1" t="str">
        <f>VLOOKUP(B13,Orders!A:B,2,FALSE)</f>
        <v>C0188</v>
      </c>
    </row>
    <row r="14" spans="1:11" x14ac:dyDescent="0.3">
      <c r="A14" s="1" t="s">
        <v>1133</v>
      </c>
      <c r="B14" s="1" t="s">
        <v>1134</v>
      </c>
      <c r="C14" s="1" t="s">
        <v>1135</v>
      </c>
      <c r="D14" s="1">
        <v>1</v>
      </c>
      <c r="E14" s="1">
        <v>0</v>
      </c>
      <c r="F14" s="1" t="b">
        <v>0</v>
      </c>
      <c r="G14">
        <f>VLOOKUP(C14,Products!A:D,4,FALSE)</f>
        <v>470</v>
      </c>
      <c r="H14" t="str">
        <f>VLOOKUP(C14,Products!A:D,3,FALSE)</f>
        <v>Apparel</v>
      </c>
      <c r="I14">
        <f t="shared" si="0"/>
        <v>470</v>
      </c>
      <c r="J14" s="2">
        <f>VLOOKUP(B14,Orders!A:C,3,FALSE)</f>
        <v>46133</v>
      </c>
      <c r="K14" s="1" t="str">
        <f>VLOOKUP(B14,Orders!A:B,2,FALSE)</f>
        <v>C0008</v>
      </c>
    </row>
    <row r="15" spans="1:11" x14ac:dyDescent="0.3">
      <c r="A15" s="1" t="s">
        <v>1136</v>
      </c>
      <c r="B15" s="1" t="s">
        <v>1134</v>
      </c>
      <c r="C15" s="1" t="s">
        <v>1137</v>
      </c>
      <c r="D15" s="1">
        <v>4</v>
      </c>
      <c r="E15" s="1">
        <v>0.15</v>
      </c>
      <c r="F15" s="1" t="b">
        <v>0</v>
      </c>
      <c r="G15">
        <f>VLOOKUP(C15,Products!A:D,4,FALSE)</f>
        <v>1910</v>
      </c>
      <c r="H15" t="str">
        <f>VLOOKUP(C15,Products!A:D,3,FALSE)</f>
        <v>Apparel</v>
      </c>
      <c r="I15">
        <f t="shared" si="0"/>
        <v>6494</v>
      </c>
      <c r="J15" s="2">
        <f>VLOOKUP(B15,Orders!A:C,3,FALSE)</f>
        <v>46133</v>
      </c>
      <c r="K15" s="1" t="str">
        <f>VLOOKUP(B15,Orders!A:B,2,FALSE)</f>
        <v>C0008</v>
      </c>
    </row>
    <row r="16" spans="1:11" x14ac:dyDescent="0.3">
      <c r="A16" s="1" t="s">
        <v>1138</v>
      </c>
      <c r="B16" s="1" t="s">
        <v>1139</v>
      </c>
      <c r="C16" s="1" t="s">
        <v>1140</v>
      </c>
      <c r="D16" s="1">
        <v>4</v>
      </c>
      <c r="E16" s="1">
        <v>0.05</v>
      </c>
      <c r="F16" s="1" t="b">
        <v>0</v>
      </c>
      <c r="G16">
        <f>VLOOKUP(C16,Products!A:D,4,FALSE)</f>
        <v>3040</v>
      </c>
      <c r="H16" t="str">
        <f>VLOOKUP(C16,Products!A:D,3,FALSE)</f>
        <v>Electronics</v>
      </c>
      <c r="I16">
        <f t="shared" si="0"/>
        <v>11552</v>
      </c>
      <c r="J16" s="2">
        <f>VLOOKUP(B16,Orders!A:C,3,FALSE)</f>
        <v>45938</v>
      </c>
      <c r="K16" s="1" t="str">
        <f>VLOOKUP(B16,Orders!A:B,2,FALSE)</f>
        <v>C0233</v>
      </c>
    </row>
    <row r="17" spans="1:11" x14ac:dyDescent="0.3">
      <c r="A17" s="1" t="s">
        <v>1141</v>
      </c>
      <c r="B17" s="1" t="s">
        <v>1142</v>
      </c>
      <c r="C17" s="1" t="s">
        <v>1143</v>
      </c>
      <c r="D17" s="1">
        <v>2</v>
      </c>
      <c r="E17" s="1">
        <v>0.15</v>
      </c>
      <c r="F17" s="1" t="b">
        <v>0</v>
      </c>
      <c r="G17">
        <f>VLOOKUP(C17,Products!A:D,4,FALSE)</f>
        <v>2230</v>
      </c>
      <c r="H17" t="str">
        <f>VLOOKUP(C17,Products!A:D,3,FALSE)</f>
        <v>Home &amp; Kitchen</v>
      </c>
      <c r="I17">
        <f t="shared" si="0"/>
        <v>3791</v>
      </c>
      <c r="J17" s="2">
        <f>VLOOKUP(B17,Orders!A:C,3,FALSE)</f>
        <v>46254</v>
      </c>
      <c r="K17" s="1" t="str">
        <f>VLOOKUP(B17,Orders!A:B,2,FALSE)</f>
        <v>C0300</v>
      </c>
    </row>
    <row r="18" spans="1:11" x14ac:dyDescent="0.3">
      <c r="A18" s="1" t="s">
        <v>1144</v>
      </c>
      <c r="B18" s="1" t="s">
        <v>1145</v>
      </c>
      <c r="C18" s="1" t="s">
        <v>1146</v>
      </c>
      <c r="D18" s="1">
        <v>3</v>
      </c>
      <c r="E18" s="1">
        <v>0.2</v>
      </c>
      <c r="F18" s="1" t="b">
        <v>0</v>
      </c>
      <c r="G18">
        <f>VLOOKUP(C18,Products!A:D,4,FALSE)</f>
        <v>1630</v>
      </c>
      <c r="H18" t="str">
        <f>VLOOKUP(C18,Products!A:D,3,FALSE)</f>
        <v>Beauty</v>
      </c>
      <c r="I18">
        <f t="shared" si="0"/>
        <v>3912</v>
      </c>
      <c r="J18" s="2">
        <f>VLOOKUP(B18,Orders!A:C,3,FALSE)</f>
        <v>46037</v>
      </c>
      <c r="K18" s="1" t="str">
        <f>VLOOKUP(B18,Orders!A:B,2,FALSE)</f>
        <v>C0056</v>
      </c>
    </row>
    <row r="19" spans="1:11" x14ac:dyDescent="0.3">
      <c r="A19" s="1" t="s">
        <v>1147</v>
      </c>
      <c r="B19" s="1" t="s">
        <v>1148</v>
      </c>
      <c r="C19" s="1" t="s">
        <v>1149</v>
      </c>
      <c r="D19" s="1">
        <v>1</v>
      </c>
      <c r="E19" s="1">
        <v>0.15</v>
      </c>
      <c r="F19" s="1" t="b">
        <v>0</v>
      </c>
      <c r="G19">
        <f>VLOOKUP(C19,Products!A:D,4,FALSE)</f>
        <v>1150</v>
      </c>
      <c r="H19" t="str">
        <f>VLOOKUP(C19,Products!A:D,3,FALSE)</f>
        <v>Apparel</v>
      </c>
      <c r="I19">
        <f t="shared" si="0"/>
        <v>977.5</v>
      </c>
      <c r="J19" s="2">
        <f>VLOOKUP(B19,Orders!A:C,3,FALSE)</f>
        <v>46038</v>
      </c>
      <c r="K19" s="1" t="str">
        <f>VLOOKUP(B19,Orders!A:B,2,FALSE)</f>
        <v>C0013</v>
      </c>
    </row>
    <row r="20" spans="1:11" x14ac:dyDescent="0.3">
      <c r="A20" s="1" t="s">
        <v>1150</v>
      </c>
      <c r="B20" s="1" t="s">
        <v>1148</v>
      </c>
      <c r="C20" s="1" t="s">
        <v>1130</v>
      </c>
      <c r="D20" s="1">
        <v>2</v>
      </c>
      <c r="E20" s="1">
        <v>0</v>
      </c>
      <c r="F20" s="1" t="b">
        <v>0</v>
      </c>
      <c r="G20">
        <f>VLOOKUP(C20,Products!A:D,4,FALSE)</f>
        <v>2400</v>
      </c>
      <c r="H20" t="str">
        <f>VLOOKUP(C20,Products!A:D,3,FALSE)</f>
        <v>Electronics</v>
      </c>
      <c r="I20">
        <f t="shared" si="0"/>
        <v>4800</v>
      </c>
      <c r="J20" s="2">
        <f>VLOOKUP(B20,Orders!A:C,3,FALSE)</f>
        <v>46038</v>
      </c>
      <c r="K20" s="1" t="str">
        <f>VLOOKUP(B20,Orders!A:B,2,FALSE)</f>
        <v>C0013</v>
      </c>
    </row>
    <row r="21" spans="1:11" x14ac:dyDescent="0.3">
      <c r="A21" s="1" t="s">
        <v>1151</v>
      </c>
      <c r="B21" s="1" t="s">
        <v>1148</v>
      </c>
      <c r="C21" s="1" t="s">
        <v>1152</v>
      </c>
      <c r="D21" s="1">
        <v>3</v>
      </c>
      <c r="E21" s="1">
        <v>0</v>
      </c>
      <c r="F21" s="1" t="b">
        <v>0</v>
      </c>
      <c r="G21">
        <f>VLOOKUP(C21,Products!A:D,4,FALSE)</f>
        <v>2250</v>
      </c>
      <c r="H21" t="str">
        <f>VLOOKUP(C21,Products!A:D,3,FALSE)</f>
        <v>Home &amp; Kitchen</v>
      </c>
      <c r="I21">
        <f t="shared" si="0"/>
        <v>6750</v>
      </c>
      <c r="J21" s="2">
        <f>VLOOKUP(B21,Orders!A:C,3,FALSE)</f>
        <v>46038</v>
      </c>
      <c r="K21" s="1" t="str">
        <f>VLOOKUP(B21,Orders!A:B,2,FALSE)</f>
        <v>C0013</v>
      </c>
    </row>
    <row r="22" spans="1:11" x14ac:dyDescent="0.3">
      <c r="A22" s="1" t="s">
        <v>1153</v>
      </c>
      <c r="B22" s="1" t="s">
        <v>1154</v>
      </c>
      <c r="C22" s="1" t="s">
        <v>1113</v>
      </c>
      <c r="D22" s="1">
        <v>5</v>
      </c>
      <c r="E22" s="1">
        <v>0</v>
      </c>
      <c r="F22" s="1" t="b">
        <v>0</v>
      </c>
      <c r="G22">
        <f>VLOOKUP(C22,Products!A:D,4,FALSE)</f>
        <v>2780</v>
      </c>
      <c r="H22" t="str">
        <f>VLOOKUP(C22,Products!A:D,3,FALSE)</f>
        <v>Apparel</v>
      </c>
      <c r="I22">
        <f t="shared" si="0"/>
        <v>13900</v>
      </c>
      <c r="J22" s="2">
        <f>VLOOKUP(B22,Orders!A:C,3,FALSE)</f>
        <v>45801</v>
      </c>
      <c r="K22" s="1" t="str">
        <f>VLOOKUP(B22,Orders!A:B,2,FALSE)</f>
        <v>C0168</v>
      </c>
    </row>
    <row r="23" spans="1:11" x14ac:dyDescent="0.3">
      <c r="A23" s="1" t="s">
        <v>1155</v>
      </c>
      <c r="B23" s="1" t="s">
        <v>1156</v>
      </c>
      <c r="C23" s="1" t="s">
        <v>1157</v>
      </c>
      <c r="D23" s="1">
        <v>3</v>
      </c>
      <c r="E23" s="1">
        <v>0</v>
      </c>
      <c r="F23" s="1" t="b">
        <v>0</v>
      </c>
      <c r="G23">
        <f>VLOOKUP(C23,Products!A:D,4,FALSE)</f>
        <v>1520</v>
      </c>
      <c r="H23" t="str">
        <f>VLOOKUP(C23,Products!A:D,3,FALSE)</f>
        <v>Books</v>
      </c>
      <c r="I23">
        <f t="shared" si="0"/>
        <v>4560</v>
      </c>
      <c r="J23" s="2">
        <f>VLOOKUP(B23,Orders!A:C,3,FALSE)</f>
        <v>45736</v>
      </c>
      <c r="K23" s="1" t="str">
        <f>VLOOKUP(B23,Orders!A:B,2,FALSE)</f>
        <v>C0033</v>
      </c>
    </row>
    <row r="24" spans="1:11" x14ac:dyDescent="0.3">
      <c r="A24" s="1" t="s">
        <v>1158</v>
      </c>
      <c r="B24" s="1" t="s">
        <v>1159</v>
      </c>
      <c r="C24" s="1" t="s">
        <v>1160</v>
      </c>
      <c r="D24" s="1">
        <v>5</v>
      </c>
      <c r="E24" s="1">
        <v>0.1</v>
      </c>
      <c r="F24" s="1" t="b">
        <v>0</v>
      </c>
      <c r="G24">
        <f>VLOOKUP(C24,Products!A:D,4,FALSE)</f>
        <v>1710</v>
      </c>
      <c r="H24" t="str">
        <f>VLOOKUP(C24,Products!A:D,3,FALSE)</f>
        <v>Home &amp; Kitchen</v>
      </c>
      <c r="I24">
        <f t="shared" si="0"/>
        <v>7695</v>
      </c>
      <c r="J24" s="2">
        <f>VLOOKUP(B24,Orders!A:C,3,FALSE)</f>
        <v>46060</v>
      </c>
      <c r="K24" s="1" t="str">
        <f>VLOOKUP(B24,Orders!A:B,2,FALSE)</f>
        <v>C0155</v>
      </c>
    </row>
    <row r="25" spans="1:11" x14ac:dyDescent="0.3">
      <c r="A25" s="1" t="s">
        <v>1161</v>
      </c>
      <c r="B25" s="1" t="s">
        <v>1162</v>
      </c>
      <c r="C25" s="1" t="s">
        <v>1163</v>
      </c>
      <c r="D25" s="1">
        <v>3</v>
      </c>
      <c r="E25" s="1">
        <v>0.05</v>
      </c>
      <c r="F25" s="1" t="b">
        <v>0</v>
      </c>
      <c r="G25">
        <f>VLOOKUP(C25,Products!A:D,4,FALSE)</f>
        <v>2180</v>
      </c>
      <c r="H25" t="str">
        <f>VLOOKUP(C25,Products!A:D,3,FALSE)</f>
        <v>Electronics</v>
      </c>
      <c r="I25">
        <f t="shared" si="0"/>
        <v>6213</v>
      </c>
      <c r="J25" s="2">
        <f>VLOOKUP(B25,Orders!A:C,3,FALSE)</f>
        <v>46028</v>
      </c>
      <c r="K25" s="1" t="str">
        <f>VLOOKUP(B25,Orders!A:B,2,FALSE)</f>
        <v>C0072</v>
      </c>
    </row>
    <row r="26" spans="1:11" x14ac:dyDescent="0.3">
      <c r="A26" s="1" t="s">
        <v>1164</v>
      </c>
      <c r="B26" s="1" t="s">
        <v>1165</v>
      </c>
      <c r="C26" s="1" t="s">
        <v>1149</v>
      </c>
      <c r="D26" s="1">
        <v>2</v>
      </c>
      <c r="E26" s="1">
        <v>0.2</v>
      </c>
      <c r="F26" s="1" t="b">
        <v>0</v>
      </c>
      <c r="G26">
        <f>VLOOKUP(C26,Products!A:D,4,FALSE)</f>
        <v>1150</v>
      </c>
      <c r="H26" t="str">
        <f>VLOOKUP(C26,Products!A:D,3,FALSE)</f>
        <v>Apparel</v>
      </c>
      <c r="I26">
        <f t="shared" si="0"/>
        <v>1840</v>
      </c>
      <c r="J26" s="2">
        <f>VLOOKUP(B26,Orders!A:C,3,FALSE)</f>
        <v>46252</v>
      </c>
      <c r="K26" s="1" t="str">
        <f>VLOOKUP(B26,Orders!A:B,2,FALSE)</f>
        <v>C0156</v>
      </c>
    </row>
    <row r="27" spans="1:11" x14ac:dyDescent="0.3">
      <c r="A27" s="1" t="s">
        <v>1166</v>
      </c>
      <c r="B27" s="1" t="s">
        <v>1167</v>
      </c>
      <c r="C27" s="1" t="s">
        <v>1168</v>
      </c>
      <c r="D27" s="1">
        <v>2</v>
      </c>
      <c r="E27" s="1">
        <v>0.15</v>
      </c>
      <c r="F27" s="1" t="b">
        <v>0</v>
      </c>
      <c r="G27">
        <f>VLOOKUP(C27,Products!A:D,4,FALSE)</f>
        <v>1440</v>
      </c>
      <c r="H27" t="str">
        <f>VLOOKUP(C27,Products!A:D,3,FALSE)</f>
        <v>Sports</v>
      </c>
      <c r="I27">
        <f t="shared" si="0"/>
        <v>2448</v>
      </c>
      <c r="J27" s="2">
        <f>VLOOKUP(B27,Orders!A:C,3,FALSE)</f>
        <v>45900</v>
      </c>
      <c r="K27" s="1" t="str">
        <f>VLOOKUP(B27,Orders!A:B,2,FALSE)</f>
        <v>C0050</v>
      </c>
    </row>
    <row r="28" spans="1:11" x14ac:dyDescent="0.3">
      <c r="A28" s="1" t="s">
        <v>1169</v>
      </c>
      <c r="B28" s="1" t="s">
        <v>1170</v>
      </c>
      <c r="C28" s="1" t="s">
        <v>1171</v>
      </c>
      <c r="D28" s="1">
        <v>1</v>
      </c>
      <c r="E28" s="1">
        <v>0.1</v>
      </c>
      <c r="F28" s="1" t="b">
        <v>0</v>
      </c>
      <c r="G28">
        <f>VLOOKUP(C28,Products!A:D,4,FALSE)</f>
        <v>2250</v>
      </c>
      <c r="H28" t="str">
        <f>VLOOKUP(C28,Products!A:D,3,FALSE)</f>
        <v>Home &amp; Kitchen</v>
      </c>
      <c r="I28">
        <f t="shared" si="0"/>
        <v>2025</v>
      </c>
      <c r="J28" s="2">
        <f>VLOOKUP(B28,Orders!A:C,3,FALSE)</f>
        <v>46144</v>
      </c>
      <c r="K28" s="1" t="str">
        <f>VLOOKUP(B28,Orders!A:B,2,FALSE)</f>
        <v>C0070</v>
      </c>
    </row>
    <row r="29" spans="1:11" x14ac:dyDescent="0.3">
      <c r="A29" s="1" t="s">
        <v>1172</v>
      </c>
      <c r="B29" s="1" t="s">
        <v>1170</v>
      </c>
      <c r="C29" s="1" t="s">
        <v>1113</v>
      </c>
      <c r="D29" s="1">
        <v>2</v>
      </c>
      <c r="E29" s="1">
        <v>0</v>
      </c>
      <c r="F29" s="1" t="b">
        <v>0</v>
      </c>
      <c r="G29">
        <f>VLOOKUP(C29,Products!A:D,4,FALSE)</f>
        <v>2780</v>
      </c>
      <c r="H29" t="str">
        <f>VLOOKUP(C29,Products!A:D,3,FALSE)</f>
        <v>Apparel</v>
      </c>
      <c r="I29">
        <f t="shared" si="0"/>
        <v>5560</v>
      </c>
      <c r="J29" s="2">
        <f>VLOOKUP(B29,Orders!A:C,3,FALSE)</f>
        <v>46144</v>
      </c>
      <c r="K29" s="1" t="str">
        <f>VLOOKUP(B29,Orders!A:B,2,FALSE)</f>
        <v>C0070</v>
      </c>
    </row>
    <row r="30" spans="1:11" x14ac:dyDescent="0.3">
      <c r="A30" s="1" t="s">
        <v>1173</v>
      </c>
      <c r="B30" s="1" t="s">
        <v>1170</v>
      </c>
      <c r="C30" s="1" t="s">
        <v>1174</v>
      </c>
      <c r="D30" s="1">
        <v>1</v>
      </c>
      <c r="E30" s="1">
        <v>0.05</v>
      </c>
      <c r="F30" s="1" t="b">
        <v>0</v>
      </c>
      <c r="G30">
        <f>VLOOKUP(C30,Products!A:D,4,FALSE)</f>
        <v>1250</v>
      </c>
      <c r="H30" t="str">
        <f>VLOOKUP(C30,Products!A:D,3,FALSE)</f>
        <v>Sports</v>
      </c>
      <c r="I30">
        <f t="shared" si="0"/>
        <v>1187.5</v>
      </c>
      <c r="J30" s="2">
        <f>VLOOKUP(B30,Orders!A:C,3,FALSE)</f>
        <v>46144</v>
      </c>
      <c r="K30" s="1" t="str">
        <f>VLOOKUP(B30,Orders!A:B,2,FALSE)</f>
        <v>C0070</v>
      </c>
    </row>
    <row r="31" spans="1:11" x14ac:dyDescent="0.3">
      <c r="A31" s="1" t="s">
        <v>1175</v>
      </c>
      <c r="B31" s="1" t="s">
        <v>1170</v>
      </c>
      <c r="C31" s="1" t="s">
        <v>1176</v>
      </c>
      <c r="D31" s="1">
        <v>5</v>
      </c>
      <c r="E31" s="1">
        <v>0.1</v>
      </c>
      <c r="F31" s="1" t="b">
        <v>0</v>
      </c>
      <c r="G31">
        <f>VLOOKUP(C31,Products!A:D,4,FALSE)</f>
        <v>2670</v>
      </c>
      <c r="H31" t="str">
        <f>VLOOKUP(C31,Products!A:D,3,FALSE)</f>
        <v>Beauty</v>
      </c>
      <c r="I31">
        <f t="shared" si="0"/>
        <v>12015</v>
      </c>
      <c r="J31" s="2">
        <f>VLOOKUP(B31,Orders!A:C,3,FALSE)</f>
        <v>46144</v>
      </c>
      <c r="K31" s="1" t="str">
        <f>VLOOKUP(B31,Orders!A:B,2,FALSE)</f>
        <v>C0070</v>
      </c>
    </row>
    <row r="32" spans="1:11" x14ac:dyDescent="0.3">
      <c r="A32" s="1" t="s">
        <v>1177</v>
      </c>
      <c r="B32" s="1" t="s">
        <v>1178</v>
      </c>
      <c r="C32" s="1" t="s">
        <v>1118</v>
      </c>
      <c r="D32" s="1">
        <v>1</v>
      </c>
      <c r="E32" s="1">
        <v>0.15</v>
      </c>
      <c r="F32" s="1" t="b">
        <v>0</v>
      </c>
      <c r="G32">
        <f>VLOOKUP(C32,Products!A:D,4,FALSE)</f>
        <v>5550</v>
      </c>
      <c r="H32" t="str">
        <f>VLOOKUP(C32,Products!A:D,3,FALSE)</f>
        <v>Home &amp; Kitchen</v>
      </c>
      <c r="I32">
        <f t="shared" si="0"/>
        <v>4717.5</v>
      </c>
      <c r="J32" s="2">
        <f>VLOOKUP(B32,Orders!A:C,3,FALSE)</f>
        <v>46229</v>
      </c>
      <c r="K32" s="1" t="str">
        <f>VLOOKUP(B32,Orders!A:B,2,FALSE)</f>
        <v>C0277</v>
      </c>
    </row>
    <row r="33" spans="1:11" x14ac:dyDescent="0.3">
      <c r="A33" s="1" t="s">
        <v>1179</v>
      </c>
      <c r="B33" s="1" t="s">
        <v>1180</v>
      </c>
      <c r="C33" s="1" t="s">
        <v>1118</v>
      </c>
      <c r="D33" s="1">
        <v>1</v>
      </c>
      <c r="E33" s="1">
        <v>0.05</v>
      </c>
      <c r="F33" s="1" t="b">
        <v>0</v>
      </c>
      <c r="G33">
        <f>VLOOKUP(C33,Products!A:D,4,FALSE)</f>
        <v>5550</v>
      </c>
      <c r="H33" t="str">
        <f>VLOOKUP(C33,Products!A:D,3,FALSE)</f>
        <v>Home &amp; Kitchen</v>
      </c>
      <c r="I33">
        <f t="shared" si="0"/>
        <v>5272.5</v>
      </c>
      <c r="J33" s="2">
        <f>VLOOKUP(B33,Orders!A:C,3,FALSE)</f>
        <v>45922</v>
      </c>
      <c r="K33" s="1" t="str">
        <f>VLOOKUP(B33,Orders!A:B,2,FALSE)</f>
        <v>C0080</v>
      </c>
    </row>
    <row r="34" spans="1:11" x14ac:dyDescent="0.3">
      <c r="A34" s="1" t="s">
        <v>1181</v>
      </c>
      <c r="B34" s="1" t="s">
        <v>1180</v>
      </c>
      <c r="C34" s="1" t="s">
        <v>1182</v>
      </c>
      <c r="D34" s="1">
        <v>4</v>
      </c>
      <c r="E34" s="1">
        <v>0</v>
      </c>
      <c r="F34" s="1" t="b">
        <v>0</v>
      </c>
      <c r="G34">
        <f>VLOOKUP(C34,Products!A:D,4,FALSE)</f>
        <v>790</v>
      </c>
      <c r="H34" t="str">
        <f>VLOOKUP(C34,Products!A:D,3,FALSE)</f>
        <v>Sports</v>
      </c>
      <c r="I34">
        <f t="shared" si="0"/>
        <v>3160</v>
      </c>
      <c r="J34" s="2">
        <f>VLOOKUP(B34,Orders!A:C,3,FALSE)</f>
        <v>45922</v>
      </c>
      <c r="K34" s="1" t="str">
        <f>VLOOKUP(B34,Orders!A:B,2,FALSE)</f>
        <v>C0080</v>
      </c>
    </row>
    <row r="35" spans="1:11" x14ac:dyDescent="0.3">
      <c r="A35" s="1" t="s">
        <v>1183</v>
      </c>
      <c r="B35" s="1" t="s">
        <v>1180</v>
      </c>
      <c r="C35" s="1" t="s">
        <v>1184</v>
      </c>
      <c r="D35" s="1">
        <v>3</v>
      </c>
      <c r="E35" s="1">
        <v>0.05</v>
      </c>
      <c r="F35" s="1" t="b">
        <v>0</v>
      </c>
      <c r="G35">
        <f>VLOOKUP(C35,Products!A:D,4,FALSE)</f>
        <v>2230</v>
      </c>
      <c r="H35" t="str">
        <f>VLOOKUP(C35,Products!A:D,3,FALSE)</f>
        <v>Sports</v>
      </c>
      <c r="I35">
        <f t="shared" si="0"/>
        <v>6355.5</v>
      </c>
      <c r="J35" s="2">
        <f>VLOOKUP(B35,Orders!A:C,3,FALSE)</f>
        <v>45922</v>
      </c>
      <c r="K35" s="1" t="str">
        <f>VLOOKUP(B35,Orders!A:B,2,FALSE)</f>
        <v>C0080</v>
      </c>
    </row>
    <row r="36" spans="1:11" x14ac:dyDescent="0.3">
      <c r="A36" s="1" t="s">
        <v>1185</v>
      </c>
      <c r="B36" s="1" t="s">
        <v>1186</v>
      </c>
      <c r="C36" s="1" t="s">
        <v>1132</v>
      </c>
      <c r="D36" s="1">
        <v>1</v>
      </c>
      <c r="E36" s="1">
        <v>0</v>
      </c>
      <c r="F36" s="1" t="b">
        <v>0</v>
      </c>
      <c r="G36">
        <f>VLOOKUP(C36,Products!A:D,4,FALSE)</f>
        <v>420</v>
      </c>
      <c r="H36" t="str">
        <f>VLOOKUP(C36,Products!A:D,3,FALSE)</f>
        <v>Beauty</v>
      </c>
      <c r="I36">
        <f t="shared" si="0"/>
        <v>420</v>
      </c>
      <c r="J36" s="2">
        <f>VLOOKUP(B36,Orders!A:C,3,FALSE)</f>
        <v>45960</v>
      </c>
      <c r="K36" s="1" t="str">
        <f>VLOOKUP(B36,Orders!A:B,2,FALSE)</f>
        <v>C0251</v>
      </c>
    </row>
    <row r="37" spans="1:11" x14ac:dyDescent="0.3">
      <c r="A37" s="1" t="s">
        <v>1187</v>
      </c>
      <c r="B37" s="1" t="s">
        <v>1186</v>
      </c>
      <c r="C37" s="1" t="s">
        <v>1188</v>
      </c>
      <c r="D37" s="1">
        <v>1</v>
      </c>
      <c r="E37" s="1">
        <v>0.15</v>
      </c>
      <c r="F37" s="1" t="b">
        <v>0</v>
      </c>
      <c r="G37">
        <f>VLOOKUP(C37,Products!A:D,4,FALSE)</f>
        <v>2530</v>
      </c>
      <c r="H37" t="str">
        <f>VLOOKUP(C37,Products!A:D,3,FALSE)</f>
        <v>Beauty</v>
      </c>
      <c r="I37">
        <f t="shared" si="0"/>
        <v>2150.5</v>
      </c>
      <c r="J37" s="2">
        <f>VLOOKUP(B37,Orders!A:C,3,FALSE)</f>
        <v>45960</v>
      </c>
      <c r="K37" s="1" t="str">
        <f>VLOOKUP(B37,Orders!A:B,2,FALSE)</f>
        <v>C0251</v>
      </c>
    </row>
    <row r="38" spans="1:11" x14ac:dyDescent="0.3">
      <c r="A38" s="1" t="s">
        <v>1189</v>
      </c>
      <c r="B38" s="1" t="s">
        <v>1190</v>
      </c>
      <c r="C38" s="1" t="s">
        <v>1191</v>
      </c>
      <c r="D38" s="1">
        <v>5</v>
      </c>
      <c r="E38" s="1">
        <v>0.15</v>
      </c>
      <c r="F38" s="1" t="b">
        <v>0</v>
      </c>
      <c r="G38">
        <f>VLOOKUP(C38,Products!A:D,4,FALSE)</f>
        <v>99</v>
      </c>
      <c r="H38" t="str">
        <f>VLOOKUP(C38,Products!A:D,3,FALSE)</f>
        <v>Sports</v>
      </c>
      <c r="I38">
        <f t="shared" si="0"/>
        <v>420.75</v>
      </c>
      <c r="J38" s="2">
        <f>VLOOKUP(B38,Orders!A:C,3,FALSE)</f>
        <v>46087</v>
      </c>
      <c r="K38" s="1" t="str">
        <f>VLOOKUP(B38,Orders!A:B,2,FALSE)</f>
        <v>C0017</v>
      </c>
    </row>
    <row r="39" spans="1:11" x14ac:dyDescent="0.3">
      <c r="A39" s="1" t="s">
        <v>1192</v>
      </c>
      <c r="B39" s="1" t="s">
        <v>1190</v>
      </c>
      <c r="C39" s="1" t="s">
        <v>1163</v>
      </c>
      <c r="D39" s="1">
        <v>4</v>
      </c>
      <c r="E39" s="1">
        <v>0.2</v>
      </c>
      <c r="F39" s="1" t="b">
        <v>0</v>
      </c>
      <c r="G39">
        <f>VLOOKUP(C39,Products!A:D,4,FALSE)</f>
        <v>2180</v>
      </c>
      <c r="H39" t="str">
        <f>VLOOKUP(C39,Products!A:D,3,FALSE)</f>
        <v>Electronics</v>
      </c>
      <c r="I39">
        <f t="shared" si="0"/>
        <v>6976</v>
      </c>
      <c r="J39" s="2">
        <f>VLOOKUP(B39,Orders!A:C,3,FALSE)</f>
        <v>46087</v>
      </c>
      <c r="K39" s="1" t="str">
        <f>VLOOKUP(B39,Orders!A:B,2,FALSE)</f>
        <v>C0017</v>
      </c>
    </row>
    <row r="40" spans="1:11" x14ac:dyDescent="0.3">
      <c r="A40" s="1" t="s">
        <v>1193</v>
      </c>
      <c r="B40" s="1" t="s">
        <v>1194</v>
      </c>
      <c r="C40" s="1" t="s">
        <v>1195</v>
      </c>
      <c r="D40" s="1">
        <v>5</v>
      </c>
      <c r="E40" s="1">
        <v>0</v>
      </c>
      <c r="F40" s="1" t="b">
        <v>0</v>
      </c>
      <c r="G40">
        <f>VLOOKUP(C40,Products!A:D,4,FALSE)</f>
        <v>3430</v>
      </c>
      <c r="H40" t="str">
        <f>VLOOKUP(C40,Products!A:D,3,FALSE)</f>
        <v>Books</v>
      </c>
      <c r="I40">
        <f t="shared" si="0"/>
        <v>17150</v>
      </c>
      <c r="J40" s="2">
        <f>VLOOKUP(B40,Orders!A:C,3,FALSE)</f>
        <v>46014</v>
      </c>
      <c r="K40" s="1" t="str">
        <f>VLOOKUP(B40,Orders!A:B,2,FALSE)</f>
        <v>C0228</v>
      </c>
    </row>
    <row r="41" spans="1:11" x14ac:dyDescent="0.3">
      <c r="A41" s="1" t="s">
        <v>1196</v>
      </c>
      <c r="B41" s="1" t="s">
        <v>1194</v>
      </c>
      <c r="C41" s="1" t="s">
        <v>1197</v>
      </c>
      <c r="D41" s="1">
        <v>1</v>
      </c>
      <c r="E41" s="1">
        <v>0.2</v>
      </c>
      <c r="F41" s="1" t="b">
        <v>0</v>
      </c>
      <c r="G41">
        <f>VLOOKUP(C41,Products!A:D,4,FALSE)</f>
        <v>2050</v>
      </c>
      <c r="H41" t="str">
        <f>VLOOKUP(C41,Products!A:D,3,FALSE)</f>
        <v>Apparel</v>
      </c>
      <c r="I41">
        <f t="shared" si="0"/>
        <v>1640</v>
      </c>
      <c r="J41" s="2">
        <f>VLOOKUP(B41,Orders!A:C,3,FALSE)</f>
        <v>46014</v>
      </c>
      <c r="K41" s="1" t="str">
        <f>VLOOKUP(B41,Orders!A:B,2,FALSE)</f>
        <v>C0228</v>
      </c>
    </row>
    <row r="42" spans="1:11" x14ac:dyDescent="0.3">
      <c r="A42" s="1" t="s">
        <v>1198</v>
      </c>
      <c r="B42" s="1" t="s">
        <v>1194</v>
      </c>
      <c r="C42" s="1" t="s">
        <v>1199</v>
      </c>
      <c r="D42" s="1">
        <v>4</v>
      </c>
      <c r="E42" s="1">
        <v>0</v>
      </c>
      <c r="F42" s="1" t="b">
        <v>0</v>
      </c>
      <c r="G42">
        <f>VLOOKUP(C42,Products!A:D,4,FALSE)</f>
        <v>99</v>
      </c>
      <c r="H42" t="str">
        <f>VLOOKUP(C42,Products!A:D,3,FALSE)</f>
        <v>Electronics</v>
      </c>
      <c r="I42">
        <f t="shared" si="0"/>
        <v>396</v>
      </c>
      <c r="J42" s="2">
        <f>VLOOKUP(B42,Orders!A:C,3,FALSE)</f>
        <v>46014</v>
      </c>
      <c r="K42" s="1" t="str">
        <f>VLOOKUP(B42,Orders!A:B,2,FALSE)</f>
        <v>C0228</v>
      </c>
    </row>
    <row r="43" spans="1:11" x14ac:dyDescent="0.3">
      <c r="A43" s="1" t="s">
        <v>1200</v>
      </c>
      <c r="B43" s="1" t="s">
        <v>1201</v>
      </c>
      <c r="C43" s="1" t="s">
        <v>1202</v>
      </c>
      <c r="D43" s="1">
        <v>5</v>
      </c>
      <c r="E43" s="1">
        <v>0</v>
      </c>
      <c r="F43" s="1" t="b">
        <v>0</v>
      </c>
      <c r="G43">
        <f>VLOOKUP(C43,Products!A:D,4,FALSE)</f>
        <v>530</v>
      </c>
      <c r="H43" t="str">
        <f>VLOOKUP(C43,Products!A:D,3,FALSE)</f>
        <v>Beauty</v>
      </c>
      <c r="I43">
        <f t="shared" si="0"/>
        <v>2650</v>
      </c>
      <c r="J43" s="2">
        <f>VLOOKUP(B43,Orders!A:C,3,FALSE)</f>
        <v>45822</v>
      </c>
      <c r="K43" s="1" t="str">
        <f>VLOOKUP(B43,Orders!A:B,2,FALSE)</f>
        <v>C0186</v>
      </c>
    </row>
    <row r="44" spans="1:11" x14ac:dyDescent="0.3">
      <c r="A44" s="1" t="s">
        <v>1203</v>
      </c>
      <c r="B44" s="1" t="s">
        <v>1201</v>
      </c>
      <c r="C44" s="1" t="s">
        <v>1204</v>
      </c>
      <c r="D44" s="1">
        <v>4</v>
      </c>
      <c r="E44" s="1">
        <v>0</v>
      </c>
      <c r="F44" s="1" t="b">
        <v>0</v>
      </c>
      <c r="G44">
        <f>VLOOKUP(C44,Products!A:D,4,FALSE)</f>
        <v>940</v>
      </c>
      <c r="H44" t="str">
        <f>VLOOKUP(C44,Products!A:D,3,FALSE)</f>
        <v>Apparel</v>
      </c>
      <c r="I44">
        <f t="shared" si="0"/>
        <v>3760</v>
      </c>
      <c r="J44" s="2">
        <f>VLOOKUP(B44,Orders!A:C,3,FALSE)</f>
        <v>45822</v>
      </c>
      <c r="K44" s="1" t="str">
        <f>VLOOKUP(B44,Orders!A:B,2,FALSE)</f>
        <v>C0186</v>
      </c>
    </row>
    <row r="45" spans="1:11" x14ac:dyDescent="0.3">
      <c r="A45" s="1" t="s">
        <v>1205</v>
      </c>
      <c r="B45" s="1" t="s">
        <v>1206</v>
      </c>
      <c r="C45" s="1" t="s">
        <v>1184</v>
      </c>
      <c r="D45" s="1">
        <v>4</v>
      </c>
      <c r="E45" s="1">
        <v>0</v>
      </c>
      <c r="F45" s="1" t="b">
        <v>0</v>
      </c>
      <c r="G45">
        <f>VLOOKUP(C45,Products!A:D,4,FALSE)</f>
        <v>2230</v>
      </c>
      <c r="H45" t="str">
        <f>VLOOKUP(C45,Products!A:D,3,FALSE)</f>
        <v>Sports</v>
      </c>
      <c r="I45">
        <f t="shared" si="0"/>
        <v>8920</v>
      </c>
      <c r="J45" s="2">
        <f>VLOOKUP(B45,Orders!A:C,3,FALSE)</f>
        <v>45854</v>
      </c>
      <c r="K45" s="1" t="str">
        <f>VLOOKUP(B45,Orders!A:B,2,FALSE)</f>
        <v>C0279</v>
      </c>
    </row>
    <row r="46" spans="1:11" x14ac:dyDescent="0.3">
      <c r="A46" s="1" t="s">
        <v>1207</v>
      </c>
      <c r="B46" s="1" t="s">
        <v>1208</v>
      </c>
      <c r="C46" s="1" t="s">
        <v>1209</v>
      </c>
      <c r="D46" s="1">
        <v>3</v>
      </c>
      <c r="E46" s="1">
        <v>0</v>
      </c>
      <c r="F46" s="1" t="b">
        <v>0</v>
      </c>
      <c r="G46">
        <f>VLOOKUP(C46,Products!A:D,4,FALSE)</f>
        <v>1580</v>
      </c>
      <c r="H46" t="str">
        <f>VLOOKUP(C46,Products!A:D,3,FALSE)</f>
        <v>Apparel</v>
      </c>
      <c r="I46">
        <f t="shared" si="0"/>
        <v>4740</v>
      </c>
      <c r="J46" s="2">
        <f>VLOOKUP(B46,Orders!A:C,3,FALSE)</f>
        <v>46191</v>
      </c>
      <c r="K46" s="1" t="str">
        <f>VLOOKUP(B46,Orders!A:B,2,FALSE)</f>
        <v>C0032</v>
      </c>
    </row>
    <row r="47" spans="1:11" x14ac:dyDescent="0.3">
      <c r="A47" s="1" t="s">
        <v>1210</v>
      </c>
      <c r="B47" s="1" t="s">
        <v>1208</v>
      </c>
      <c r="C47" s="1" t="s">
        <v>1130</v>
      </c>
      <c r="D47" s="1">
        <v>1</v>
      </c>
      <c r="E47" s="1">
        <v>0.15</v>
      </c>
      <c r="F47" s="1" t="b">
        <v>0</v>
      </c>
      <c r="G47">
        <f>VLOOKUP(C47,Products!A:D,4,FALSE)</f>
        <v>2400</v>
      </c>
      <c r="H47" t="str">
        <f>VLOOKUP(C47,Products!A:D,3,FALSE)</f>
        <v>Electronics</v>
      </c>
      <c r="I47">
        <f t="shared" si="0"/>
        <v>2040</v>
      </c>
      <c r="J47" s="2">
        <f>VLOOKUP(B47,Orders!A:C,3,FALSE)</f>
        <v>46191</v>
      </c>
      <c r="K47" s="1" t="str">
        <f>VLOOKUP(B47,Orders!A:B,2,FALSE)</f>
        <v>C0032</v>
      </c>
    </row>
    <row r="48" spans="1:11" x14ac:dyDescent="0.3">
      <c r="A48" s="1" t="s">
        <v>1211</v>
      </c>
      <c r="B48" s="1" t="s">
        <v>1212</v>
      </c>
      <c r="C48" s="1" t="s">
        <v>1213</v>
      </c>
      <c r="D48" s="1">
        <v>5</v>
      </c>
      <c r="E48" s="1">
        <v>0.15</v>
      </c>
      <c r="F48" s="1" t="b">
        <v>0</v>
      </c>
      <c r="G48">
        <f>VLOOKUP(C48,Products!A:D,4,FALSE)</f>
        <v>1765</v>
      </c>
      <c r="H48" t="str">
        <f>VLOOKUP(C48,Products!A:D,3,FALSE)</f>
        <v>Beauty</v>
      </c>
      <c r="I48">
        <f t="shared" si="0"/>
        <v>7501.25</v>
      </c>
      <c r="J48" s="2">
        <f>VLOOKUP(B48,Orders!A:C,3,FALSE)</f>
        <v>45840</v>
      </c>
      <c r="K48" s="1" t="str">
        <f>VLOOKUP(B48,Orders!A:B,2,FALSE)</f>
        <v>C0063</v>
      </c>
    </row>
    <row r="49" spans="1:11" x14ac:dyDescent="0.3">
      <c r="A49" s="1" t="s">
        <v>1214</v>
      </c>
      <c r="B49" s="1" t="s">
        <v>1215</v>
      </c>
      <c r="C49" s="1" t="s">
        <v>1216</v>
      </c>
      <c r="D49" s="1">
        <v>5</v>
      </c>
      <c r="E49" s="1">
        <v>0</v>
      </c>
      <c r="F49" s="1" t="b">
        <v>0</v>
      </c>
      <c r="G49">
        <f>VLOOKUP(C49,Products!A:D,4,FALSE)</f>
        <v>1240</v>
      </c>
      <c r="H49" t="str">
        <f>VLOOKUP(C49,Products!A:D,3,FALSE)</f>
        <v>Apparel</v>
      </c>
      <c r="I49">
        <f t="shared" si="0"/>
        <v>6200</v>
      </c>
      <c r="J49" s="2">
        <f>VLOOKUP(B49,Orders!A:C,3,FALSE)</f>
        <v>45833</v>
      </c>
      <c r="K49" s="1" t="str">
        <f>VLOOKUP(B49,Orders!A:B,2,FALSE)</f>
        <v>C0047</v>
      </c>
    </row>
    <row r="50" spans="1:11" x14ac:dyDescent="0.3">
      <c r="A50" s="1" t="s">
        <v>1217</v>
      </c>
      <c r="B50" s="1" t="s">
        <v>1218</v>
      </c>
      <c r="C50" s="1" t="s">
        <v>1219</v>
      </c>
      <c r="D50" s="1">
        <v>3</v>
      </c>
      <c r="E50" s="1">
        <v>0.15</v>
      </c>
      <c r="F50" s="1" t="b">
        <v>0</v>
      </c>
      <c r="G50">
        <f>VLOOKUP(C50,Products!A:D,4,FALSE)</f>
        <v>2090</v>
      </c>
      <c r="H50" t="str">
        <f>VLOOKUP(C50,Products!A:D,3,FALSE)</f>
        <v>Beauty</v>
      </c>
      <c r="I50">
        <f t="shared" si="0"/>
        <v>5329.5</v>
      </c>
      <c r="J50" s="2">
        <f>VLOOKUP(B50,Orders!A:C,3,FALSE)</f>
        <v>46172</v>
      </c>
      <c r="K50" s="1" t="str">
        <f>VLOOKUP(B50,Orders!A:B,2,FALSE)</f>
        <v>C0011</v>
      </c>
    </row>
    <row r="51" spans="1:11" x14ac:dyDescent="0.3">
      <c r="A51" s="1" t="s">
        <v>1220</v>
      </c>
      <c r="B51" s="1" t="s">
        <v>1218</v>
      </c>
      <c r="C51" s="1" t="s">
        <v>1168</v>
      </c>
      <c r="D51" s="1">
        <v>3</v>
      </c>
      <c r="E51" s="1">
        <v>0</v>
      </c>
      <c r="F51" s="1" t="b">
        <v>1</v>
      </c>
      <c r="G51">
        <f>VLOOKUP(C51,Products!A:D,4,FALSE)</f>
        <v>1440</v>
      </c>
      <c r="H51" t="str">
        <f>VLOOKUP(C51,Products!A:D,3,FALSE)</f>
        <v>Sports</v>
      </c>
      <c r="I51">
        <f t="shared" si="0"/>
        <v>4320</v>
      </c>
      <c r="J51" s="2">
        <f>VLOOKUP(B51,Orders!A:C,3,FALSE)</f>
        <v>46172</v>
      </c>
      <c r="K51" s="1" t="str">
        <f>VLOOKUP(B51,Orders!A:B,2,FALSE)</f>
        <v>C0011</v>
      </c>
    </row>
    <row r="52" spans="1:11" x14ac:dyDescent="0.3">
      <c r="A52" s="1" t="s">
        <v>1221</v>
      </c>
      <c r="B52" s="1" t="s">
        <v>1222</v>
      </c>
      <c r="C52" s="1" t="s">
        <v>1157</v>
      </c>
      <c r="D52" s="1">
        <v>3</v>
      </c>
      <c r="E52" s="1">
        <v>0</v>
      </c>
      <c r="F52" s="1" t="b">
        <v>0</v>
      </c>
      <c r="G52">
        <f>VLOOKUP(C52,Products!A:D,4,FALSE)</f>
        <v>1520</v>
      </c>
      <c r="H52" t="str">
        <f>VLOOKUP(C52,Products!A:D,3,FALSE)</f>
        <v>Books</v>
      </c>
      <c r="I52">
        <f t="shared" si="0"/>
        <v>4560</v>
      </c>
      <c r="J52" s="2">
        <f>VLOOKUP(B52,Orders!A:C,3,FALSE)</f>
        <v>46200</v>
      </c>
      <c r="K52" s="1" t="str">
        <f>VLOOKUP(B52,Orders!A:B,2,FALSE)</f>
        <v>C0106</v>
      </c>
    </row>
    <row r="53" spans="1:11" x14ac:dyDescent="0.3">
      <c r="A53" s="1" t="s">
        <v>1223</v>
      </c>
      <c r="B53" s="1" t="s">
        <v>1224</v>
      </c>
      <c r="C53" s="1" t="s">
        <v>1225</v>
      </c>
      <c r="D53" s="1">
        <v>4</v>
      </c>
      <c r="E53" s="1">
        <v>0.15</v>
      </c>
      <c r="F53" s="1" t="b">
        <v>0</v>
      </c>
      <c r="G53">
        <f>VLOOKUP(C53,Products!A:D,4,FALSE)</f>
        <v>2690</v>
      </c>
      <c r="H53" t="str">
        <f>VLOOKUP(C53,Products!A:D,3,FALSE)</f>
        <v>Beauty</v>
      </c>
      <c r="I53">
        <f t="shared" si="0"/>
        <v>9146</v>
      </c>
      <c r="J53" s="2">
        <f>VLOOKUP(B53,Orders!A:C,3,FALSE)</f>
        <v>46244</v>
      </c>
      <c r="K53" s="1" t="str">
        <f>VLOOKUP(B53,Orders!A:B,2,FALSE)</f>
        <v>C0107</v>
      </c>
    </row>
    <row r="54" spans="1:11" x14ac:dyDescent="0.3">
      <c r="A54" s="1" t="s">
        <v>1226</v>
      </c>
      <c r="B54" s="1" t="s">
        <v>1224</v>
      </c>
      <c r="C54" s="1" t="s">
        <v>1213</v>
      </c>
      <c r="D54" s="1">
        <v>1</v>
      </c>
      <c r="E54" s="1">
        <v>0.2</v>
      </c>
      <c r="F54" s="1" t="b">
        <v>0</v>
      </c>
      <c r="G54">
        <f>VLOOKUP(C54,Products!A:D,4,FALSE)</f>
        <v>1765</v>
      </c>
      <c r="H54" t="str">
        <f>VLOOKUP(C54,Products!A:D,3,FALSE)</f>
        <v>Beauty</v>
      </c>
      <c r="I54">
        <f t="shared" si="0"/>
        <v>1412</v>
      </c>
      <c r="J54" s="2">
        <f>VLOOKUP(B54,Orders!A:C,3,FALSE)</f>
        <v>46244</v>
      </c>
      <c r="K54" s="1" t="str">
        <f>VLOOKUP(B54,Orders!A:B,2,FALSE)</f>
        <v>C0107</v>
      </c>
    </row>
    <row r="55" spans="1:11" x14ac:dyDescent="0.3">
      <c r="A55" s="1" t="s">
        <v>1227</v>
      </c>
      <c r="B55" s="1" t="s">
        <v>1224</v>
      </c>
      <c r="C55" s="1" t="s">
        <v>1157</v>
      </c>
      <c r="D55" s="1">
        <v>1</v>
      </c>
      <c r="E55" s="1">
        <v>0.2</v>
      </c>
      <c r="F55" s="1" t="b">
        <v>0</v>
      </c>
      <c r="G55">
        <f>VLOOKUP(C55,Products!A:D,4,FALSE)</f>
        <v>1520</v>
      </c>
      <c r="H55" t="str">
        <f>VLOOKUP(C55,Products!A:D,3,FALSE)</f>
        <v>Books</v>
      </c>
      <c r="I55">
        <f t="shared" si="0"/>
        <v>1216</v>
      </c>
      <c r="J55" s="2">
        <f>VLOOKUP(B55,Orders!A:C,3,FALSE)</f>
        <v>46244</v>
      </c>
      <c r="K55" s="1" t="str">
        <f>VLOOKUP(B55,Orders!A:B,2,FALSE)</f>
        <v>C0107</v>
      </c>
    </row>
    <row r="56" spans="1:11" x14ac:dyDescent="0.3">
      <c r="A56" s="1" t="s">
        <v>1228</v>
      </c>
      <c r="B56" s="1" t="s">
        <v>1229</v>
      </c>
      <c r="C56" s="1" t="s">
        <v>1230</v>
      </c>
      <c r="D56" s="1">
        <v>3</v>
      </c>
      <c r="E56" s="1">
        <v>0</v>
      </c>
      <c r="F56" s="1" t="b">
        <v>0</v>
      </c>
      <c r="G56">
        <f>VLOOKUP(C56,Products!A:D,4,FALSE)</f>
        <v>1530</v>
      </c>
      <c r="H56" t="str">
        <f>VLOOKUP(C56,Products!A:D,3,FALSE)</f>
        <v>Beauty</v>
      </c>
      <c r="I56">
        <f t="shared" si="0"/>
        <v>4590</v>
      </c>
      <c r="J56" s="2">
        <f>VLOOKUP(B56,Orders!A:C,3,FALSE)</f>
        <v>46278</v>
      </c>
      <c r="K56" s="1" t="str">
        <f>VLOOKUP(B56,Orders!A:B,2,FALSE)</f>
        <v>C0169</v>
      </c>
    </row>
    <row r="57" spans="1:11" x14ac:dyDescent="0.3">
      <c r="A57" s="1" t="s">
        <v>1231</v>
      </c>
      <c r="B57" s="1" t="s">
        <v>1232</v>
      </c>
      <c r="C57" s="1" t="s">
        <v>1191</v>
      </c>
      <c r="D57" s="1">
        <v>3</v>
      </c>
      <c r="E57" s="1">
        <v>0.15</v>
      </c>
      <c r="F57" s="1" t="b">
        <v>0</v>
      </c>
      <c r="G57">
        <f>VLOOKUP(C57,Products!A:D,4,FALSE)</f>
        <v>99</v>
      </c>
      <c r="H57" t="str">
        <f>VLOOKUP(C57,Products!A:D,3,FALSE)</f>
        <v>Sports</v>
      </c>
      <c r="I57">
        <f t="shared" si="0"/>
        <v>252.45</v>
      </c>
      <c r="J57" s="2">
        <f>VLOOKUP(B57,Orders!A:C,3,FALSE)</f>
        <v>45986</v>
      </c>
      <c r="K57" s="1" t="str">
        <f>VLOOKUP(B57,Orders!A:B,2,FALSE)</f>
        <v>C0002</v>
      </c>
    </row>
    <row r="58" spans="1:11" x14ac:dyDescent="0.3">
      <c r="A58" s="1" t="s">
        <v>1233</v>
      </c>
      <c r="B58" s="1" t="s">
        <v>1232</v>
      </c>
      <c r="C58" s="1" t="s">
        <v>1216</v>
      </c>
      <c r="D58" s="1">
        <v>3</v>
      </c>
      <c r="E58" s="1">
        <v>0.2</v>
      </c>
      <c r="F58" s="1" t="b">
        <v>0</v>
      </c>
      <c r="G58">
        <f>VLOOKUP(C58,Products!A:D,4,FALSE)</f>
        <v>1240</v>
      </c>
      <c r="H58" t="str">
        <f>VLOOKUP(C58,Products!A:D,3,FALSE)</f>
        <v>Apparel</v>
      </c>
      <c r="I58">
        <f t="shared" si="0"/>
        <v>2976</v>
      </c>
      <c r="J58" s="2">
        <f>VLOOKUP(B58,Orders!A:C,3,FALSE)</f>
        <v>45986</v>
      </c>
      <c r="K58" s="1" t="str">
        <f>VLOOKUP(B58,Orders!A:B,2,FALSE)</f>
        <v>C0002</v>
      </c>
    </row>
    <row r="59" spans="1:11" x14ac:dyDescent="0.3">
      <c r="A59" s="1" t="s">
        <v>1234</v>
      </c>
      <c r="B59" s="1" t="s">
        <v>1232</v>
      </c>
      <c r="C59" s="1" t="s">
        <v>1121</v>
      </c>
      <c r="D59" s="1">
        <v>2</v>
      </c>
      <c r="E59" s="1">
        <v>0</v>
      </c>
      <c r="F59" s="1" t="b">
        <v>0</v>
      </c>
      <c r="G59">
        <f>VLOOKUP(C59,Products!A:D,4,FALSE)</f>
        <v>1440</v>
      </c>
      <c r="H59" t="str">
        <f>VLOOKUP(C59,Products!A:D,3,FALSE)</f>
        <v>Sports</v>
      </c>
      <c r="I59">
        <f t="shared" si="0"/>
        <v>2880</v>
      </c>
      <c r="J59" s="2">
        <f>VLOOKUP(B59,Orders!A:C,3,FALSE)</f>
        <v>45986</v>
      </c>
      <c r="K59" s="1" t="str">
        <f>VLOOKUP(B59,Orders!A:B,2,FALSE)</f>
        <v>C0002</v>
      </c>
    </row>
    <row r="60" spans="1:11" x14ac:dyDescent="0.3">
      <c r="A60" s="1" t="s">
        <v>1235</v>
      </c>
      <c r="B60" s="1" t="s">
        <v>1236</v>
      </c>
      <c r="C60" s="1" t="s">
        <v>1123</v>
      </c>
      <c r="D60" s="1">
        <v>3</v>
      </c>
      <c r="E60" s="1">
        <v>0.2</v>
      </c>
      <c r="F60" s="1" t="b">
        <v>0</v>
      </c>
      <c r="G60">
        <f>VLOOKUP(C60,Products!A:D,4,FALSE)</f>
        <v>2200</v>
      </c>
      <c r="H60" t="str">
        <f>VLOOKUP(C60,Products!A:D,3,FALSE)</f>
        <v>Electronics</v>
      </c>
      <c r="I60">
        <f t="shared" si="0"/>
        <v>5280</v>
      </c>
      <c r="J60" s="2">
        <f>VLOOKUP(B60,Orders!A:C,3,FALSE)</f>
        <v>46035</v>
      </c>
      <c r="K60" s="1" t="str">
        <f>VLOOKUP(B60,Orders!A:B,2,FALSE)</f>
        <v>C0067</v>
      </c>
    </row>
    <row r="61" spans="1:11" x14ac:dyDescent="0.3">
      <c r="A61" s="1" t="s">
        <v>1237</v>
      </c>
      <c r="B61" s="1" t="s">
        <v>1238</v>
      </c>
      <c r="C61" s="1" t="s">
        <v>1209</v>
      </c>
      <c r="D61" s="1">
        <v>4</v>
      </c>
      <c r="E61" s="1">
        <v>0.15</v>
      </c>
      <c r="F61" s="1" t="b">
        <v>0</v>
      </c>
      <c r="G61">
        <f>VLOOKUP(C61,Products!A:D,4,FALSE)</f>
        <v>1580</v>
      </c>
      <c r="H61" t="str">
        <f>VLOOKUP(C61,Products!A:D,3,FALSE)</f>
        <v>Apparel</v>
      </c>
      <c r="I61">
        <f t="shared" si="0"/>
        <v>5372</v>
      </c>
      <c r="J61" s="2">
        <f>VLOOKUP(B61,Orders!A:C,3,FALSE)</f>
        <v>45893</v>
      </c>
      <c r="K61" s="1" t="str">
        <f>VLOOKUP(B61,Orders!A:B,2,FALSE)</f>
        <v>C0057</v>
      </c>
    </row>
    <row r="62" spans="1:11" x14ac:dyDescent="0.3">
      <c r="A62" s="1" t="s">
        <v>1239</v>
      </c>
      <c r="B62" s="1" t="s">
        <v>1240</v>
      </c>
      <c r="C62" s="1" t="s">
        <v>1230</v>
      </c>
      <c r="D62" s="1">
        <v>1</v>
      </c>
      <c r="E62" s="1">
        <v>0</v>
      </c>
      <c r="F62" s="1" t="b">
        <v>0</v>
      </c>
      <c r="G62">
        <f>VLOOKUP(C62,Products!A:D,4,FALSE)</f>
        <v>1530</v>
      </c>
      <c r="H62" t="str">
        <f>VLOOKUP(C62,Products!A:D,3,FALSE)</f>
        <v>Beauty</v>
      </c>
      <c r="I62">
        <f t="shared" si="0"/>
        <v>1530</v>
      </c>
      <c r="J62" s="2">
        <f>VLOOKUP(B62,Orders!A:C,3,FALSE)</f>
        <v>45770</v>
      </c>
      <c r="K62" s="1" t="str">
        <f>VLOOKUP(B62,Orders!A:B,2,FALSE)</f>
        <v>C0068</v>
      </c>
    </row>
    <row r="63" spans="1:11" x14ac:dyDescent="0.3">
      <c r="A63" s="1" t="s">
        <v>1241</v>
      </c>
      <c r="B63" s="1" t="s">
        <v>1240</v>
      </c>
      <c r="C63" s="1" t="s">
        <v>1242</v>
      </c>
      <c r="D63" s="1">
        <v>2</v>
      </c>
      <c r="E63" s="1">
        <v>0</v>
      </c>
      <c r="F63" s="1" t="b">
        <v>0</v>
      </c>
      <c r="G63">
        <f>VLOOKUP(C63,Products!A:D,4,FALSE)</f>
        <v>2720</v>
      </c>
      <c r="H63" t="str">
        <f>VLOOKUP(C63,Products!A:D,3,FALSE)</f>
        <v>Beauty</v>
      </c>
      <c r="I63">
        <f t="shared" si="0"/>
        <v>5440</v>
      </c>
      <c r="J63" s="2">
        <f>VLOOKUP(B63,Orders!A:C,3,FALSE)</f>
        <v>45770</v>
      </c>
      <c r="K63" s="1" t="str">
        <f>VLOOKUP(B63,Orders!A:B,2,FALSE)</f>
        <v>C0068</v>
      </c>
    </row>
    <row r="64" spans="1:11" x14ac:dyDescent="0.3">
      <c r="A64" s="1" t="s">
        <v>1243</v>
      </c>
      <c r="B64" s="1" t="s">
        <v>1240</v>
      </c>
      <c r="C64" s="1" t="s">
        <v>1188</v>
      </c>
      <c r="D64" s="1">
        <v>5</v>
      </c>
      <c r="E64" s="1">
        <v>0.05</v>
      </c>
      <c r="F64" s="1" t="b">
        <v>0</v>
      </c>
      <c r="G64">
        <f>VLOOKUP(C64,Products!A:D,4,FALSE)</f>
        <v>2530</v>
      </c>
      <c r="H64" t="str">
        <f>VLOOKUP(C64,Products!A:D,3,FALSE)</f>
        <v>Beauty</v>
      </c>
      <c r="I64">
        <f t="shared" si="0"/>
        <v>12017.5</v>
      </c>
      <c r="J64" s="2">
        <f>VLOOKUP(B64,Orders!A:C,3,FALSE)</f>
        <v>45770</v>
      </c>
      <c r="K64" s="1" t="str">
        <f>VLOOKUP(B64,Orders!A:B,2,FALSE)</f>
        <v>C0068</v>
      </c>
    </row>
    <row r="65" spans="1:11" x14ac:dyDescent="0.3">
      <c r="A65" s="1" t="s">
        <v>1244</v>
      </c>
      <c r="B65" s="1" t="s">
        <v>1245</v>
      </c>
      <c r="C65" s="1" t="s">
        <v>1182</v>
      </c>
      <c r="D65" s="1">
        <v>2</v>
      </c>
      <c r="E65" s="1">
        <v>0.1</v>
      </c>
      <c r="F65" s="1" t="b">
        <v>0</v>
      </c>
      <c r="G65">
        <f>VLOOKUP(C65,Products!A:D,4,FALSE)</f>
        <v>790</v>
      </c>
      <c r="H65" t="str">
        <f>VLOOKUP(C65,Products!A:D,3,FALSE)</f>
        <v>Sports</v>
      </c>
      <c r="I65">
        <f t="shared" si="0"/>
        <v>1422</v>
      </c>
      <c r="J65" s="2">
        <f>VLOOKUP(B65,Orders!A:C,3,FALSE)</f>
        <v>45787</v>
      </c>
      <c r="K65" s="1" t="str">
        <f>VLOOKUP(B65,Orders!A:B,2,FALSE)</f>
        <v>C0122</v>
      </c>
    </row>
    <row r="66" spans="1:11" x14ac:dyDescent="0.3">
      <c r="A66" s="1" t="s">
        <v>1246</v>
      </c>
      <c r="B66" s="1" t="s">
        <v>1245</v>
      </c>
      <c r="C66" s="1" t="s">
        <v>1247</v>
      </c>
      <c r="D66" s="1">
        <v>3</v>
      </c>
      <c r="E66" s="1">
        <v>0.1</v>
      </c>
      <c r="F66" s="1" t="b">
        <v>0</v>
      </c>
      <c r="G66">
        <f>VLOOKUP(C66,Products!A:D,4,FALSE)</f>
        <v>2210</v>
      </c>
      <c r="H66" t="str">
        <f>VLOOKUP(C66,Products!A:D,3,FALSE)</f>
        <v>Beauty</v>
      </c>
      <c r="I66">
        <f t="shared" ref="I66:I129" si="1">G66*D66*(1-E66)</f>
        <v>5967</v>
      </c>
      <c r="J66" s="2">
        <f>VLOOKUP(B66,Orders!A:C,3,FALSE)</f>
        <v>45787</v>
      </c>
      <c r="K66" s="1" t="str">
        <f>VLOOKUP(B66,Orders!A:B,2,FALSE)</f>
        <v>C0122</v>
      </c>
    </row>
    <row r="67" spans="1:11" x14ac:dyDescent="0.3">
      <c r="A67" s="1" t="s">
        <v>1248</v>
      </c>
      <c r="B67" s="1" t="s">
        <v>1245</v>
      </c>
      <c r="C67" s="1" t="s">
        <v>1249</v>
      </c>
      <c r="D67" s="1">
        <v>2</v>
      </c>
      <c r="E67" s="1">
        <v>0.05</v>
      </c>
      <c r="F67" s="1" t="b">
        <v>0</v>
      </c>
      <c r="G67">
        <f>VLOOKUP(C67,Products!A:D,4,FALSE)</f>
        <v>3630</v>
      </c>
      <c r="H67" t="str">
        <f>VLOOKUP(C67,Products!A:D,3,FALSE)</f>
        <v>Electronics</v>
      </c>
      <c r="I67">
        <f t="shared" si="1"/>
        <v>6897</v>
      </c>
      <c r="J67" s="2">
        <f>VLOOKUP(B67,Orders!A:C,3,FALSE)</f>
        <v>45787</v>
      </c>
      <c r="K67" s="1" t="str">
        <f>VLOOKUP(B67,Orders!A:B,2,FALSE)</f>
        <v>C0122</v>
      </c>
    </row>
    <row r="68" spans="1:11" x14ac:dyDescent="0.3">
      <c r="A68" s="1" t="s">
        <v>1250</v>
      </c>
      <c r="B68" s="1" t="s">
        <v>1251</v>
      </c>
      <c r="C68" s="1" t="s">
        <v>1213</v>
      </c>
      <c r="D68" s="1">
        <v>4</v>
      </c>
      <c r="E68" s="1">
        <v>0.05</v>
      </c>
      <c r="F68" s="1" t="b">
        <v>0</v>
      </c>
      <c r="G68">
        <f>VLOOKUP(C68,Products!A:D,4,FALSE)</f>
        <v>1765</v>
      </c>
      <c r="H68" t="str">
        <f>VLOOKUP(C68,Products!A:D,3,FALSE)</f>
        <v>Beauty</v>
      </c>
      <c r="I68">
        <f t="shared" si="1"/>
        <v>6707</v>
      </c>
      <c r="J68" s="2">
        <f>VLOOKUP(B68,Orders!A:C,3,FALSE)</f>
        <v>46131</v>
      </c>
      <c r="K68" s="1" t="str">
        <f>VLOOKUP(B68,Orders!A:B,2,FALSE)</f>
        <v>C0090</v>
      </c>
    </row>
    <row r="69" spans="1:11" x14ac:dyDescent="0.3">
      <c r="A69" s="1" t="s">
        <v>1252</v>
      </c>
      <c r="B69" s="1" t="s">
        <v>1251</v>
      </c>
      <c r="C69" s="1" t="s">
        <v>1157</v>
      </c>
      <c r="D69" s="1">
        <v>1</v>
      </c>
      <c r="E69" s="1">
        <v>0</v>
      </c>
      <c r="F69" s="1" t="b">
        <v>0</v>
      </c>
      <c r="G69">
        <f>VLOOKUP(C69,Products!A:D,4,FALSE)</f>
        <v>1520</v>
      </c>
      <c r="H69" t="str">
        <f>VLOOKUP(C69,Products!A:D,3,FALSE)</f>
        <v>Books</v>
      </c>
      <c r="I69">
        <f t="shared" si="1"/>
        <v>1520</v>
      </c>
      <c r="J69" s="2">
        <f>VLOOKUP(B69,Orders!A:C,3,FALSE)</f>
        <v>46131</v>
      </c>
      <c r="K69" s="1" t="str">
        <f>VLOOKUP(B69,Orders!A:B,2,FALSE)</f>
        <v>C0090</v>
      </c>
    </row>
    <row r="70" spans="1:11" x14ac:dyDescent="0.3">
      <c r="A70" s="1" t="s">
        <v>1253</v>
      </c>
      <c r="B70" s="1" t="s">
        <v>1251</v>
      </c>
      <c r="C70" s="1" t="s">
        <v>1225</v>
      </c>
      <c r="D70" s="1">
        <v>1</v>
      </c>
      <c r="E70" s="1">
        <v>0.15</v>
      </c>
      <c r="F70" s="1" t="b">
        <v>0</v>
      </c>
      <c r="G70">
        <f>VLOOKUP(C70,Products!A:D,4,FALSE)</f>
        <v>2690</v>
      </c>
      <c r="H70" t="str">
        <f>VLOOKUP(C70,Products!A:D,3,FALSE)</f>
        <v>Beauty</v>
      </c>
      <c r="I70">
        <f t="shared" si="1"/>
        <v>2286.5</v>
      </c>
      <c r="J70" s="2">
        <f>VLOOKUP(B70,Orders!A:C,3,FALSE)</f>
        <v>46131</v>
      </c>
      <c r="K70" s="1" t="str">
        <f>VLOOKUP(B70,Orders!A:B,2,FALSE)</f>
        <v>C0090</v>
      </c>
    </row>
    <row r="71" spans="1:11" x14ac:dyDescent="0.3">
      <c r="A71" s="1" t="s">
        <v>1254</v>
      </c>
      <c r="B71" s="1" t="s">
        <v>1255</v>
      </c>
      <c r="C71" s="1" t="s">
        <v>1116</v>
      </c>
      <c r="D71" s="1">
        <v>5</v>
      </c>
      <c r="E71" s="1">
        <v>0.15</v>
      </c>
      <c r="F71" s="1" t="b">
        <v>0</v>
      </c>
      <c r="G71">
        <f>VLOOKUP(C71,Products!A:D,4,FALSE)</f>
        <v>3000</v>
      </c>
      <c r="H71" t="str">
        <f>VLOOKUP(C71,Products!A:D,3,FALSE)</f>
        <v>Home &amp; Kitchen</v>
      </c>
      <c r="I71">
        <f t="shared" si="1"/>
        <v>12750</v>
      </c>
      <c r="J71" s="2">
        <f>VLOOKUP(B71,Orders!A:C,3,FALSE)</f>
        <v>46000</v>
      </c>
      <c r="K71" s="1" t="str">
        <f>VLOOKUP(B71,Orders!A:B,2,FALSE)</f>
        <v>C0216</v>
      </c>
    </row>
    <row r="72" spans="1:11" x14ac:dyDescent="0.3">
      <c r="A72" s="1" t="s">
        <v>1256</v>
      </c>
      <c r="B72" s="1" t="s">
        <v>1255</v>
      </c>
      <c r="C72" s="1" t="s">
        <v>1257</v>
      </c>
      <c r="D72" s="1">
        <v>2</v>
      </c>
      <c r="E72" s="1">
        <v>0.15</v>
      </c>
      <c r="F72" s="1" t="b">
        <v>0</v>
      </c>
      <c r="G72">
        <f>VLOOKUP(C72,Products!A:D,4,FALSE)</f>
        <v>1760</v>
      </c>
      <c r="H72" t="str">
        <f>VLOOKUP(C72,Products!A:D,3,FALSE)</f>
        <v>Books</v>
      </c>
      <c r="I72">
        <f t="shared" si="1"/>
        <v>2992</v>
      </c>
      <c r="J72" s="2">
        <f>VLOOKUP(B72,Orders!A:C,3,FALSE)</f>
        <v>46000</v>
      </c>
      <c r="K72" s="1" t="str">
        <f>VLOOKUP(B72,Orders!A:B,2,FALSE)</f>
        <v>C0216</v>
      </c>
    </row>
    <row r="73" spans="1:11" x14ac:dyDescent="0.3">
      <c r="A73" s="1" t="s">
        <v>1258</v>
      </c>
      <c r="B73" s="1" t="s">
        <v>1255</v>
      </c>
      <c r="C73" s="1" t="s">
        <v>1121</v>
      </c>
      <c r="D73" s="1">
        <v>5</v>
      </c>
      <c r="E73" s="1">
        <v>0.1</v>
      </c>
      <c r="F73" s="1" t="b">
        <v>0</v>
      </c>
      <c r="G73">
        <f>VLOOKUP(C73,Products!A:D,4,FALSE)</f>
        <v>1440</v>
      </c>
      <c r="H73" t="str">
        <f>VLOOKUP(C73,Products!A:D,3,FALSE)</f>
        <v>Sports</v>
      </c>
      <c r="I73">
        <f t="shared" si="1"/>
        <v>6480</v>
      </c>
      <c r="J73" s="2">
        <f>VLOOKUP(B73,Orders!A:C,3,FALSE)</f>
        <v>46000</v>
      </c>
      <c r="K73" s="1" t="str">
        <f>VLOOKUP(B73,Orders!A:B,2,FALSE)</f>
        <v>C0216</v>
      </c>
    </row>
    <row r="74" spans="1:11" x14ac:dyDescent="0.3">
      <c r="A74" s="1" t="s">
        <v>1259</v>
      </c>
      <c r="B74" s="1" t="s">
        <v>1260</v>
      </c>
      <c r="C74" s="1" t="s">
        <v>1191</v>
      </c>
      <c r="D74" s="1">
        <v>1</v>
      </c>
      <c r="E74" s="1">
        <v>0.05</v>
      </c>
      <c r="F74" s="1" t="b">
        <v>0</v>
      </c>
      <c r="G74">
        <f>VLOOKUP(C74,Products!A:D,4,FALSE)</f>
        <v>99</v>
      </c>
      <c r="H74" t="str">
        <f>VLOOKUP(C74,Products!A:D,3,FALSE)</f>
        <v>Sports</v>
      </c>
      <c r="I74">
        <f t="shared" si="1"/>
        <v>94.05</v>
      </c>
      <c r="J74" s="2">
        <f>VLOOKUP(B74,Orders!A:C,3,FALSE)</f>
        <v>45915</v>
      </c>
      <c r="K74" s="1" t="str">
        <f>VLOOKUP(B74,Orders!A:B,2,FALSE)</f>
        <v>C0244</v>
      </c>
    </row>
    <row r="75" spans="1:11" x14ac:dyDescent="0.3">
      <c r="A75" s="1" t="s">
        <v>1261</v>
      </c>
      <c r="B75" s="1" t="s">
        <v>1260</v>
      </c>
      <c r="C75" s="1" t="s">
        <v>1262</v>
      </c>
      <c r="D75" s="1">
        <v>4</v>
      </c>
      <c r="E75" s="1">
        <v>0</v>
      </c>
      <c r="F75" s="1" t="b">
        <v>0</v>
      </c>
      <c r="G75">
        <f>VLOOKUP(C75,Products!A:D,4,FALSE)</f>
        <v>4020</v>
      </c>
      <c r="H75" t="str">
        <f>VLOOKUP(C75,Products!A:D,3,FALSE)</f>
        <v>Sports</v>
      </c>
      <c r="I75">
        <f t="shared" si="1"/>
        <v>16080</v>
      </c>
      <c r="J75" s="2">
        <f>VLOOKUP(B75,Orders!A:C,3,FALSE)</f>
        <v>45915</v>
      </c>
      <c r="K75" s="1" t="str">
        <f>VLOOKUP(B75,Orders!A:B,2,FALSE)</f>
        <v>C0244</v>
      </c>
    </row>
    <row r="76" spans="1:11" x14ac:dyDescent="0.3">
      <c r="A76" s="1" t="s">
        <v>1263</v>
      </c>
      <c r="B76" s="1" t="s">
        <v>1264</v>
      </c>
      <c r="C76" s="1" t="s">
        <v>1265</v>
      </c>
      <c r="D76" s="1">
        <v>2</v>
      </c>
      <c r="E76" s="1">
        <v>0.2</v>
      </c>
      <c r="F76" s="1" t="b">
        <v>0</v>
      </c>
      <c r="G76">
        <f>VLOOKUP(C76,Products!A:D,4,FALSE)</f>
        <v>99</v>
      </c>
      <c r="H76" t="str">
        <f>VLOOKUP(C76,Products!A:D,3,FALSE)</f>
        <v>Beauty</v>
      </c>
      <c r="I76">
        <f t="shared" si="1"/>
        <v>158.4</v>
      </c>
      <c r="J76" s="2">
        <f>VLOOKUP(B76,Orders!A:C,3,FALSE)</f>
        <v>45804</v>
      </c>
      <c r="K76" s="1" t="str">
        <f>VLOOKUP(B76,Orders!A:B,2,FALSE)</f>
        <v>C0263</v>
      </c>
    </row>
    <row r="77" spans="1:11" x14ac:dyDescent="0.3">
      <c r="A77" s="1" t="s">
        <v>1266</v>
      </c>
      <c r="B77" s="1" t="s">
        <v>1264</v>
      </c>
      <c r="C77" s="1" t="s">
        <v>1267</v>
      </c>
      <c r="D77" s="1">
        <v>5</v>
      </c>
      <c r="E77" s="1">
        <v>0</v>
      </c>
      <c r="F77" s="1" t="b">
        <v>0</v>
      </c>
      <c r="G77">
        <f>VLOOKUP(C77,Products!A:D,4,FALSE)</f>
        <v>3650</v>
      </c>
      <c r="H77" t="str">
        <f>VLOOKUP(C77,Products!A:D,3,FALSE)</f>
        <v>Books</v>
      </c>
      <c r="I77">
        <f t="shared" si="1"/>
        <v>18250</v>
      </c>
      <c r="J77" s="2">
        <f>VLOOKUP(B77,Orders!A:C,3,FALSE)</f>
        <v>45804</v>
      </c>
      <c r="K77" s="1" t="str">
        <f>VLOOKUP(B77,Orders!A:B,2,FALSE)</f>
        <v>C0263</v>
      </c>
    </row>
    <row r="78" spans="1:11" x14ac:dyDescent="0.3">
      <c r="A78" s="1" t="s">
        <v>1268</v>
      </c>
      <c r="B78" s="1" t="s">
        <v>1269</v>
      </c>
      <c r="C78" s="1" t="s">
        <v>1270</v>
      </c>
      <c r="D78" s="1">
        <v>5</v>
      </c>
      <c r="E78" s="1">
        <v>0.2</v>
      </c>
      <c r="F78" s="1" t="b">
        <v>0</v>
      </c>
      <c r="G78">
        <f>VLOOKUP(C78,Products!A:D,4,FALSE)</f>
        <v>3560</v>
      </c>
      <c r="H78" t="str">
        <f>VLOOKUP(C78,Products!A:D,3,FALSE)</f>
        <v>Sports</v>
      </c>
      <c r="I78">
        <f t="shared" si="1"/>
        <v>14240</v>
      </c>
      <c r="J78" s="2">
        <f>VLOOKUP(B78,Orders!A:C,3,FALSE)</f>
        <v>46093</v>
      </c>
      <c r="K78" s="1" t="str">
        <f>VLOOKUP(B78,Orders!A:B,2,FALSE)</f>
        <v>C0258</v>
      </c>
    </row>
    <row r="79" spans="1:11" x14ac:dyDescent="0.3">
      <c r="A79" s="1" t="s">
        <v>1271</v>
      </c>
      <c r="B79" s="1" t="s">
        <v>1272</v>
      </c>
      <c r="C79" s="1" t="s">
        <v>1273</v>
      </c>
      <c r="D79" s="1">
        <v>2</v>
      </c>
      <c r="E79" s="1">
        <v>0</v>
      </c>
      <c r="F79" s="1" t="b">
        <v>0</v>
      </c>
      <c r="G79">
        <f>VLOOKUP(C79,Products!A:D,4,FALSE)</f>
        <v>360</v>
      </c>
      <c r="H79" t="str">
        <f>VLOOKUP(C79,Products!A:D,3,FALSE)</f>
        <v>Beauty</v>
      </c>
      <c r="I79">
        <f t="shared" si="1"/>
        <v>720</v>
      </c>
      <c r="J79" s="2">
        <f>VLOOKUP(B79,Orders!A:C,3,FALSE)</f>
        <v>45788</v>
      </c>
      <c r="K79" s="1" t="str">
        <f>VLOOKUP(B79,Orders!A:B,2,FALSE)</f>
        <v>C0023</v>
      </c>
    </row>
    <row r="80" spans="1:11" x14ac:dyDescent="0.3">
      <c r="A80" s="1" t="s">
        <v>1274</v>
      </c>
      <c r="B80" s="1" t="s">
        <v>1275</v>
      </c>
      <c r="C80" s="1" t="s">
        <v>1276</v>
      </c>
      <c r="D80" s="1">
        <v>2</v>
      </c>
      <c r="E80" s="1">
        <v>0</v>
      </c>
      <c r="F80" s="1" t="b">
        <v>0</v>
      </c>
      <c r="G80">
        <f>VLOOKUP(C80,Products!A:D,4,FALSE)</f>
        <v>2010</v>
      </c>
      <c r="H80" t="str">
        <f>VLOOKUP(C80,Products!A:D,3,FALSE)</f>
        <v>Beauty</v>
      </c>
      <c r="I80">
        <f t="shared" si="1"/>
        <v>4020</v>
      </c>
      <c r="J80" s="2">
        <f>VLOOKUP(B80,Orders!A:C,3,FALSE)</f>
        <v>46073</v>
      </c>
      <c r="K80" s="1" t="str">
        <f>VLOOKUP(B80,Orders!A:B,2,FALSE)</f>
        <v>C0155</v>
      </c>
    </row>
    <row r="81" spans="1:11" x14ac:dyDescent="0.3">
      <c r="A81" s="1" t="s">
        <v>1277</v>
      </c>
      <c r="B81" s="1" t="s">
        <v>1275</v>
      </c>
      <c r="C81" s="1" t="s">
        <v>1278</v>
      </c>
      <c r="D81" s="1">
        <v>1</v>
      </c>
      <c r="E81" s="1">
        <v>0.1</v>
      </c>
      <c r="F81" s="1" t="b">
        <v>0</v>
      </c>
      <c r="G81">
        <f>VLOOKUP(C81,Products!A:D,4,FALSE)</f>
        <v>330</v>
      </c>
      <c r="H81" t="str">
        <f>VLOOKUP(C81,Products!A:D,3,FALSE)</f>
        <v>Books</v>
      </c>
      <c r="I81">
        <f t="shared" si="1"/>
        <v>297</v>
      </c>
      <c r="J81" s="2">
        <f>VLOOKUP(B81,Orders!A:C,3,FALSE)</f>
        <v>46073</v>
      </c>
      <c r="K81" s="1" t="str">
        <f>VLOOKUP(B81,Orders!A:B,2,FALSE)</f>
        <v>C0155</v>
      </c>
    </row>
    <row r="82" spans="1:11" x14ac:dyDescent="0.3">
      <c r="A82" s="1" t="s">
        <v>1279</v>
      </c>
      <c r="B82" s="1" t="s">
        <v>1280</v>
      </c>
      <c r="C82" s="1" t="s">
        <v>1247</v>
      </c>
      <c r="D82" s="1">
        <v>4</v>
      </c>
      <c r="E82" s="1">
        <v>0.2</v>
      </c>
      <c r="F82" s="1" t="b">
        <v>0</v>
      </c>
      <c r="G82">
        <f>VLOOKUP(C82,Products!A:D,4,FALSE)</f>
        <v>2210</v>
      </c>
      <c r="H82" t="str">
        <f>VLOOKUP(C82,Products!A:D,3,FALSE)</f>
        <v>Beauty</v>
      </c>
      <c r="I82">
        <f t="shared" si="1"/>
        <v>7072</v>
      </c>
      <c r="J82" s="2">
        <f>VLOOKUP(B82,Orders!A:C,3,FALSE)</f>
        <v>46227</v>
      </c>
      <c r="K82" s="1" t="str">
        <f>VLOOKUP(B82,Orders!A:B,2,FALSE)</f>
        <v>C0032</v>
      </c>
    </row>
    <row r="83" spans="1:11" x14ac:dyDescent="0.3">
      <c r="A83" s="1" t="s">
        <v>1281</v>
      </c>
      <c r="B83" s="1" t="s">
        <v>1282</v>
      </c>
      <c r="C83" s="1" t="s">
        <v>1123</v>
      </c>
      <c r="D83" s="1">
        <v>4</v>
      </c>
      <c r="E83" s="1">
        <v>0.2</v>
      </c>
      <c r="F83" s="1" t="b">
        <v>0</v>
      </c>
      <c r="G83">
        <f>VLOOKUP(C83,Products!A:D,4,FALSE)</f>
        <v>2200</v>
      </c>
      <c r="H83" t="str">
        <f>VLOOKUP(C83,Products!A:D,3,FALSE)</f>
        <v>Electronics</v>
      </c>
      <c r="I83">
        <f t="shared" si="1"/>
        <v>7040</v>
      </c>
      <c r="J83" s="2">
        <f>VLOOKUP(B83,Orders!A:C,3,FALSE)</f>
        <v>45908</v>
      </c>
      <c r="K83" s="1" t="str">
        <f>VLOOKUP(B83,Orders!A:B,2,FALSE)</f>
        <v>C0219</v>
      </c>
    </row>
    <row r="84" spans="1:11" x14ac:dyDescent="0.3">
      <c r="A84" s="1" t="s">
        <v>1283</v>
      </c>
      <c r="B84" s="1" t="s">
        <v>1284</v>
      </c>
      <c r="C84" s="1" t="s">
        <v>1216</v>
      </c>
      <c r="D84" s="1">
        <v>4</v>
      </c>
      <c r="E84" s="1">
        <v>0.05</v>
      </c>
      <c r="F84" s="1" t="b">
        <v>0</v>
      </c>
      <c r="G84">
        <f>VLOOKUP(C84,Products!A:D,4,FALSE)</f>
        <v>1240</v>
      </c>
      <c r="H84" t="str">
        <f>VLOOKUP(C84,Products!A:D,3,FALSE)</f>
        <v>Apparel</v>
      </c>
      <c r="I84">
        <f t="shared" si="1"/>
        <v>4712</v>
      </c>
      <c r="J84" s="2">
        <f>VLOOKUP(B84,Orders!A:C,3,FALSE)</f>
        <v>45980</v>
      </c>
      <c r="K84" s="1" t="str">
        <f>VLOOKUP(B84,Orders!A:B,2,FALSE)</f>
        <v>C0228</v>
      </c>
    </row>
    <row r="85" spans="1:11" x14ac:dyDescent="0.3">
      <c r="A85" s="1" t="s">
        <v>1285</v>
      </c>
      <c r="B85" s="1" t="s">
        <v>1284</v>
      </c>
      <c r="C85" s="1" t="s">
        <v>1225</v>
      </c>
      <c r="D85" s="1">
        <v>1</v>
      </c>
      <c r="E85" s="1">
        <v>0.05</v>
      </c>
      <c r="F85" s="1" t="b">
        <v>0</v>
      </c>
      <c r="G85">
        <f>VLOOKUP(C85,Products!A:D,4,FALSE)</f>
        <v>2690</v>
      </c>
      <c r="H85" t="str">
        <f>VLOOKUP(C85,Products!A:D,3,FALSE)</f>
        <v>Beauty</v>
      </c>
      <c r="I85">
        <f t="shared" si="1"/>
        <v>2555.5</v>
      </c>
      <c r="J85" s="2">
        <f>VLOOKUP(B85,Orders!A:C,3,FALSE)</f>
        <v>45980</v>
      </c>
      <c r="K85" s="1" t="str">
        <f>VLOOKUP(B85,Orders!A:B,2,FALSE)</f>
        <v>C0228</v>
      </c>
    </row>
    <row r="86" spans="1:11" x14ac:dyDescent="0.3">
      <c r="A86" s="1" t="s">
        <v>1286</v>
      </c>
      <c r="B86" s="1" t="s">
        <v>1287</v>
      </c>
      <c r="C86" s="1" t="s">
        <v>1288</v>
      </c>
      <c r="D86" s="1">
        <v>1</v>
      </c>
      <c r="E86" s="1">
        <v>0.05</v>
      </c>
      <c r="F86" s="1" t="b">
        <v>0</v>
      </c>
      <c r="G86">
        <f>VLOOKUP(C86,Products!A:D,4,FALSE)</f>
        <v>2580</v>
      </c>
      <c r="H86" t="str">
        <f>VLOOKUP(C86,Products!A:D,3,FALSE)</f>
        <v>Beauty</v>
      </c>
      <c r="I86">
        <f t="shared" si="1"/>
        <v>2451</v>
      </c>
      <c r="J86" s="2">
        <f>VLOOKUP(B86,Orders!A:C,3,FALSE)</f>
        <v>46071</v>
      </c>
      <c r="K86" s="1" t="str">
        <f>VLOOKUP(B86,Orders!A:B,2,FALSE)</f>
        <v>C0165</v>
      </c>
    </row>
    <row r="87" spans="1:11" x14ac:dyDescent="0.3">
      <c r="A87" s="1" t="s">
        <v>1289</v>
      </c>
      <c r="B87" s="1" t="s">
        <v>1287</v>
      </c>
      <c r="C87" s="1" t="s">
        <v>1290</v>
      </c>
      <c r="D87" s="1">
        <v>1</v>
      </c>
      <c r="E87" s="1">
        <v>0.1</v>
      </c>
      <c r="F87" s="1" t="b">
        <v>0</v>
      </c>
      <c r="G87">
        <f>VLOOKUP(C87,Products!A:D,4,FALSE)</f>
        <v>990</v>
      </c>
      <c r="H87" t="str">
        <f>VLOOKUP(C87,Products!A:D,3,FALSE)</f>
        <v>Books</v>
      </c>
      <c r="I87">
        <f t="shared" si="1"/>
        <v>891</v>
      </c>
      <c r="J87" s="2">
        <f>VLOOKUP(B87,Orders!A:C,3,FALSE)</f>
        <v>46071</v>
      </c>
      <c r="K87" s="1" t="str">
        <f>VLOOKUP(B87,Orders!A:B,2,FALSE)</f>
        <v>C0165</v>
      </c>
    </row>
    <row r="88" spans="1:11" x14ac:dyDescent="0.3">
      <c r="A88" s="1" t="s">
        <v>1291</v>
      </c>
      <c r="B88" s="1" t="s">
        <v>1292</v>
      </c>
      <c r="C88" s="1" t="s">
        <v>1216</v>
      </c>
      <c r="D88" s="1">
        <v>5</v>
      </c>
      <c r="E88" s="1">
        <v>0.1</v>
      </c>
      <c r="F88" s="1" t="b">
        <v>0</v>
      </c>
      <c r="G88">
        <f>VLOOKUP(C88,Products!A:D,4,FALSE)</f>
        <v>1240</v>
      </c>
      <c r="H88" t="str">
        <f>VLOOKUP(C88,Products!A:D,3,FALSE)</f>
        <v>Apparel</v>
      </c>
      <c r="I88">
        <f t="shared" si="1"/>
        <v>5580</v>
      </c>
      <c r="J88" s="2">
        <f>VLOOKUP(B88,Orders!A:C,3,FALSE)</f>
        <v>45901</v>
      </c>
      <c r="K88" s="1" t="str">
        <f>VLOOKUP(B88,Orders!A:B,2,FALSE)</f>
        <v>C0065</v>
      </c>
    </row>
    <row r="89" spans="1:11" x14ac:dyDescent="0.3">
      <c r="A89" s="1" t="s">
        <v>1293</v>
      </c>
      <c r="B89" s="1" t="s">
        <v>1292</v>
      </c>
      <c r="C89" s="1" t="s">
        <v>1294</v>
      </c>
      <c r="D89" s="1">
        <v>5</v>
      </c>
      <c r="E89" s="1">
        <v>0.1</v>
      </c>
      <c r="F89" s="1" t="b">
        <v>0</v>
      </c>
      <c r="G89">
        <f>VLOOKUP(C89,Products!A:D,4,FALSE)</f>
        <v>210</v>
      </c>
      <c r="H89" t="str">
        <f>VLOOKUP(C89,Products!A:D,3,FALSE)</f>
        <v>Electronics</v>
      </c>
      <c r="I89">
        <f t="shared" si="1"/>
        <v>945</v>
      </c>
      <c r="J89" s="2">
        <f>VLOOKUP(B89,Orders!A:C,3,FALSE)</f>
        <v>45901</v>
      </c>
      <c r="K89" s="1" t="str">
        <f>VLOOKUP(B89,Orders!A:B,2,FALSE)</f>
        <v>C0065</v>
      </c>
    </row>
    <row r="90" spans="1:11" x14ac:dyDescent="0.3">
      <c r="A90" s="1" t="s">
        <v>1295</v>
      </c>
      <c r="B90" s="1" t="s">
        <v>1296</v>
      </c>
      <c r="C90" s="1" t="s">
        <v>1123</v>
      </c>
      <c r="D90" s="1">
        <v>3</v>
      </c>
      <c r="E90" s="1">
        <v>0</v>
      </c>
      <c r="F90" s="1" t="b">
        <v>0</v>
      </c>
      <c r="G90">
        <f>VLOOKUP(C90,Products!A:D,4,FALSE)</f>
        <v>2200</v>
      </c>
      <c r="H90" t="str">
        <f>VLOOKUP(C90,Products!A:D,3,FALSE)</f>
        <v>Electronics</v>
      </c>
      <c r="I90">
        <f t="shared" si="1"/>
        <v>6600</v>
      </c>
      <c r="J90" s="2">
        <f>VLOOKUP(B90,Orders!A:C,3,FALSE)</f>
        <v>46054</v>
      </c>
      <c r="K90" s="1" t="str">
        <f>VLOOKUP(B90,Orders!A:B,2,FALSE)</f>
        <v>C0281</v>
      </c>
    </row>
    <row r="91" spans="1:11" x14ac:dyDescent="0.3">
      <c r="A91" s="1" t="s">
        <v>1297</v>
      </c>
      <c r="B91" s="1" t="s">
        <v>1298</v>
      </c>
      <c r="C91" s="1" t="s">
        <v>1299</v>
      </c>
      <c r="D91" s="1">
        <v>4</v>
      </c>
      <c r="E91" s="1">
        <v>0</v>
      </c>
      <c r="F91" s="1" t="b">
        <v>0</v>
      </c>
      <c r="G91">
        <f>VLOOKUP(C91,Products!A:D,4,FALSE)</f>
        <v>1080</v>
      </c>
      <c r="H91" t="str">
        <f>VLOOKUP(C91,Products!A:D,3,FALSE)</f>
        <v>Beauty</v>
      </c>
      <c r="I91">
        <f t="shared" si="1"/>
        <v>4320</v>
      </c>
      <c r="J91" s="2">
        <f>VLOOKUP(B91,Orders!A:C,3,FALSE)</f>
        <v>46043</v>
      </c>
      <c r="K91" s="1" t="str">
        <f>VLOOKUP(B91,Orders!A:B,2,FALSE)</f>
        <v>C0272</v>
      </c>
    </row>
    <row r="92" spans="1:11" x14ac:dyDescent="0.3">
      <c r="A92" s="1" t="s">
        <v>1300</v>
      </c>
      <c r="B92" s="1" t="s">
        <v>1298</v>
      </c>
      <c r="C92" s="1" t="s">
        <v>1267</v>
      </c>
      <c r="D92" s="1">
        <v>5</v>
      </c>
      <c r="E92" s="1">
        <v>0.1</v>
      </c>
      <c r="F92" s="1" t="b">
        <v>0</v>
      </c>
      <c r="G92">
        <f>VLOOKUP(C92,Products!A:D,4,FALSE)</f>
        <v>3650</v>
      </c>
      <c r="H92" t="str">
        <f>VLOOKUP(C92,Products!A:D,3,FALSE)</f>
        <v>Books</v>
      </c>
      <c r="I92">
        <f t="shared" si="1"/>
        <v>16425</v>
      </c>
      <c r="J92" s="2">
        <f>VLOOKUP(B92,Orders!A:C,3,FALSE)</f>
        <v>46043</v>
      </c>
      <c r="K92" s="1" t="str">
        <f>VLOOKUP(B92,Orders!A:B,2,FALSE)</f>
        <v>C0272</v>
      </c>
    </row>
    <row r="93" spans="1:11" x14ac:dyDescent="0.3">
      <c r="A93" s="1" t="s">
        <v>1301</v>
      </c>
      <c r="B93" s="1" t="s">
        <v>1298</v>
      </c>
      <c r="C93" s="1" t="s">
        <v>1302</v>
      </c>
      <c r="D93" s="1">
        <v>3</v>
      </c>
      <c r="E93" s="1">
        <v>0.15</v>
      </c>
      <c r="F93" s="1" t="b">
        <v>0</v>
      </c>
      <c r="G93">
        <f>VLOOKUP(C93,Products!A:D,4,FALSE)</f>
        <v>1220</v>
      </c>
      <c r="H93" t="str">
        <f>VLOOKUP(C93,Products!A:D,3,FALSE)</f>
        <v>Home &amp; Kitchen</v>
      </c>
      <c r="I93">
        <f t="shared" si="1"/>
        <v>3111</v>
      </c>
      <c r="J93" s="2">
        <f>VLOOKUP(B93,Orders!A:C,3,FALSE)</f>
        <v>46043</v>
      </c>
      <c r="K93" s="1" t="str">
        <f>VLOOKUP(B93,Orders!A:B,2,FALSE)</f>
        <v>C0272</v>
      </c>
    </row>
    <row r="94" spans="1:11" x14ac:dyDescent="0.3">
      <c r="A94" s="1" t="s">
        <v>1303</v>
      </c>
      <c r="B94" s="1" t="s">
        <v>1304</v>
      </c>
      <c r="C94" s="1" t="s">
        <v>1219</v>
      </c>
      <c r="D94" s="1">
        <v>2</v>
      </c>
      <c r="E94" s="1">
        <v>0</v>
      </c>
      <c r="F94" s="1" t="b">
        <v>0</v>
      </c>
      <c r="G94">
        <f>VLOOKUP(C94,Products!A:D,4,FALSE)</f>
        <v>2090</v>
      </c>
      <c r="H94" t="str">
        <f>VLOOKUP(C94,Products!A:D,3,FALSE)</f>
        <v>Beauty</v>
      </c>
      <c r="I94">
        <f t="shared" si="1"/>
        <v>4180</v>
      </c>
      <c r="J94" s="2">
        <f>VLOOKUP(B94,Orders!A:C,3,FALSE)</f>
        <v>45933</v>
      </c>
      <c r="K94" s="1" t="str">
        <f>VLOOKUP(B94,Orders!A:B,2,FALSE)</f>
        <v>C0221</v>
      </c>
    </row>
    <row r="95" spans="1:11" x14ac:dyDescent="0.3">
      <c r="A95" s="1" t="s">
        <v>1305</v>
      </c>
      <c r="B95" s="1" t="s">
        <v>1306</v>
      </c>
      <c r="C95" s="1" t="s">
        <v>1307</v>
      </c>
      <c r="D95" s="1">
        <v>5</v>
      </c>
      <c r="E95" s="1">
        <v>0.1</v>
      </c>
      <c r="F95" s="1" t="b">
        <v>0</v>
      </c>
      <c r="G95">
        <f>VLOOKUP(C95,Products!A:D,4,FALSE)</f>
        <v>99</v>
      </c>
      <c r="H95" t="str">
        <f>VLOOKUP(C95,Products!A:D,3,FALSE)</f>
        <v>Sports</v>
      </c>
      <c r="I95">
        <f t="shared" si="1"/>
        <v>445.5</v>
      </c>
      <c r="J95" s="2">
        <f>VLOOKUP(B95,Orders!A:C,3,FALSE)</f>
        <v>45907</v>
      </c>
      <c r="K95" s="1" t="str">
        <f>VLOOKUP(B95,Orders!A:B,2,FALSE)</f>
        <v>C0283</v>
      </c>
    </row>
    <row r="96" spans="1:11" x14ac:dyDescent="0.3">
      <c r="A96" s="1" t="s">
        <v>1308</v>
      </c>
      <c r="B96" s="1" t="s">
        <v>1309</v>
      </c>
      <c r="C96" s="1" t="s">
        <v>1199</v>
      </c>
      <c r="D96" s="1">
        <v>1</v>
      </c>
      <c r="E96" s="1">
        <v>0</v>
      </c>
      <c r="F96" s="1" t="b">
        <v>0</v>
      </c>
      <c r="G96">
        <f>VLOOKUP(C96,Products!A:D,4,FALSE)</f>
        <v>99</v>
      </c>
      <c r="H96" t="str">
        <f>VLOOKUP(C96,Products!A:D,3,FALSE)</f>
        <v>Electronics</v>
      </c>
      <c r="I96">
        <f t="shared" si="1"/>
        <v>99</v>
      </c>
      <c r="J96" s="2">
        <f>VLOOKUP(B96,Orders!A:C,3,FALSE)</f>
        <v>45968</v>
      </c>
      <c r="K96" s="1" t="str">
        <f>VLOOKUP(B96,Orders!A:B,2,FALSE)</f>
        <v>C0221</v>
      </c>
    </row>
    <row r="97" spans="1:11" x14ac:dyDescent="0.3">
      <c r="A97" s="1" t="s">
        <v>1310</v>
      </c>
      <c r="B97" s="1" t="s">
        <v>1311</v>
      </c>
      <c r="C97" s="1" t="s">
        <v>1290</v>
      </c>
      <c r="D97" s="1">
        <v>1</v>
      </c>
      <c r="E97" s="1">
        <v>0</v>
      </c>
      <c r="F97" s="1" t="b">
        <v>0</v>
      </c>
      <c r="G97">
        <f>VLOOKUP(C97,Products!A:D,4,FALSE)</f>
        <v>990</v>
      </c>
      <c r="H97" t="str">
        <f>VLOOKUP(C97,Products!A:D,3,FALSE)</f>
        <v>Books</v>
      </c>
      <c r="I97">
        <f t="shared" si="1"/>
        <v>990</v>
      </c>
      <c r="J97" s="2">
        <f>VLOOKUP(B97,Orders!A:C,3,FALSE)</f>
        <v>45736</v>
      </c>
      <c r="K97" s="1" t="str">
        <f>VLOOKUP(B97,Orders!A:B,2,FALSE)</f>
        <v>C0117</v>
      </c>
    </row>
    <row r="98" spans="1:11" x14ac:dyDescent="0.3">
      <c r="A98" s="1" t="s">
        <v>1312</v>
      </c>
      <c r="B98" s="1" t="s">
        <v>1313</v>
      </c>
      <c r="C98" s="1" t="s">
        <v>1149</v>
      </c>
      <c r="D98" s="1">
        <v>1</v>
      </c>
      <c r="E98" s="1">
        <v>0.2</v>
      </c>
      <c r="F98" s="1" t="b">
        <v>0</v>
      </c>
      <c r="G98">
        <f>VLOOKUP(C98,Products!A:D,4,FALSE)</f>
        <v>1150</v>
      </c>
      <c r="H98" t="str">
        <f>VLOOKUP(C98,Products!A:D,3,FALSE)</f>
        <v>Apparel</v>
      </c>
      <c r="I98">
        <f t="shared" si="1"/>
        <v>920</v>
      </c>
      <c r="J98" s="2">
        <f>VLOOKUP(B98,Orders!A:C,3,FALSE)</f>
        <v>45868</v>
      </c>
      <c r="K98" s="1" t="str">
        <f>VLOOKUP(B98,Orders!A:B,2,FALSE)</f>
        <v>C0205</v>
      </c>
    </row>
    <row r="99" spans="1:11" x14ac:dyDescent="0.3">
      <c r="A99" s="1" t="s">
        <v>1314</v>
      </c>
      <c r="B99" s="1" t="s">
        <v>1313</v>
      </c>
      <c r="C99" s="1" t="s">
        <v>1315</v>
      </c>
      <c r="D99" s="1">
        <v>2</v>
      </c>
      <c r="E99" s="1">
        <v>0.05</v>
      </c>
      <c r="F99" s="1" t="b">
        <v>0</v>
      </c>
      <c r="G99">
        <f>VLOOKUP(C99,Products!A:D,4,FALSE)</f>
        <v>2190</v>
      </c>
      <c r="H99" t="str">
        <f>VLOOKUP(C99,Products!A:D,3,FALSE)</f>
        <v>Electronics</v>
      </c>
      <c r="I99">
        <f t="shared" si="1"/>
        <v>4161</v>
      </c>
      <c r="J99" s="2">
        <f>VLOOKUP(B99,Orders!A:C,3,FALSE)</f>
        <v>45868</v>
      </c>
      <c r="K99" s="1" t="str">
        <f>VLOOKUP(B99,Orders!A:B,2,FALSE)</f>
        <v>C0205</v>
      </c>
    </row>
    <row r="100" spans="1:11" x14ac:dyDescent="0.3">
      <c r="A100" s="1" t="s">
        <v>1316</v>
      </c>
      <c r="B100" s="1" t="s">
        <v>1317</v>
      </c>
      <c r="C100" s="1" t="s">
        <v>1149</v>
      </c>
      <c r="D100" s="1">
        <v>3</v>
      </c>
      <c r="E100" s="1">
        <v>0</v>
      </c>
      <c r="F100" s="1" t="b">
        <v>1</v>
      </c>
      <c r="G100">
        <f>VLOOKUP(C100,Products!A:D,4,FALSE)</f>
        <v>1150</v>
      </c>
      <c r="H100" t="str">
        <f>VLOOKUP(C100,Products!A:D,3,FALSE)</f>
        <v>Apparel</v>
      </c>
      <c r="I100">
        <f t="shared" si="1"/>
        <v>3450</v>
      </c>
      <c r="J100" s="2">
        <f>VLOOKUP(B100,Orders!A:C,3,FALSE)</f>
        <v>45855</v>
      </c>
      <c r="K100" s="1" t="str">
        <f>VLOOKUP(B100,Orders!A:B,2,FALSE)</f>
        <v>C0161</v>
      </c>
    </row>
    <row r="101" spans="1:11" x14ac:dyDescent="0.3">
      <c r="A101" s="1" t="s">
        <v>1318</v>
      </c>
      <c r="B101" s="1" t="s">
        <v>1317</v>
      </c>
      <c r="C101" s="1" t="s">
        <v>1188</v>
      </c>
      <c r="D101" s="1">
        <v>1</v>
      </c>
      <c r="E101" s="1">
        <v>0.15</v>
      </c>
      <c r="F101" s="1" t="b">
        <v>0</v>
      </c>
      <c r="G101">
        <f>VLOOKUP(C101,Products!A:D,4,FALSE)</f>
        <v>2530</v>
      </c>
      <c r="H101" t="str">
        <f>VLOOKUP(C101,Products!A:D,3,FALSE)</f>
        <v>Beauty</v>
      </c>
      <c r="I101">
        <f t="shared" si="1"/>
        <v>2150.5</v>
      </c>
      <c r="J101" s="2">
        <f>VLOOKUP(B101,Orders!A:C,3,FALSE)</f>
        <v>45855</v>
      </c>
      <c r="K101" s="1" t="str">
        <f>VLOOKUP(B101,Orders!A:B,2,FALSE)</f>
        <v>C0161</v>
      </c>
    </row>
    <row r="102" spans="1:11" x14ac:dyDescent="0.3">
      <c r="A102" s="1" t="s">
        <v>1319</v>
      </c>
      <c r="B102" s="1" t="s">
        <v>1317</v>
      </c>
      <c r="C102" s="1" t="s">
        <v>1320</v>
      </c>
      <c r="D102" s="1">
        <v>1</v>
      </c>
      <c r="E102" s="1">
        <v>0.2</v>
      </c>
      <c r="F102" s="1" t="b">
        <v>0</v>
      </c>
      <c r="G102">
        <f>VLOOKUP(C102,Products!A:D,4,FALSE)</f>
        <v>2790</v>
      </c>
      <c r="H102" t="str">
        <f>VLOOKUP(C102,Products!A:D,3,FALSE)</f>
        <v>Electronics</v>
      </c>
      <c r="I102">
        <f t="shared" si="1"/>
        <v>2232</v>
      </c>
      <c r="J102" s="2">
        <f>VLOOKUP(B102,Orders!A:C,3,FALSE)</f>
        <v>45855</v>
      </c>
      <c r="K102" s="1" t="str">
        <f>VLOOKUP(B102,Orders!A:B,2,FALSE)</f>
        <v>C0161</v>
      </c>
    </row>
    <row r="103" spans="1:11" x14ac:dyDescent="0.3">
      <c r="A103" s="1" t="s">
        <v>1321</v>
      </c>
      <c r="B103" s="1" t="s">
        <v>1322</v>
      </c>
      <c r="C103" s="1" t="s">
        <v>1123</v>
      </c>
      <c r="D103" s="1">
        <v>5</v>
      </c>
      <c r="E103" s="1">
        <v>0.1</v>
      </c>
      <c r="F103" s="1" t="b">
        <v>0</v>
      </c>
      <c r="G103">
        <f>VLOOKUP(C103,Products!A:D,4,FALSE)</f>
        <v>2200</v>
      </c>
      <c r="H103" t="str">
        <f>VLOOKUP(C103,Products!A:D,3,FALSE)</f>
        <v>Electronics</v>
      </c>
      <c r="I103">
        <f t="shared" si="1"/>
        <v>9900</v>
      </c>
      <c r="J103" s="2">
        <f>VLOOKUP(B103,Orders!A:C,3,FALSE)</f>
        <v>46139</v>
      </c>
      <c r="K103" s="1" t="str">
        <f>VLOOKUP(B103,Orders!A:B,2,FALSE)</f>
        <v>C0192</v>
      </c>
    </row>
    <row r="104" spans="1:11" x14ac:dyDescent="0.3">
      <c r="A104" s="1" t="s">
        <v>1323</v>
      </c>
      <c r="B104" s="1" t="s">
        <v>1322</v>
      </c>
      <c r="C104" s="1" t="s">
        <v>1163</v>
      </c>
      <c r="D104" s="1">
        <v>4</v>
      </c>
      <c r="E104" s="1">
        <v>0</v>
      </c>
      <c r="F104" s="1" t="b">
        <v>0</v>
      </c>
      <c r="G104">
        <f>VLOOKUP(C104,Products!A:D,4,FALSE)</f>
        <v>2180</v>
      </c>
      <c r="H104" t="str">
        <f>VLOOKUP(C104,Products!A:D,3,FALSE)</f>
        <v>Electronics</v>
      </c>
      <c r="I104">
        <f t="shared" si="1"/>
        <v>8720</v>
      </c>
      <c r="J104" s="2">
        <f>VLOOKUP(B104,Orders!A:C,3,FALSE)</f>
        <v>46139</v>
      </c>
      <c r="K104" s="1" t="str">
        <f>VLOOKUP(B104,Orders!A:B,2,FALSE)</f>
        <v>C0192</v>
      </c>
    </row>
    <row r="105" spans="1:11" x14ac:dyDescent="0.3">
      <c r="A105" s="1" t="s">
        <v>1324</v>
      </c>
      <c r="B105" s="1" t="s">
        <v>1322</v>
      </c>
      <c r="C105" s="1" t="s">
        <v>1116</v>
      </c>
      <c r="D105" s="1">
        <v>1</v>
      </c>
      <c r="E105" s="1">
        <v>0.1</v>
      </c>
      <c r="F105" s="1" t="b">
        <v>0</v>
      </c>
      <c r="G105">
        <f>VLOOKUP(C105,Products!A:D,4,FALSE)</f>
        <v>3000</v>
      </c>
      <c r="H105" t="str">
        <f>VLOOKUP(C105,Products!A:D,3,FALSE)</f>
        <v>Home &amp; Kitchen</v>
      </c>
      <c r="I105">
        <f t="shared" si="1"/>
        <v>2700</v>
      </c>
      <c r="J105" s="2">
        <f>VLOOKUP(B105,Orders!A:C,3,FALSE)</f>
        <v>46139</v>
      </c>
      <c r="K105" s="1" t="str">
        <f>VLOOKUP(B105,Orders!A:B,2,FALSE)</f>
        <v>C0192</v>
      </c>
    </row>
    <row r="106" spans="1:11" x14ac:dyDescent="0.3">
      <c r="A106" s="1" t="s">
        <v>1325</v>
      </c>
      <c r="B106" s="1" t="s">
        <v>1326</v>
      </c>
      <c r="C106" s="1" t="s">
        <v>1109</v>
      </c>
      <c r="D106" s="1">
        <v>4</v>
      </c>
      <c r="E106" s="1">
        <v>0.1</v>
      </c>
      <c r="F106" s="1" t="b">
        <v>0</v>
      </c>
      <c r="G106">
        <f>VLOOKUP(C106,Products!A:D,4,FALSE)</f>
        <v>1475</v>
      </c>
      <c r="H106" t="str">
        <f>VLOOKUP(C106,Products!A:D,3,FALSE)</f>
        <v>Books</v>
      </c>
      <c r="I106">
        <f t="shared" si="1"/>
        <v>5310</v>
      </c>
      <c r="J106" s="2">
        <f>VLOOKUP(B106,Orders!A:C,3,FALSE)</f>
        <v>45972</v>
      </c>
      <c r="K106" s="1" t="str">
        <f>VLOOKUP(B106,Orders!A:B,2,FALSE)</f>
        <v>C0035</v>
      </c>
    </row>
    <row r="107" spans="1:11" x14ac:dyDescent="0.3">
      <c r="A107" s="1" t="s">
        <v>1327</v>
      </c>
      <c r="B107" s="1" t="s">
        <v>1326</v>
      </c>
      <c r="C107" s="1" t="s">
        <v>1328</v>
      </c>
      <c r="D107" s="1">
        <v>5</v>
      </c>
      <c r="E107" s="1">
        <v>0</v>
      </c>
      <c r="F107" s="1" t="b">
        <v>0</v>
      </c>
      <c r="G107">
        <f>VLOOKUP(C107,Products!A:D,4,FALSE)</f>
        <v>1880</v>
      </c>
      <c r="H107" t="str">
        <f>VLOOKUP(C107,Products!A:D,3,FALSE)</f>
        <v>Apparel</v>
      </c>
      <c r="I107">
        <f t="shared" si="1"/>
        <v>9400</v>
      </c>
      <c r="J107" s="2">
        <f>VLOOKUP(B107,Orders!A:C,3,FALSE)</f>
        <v>45972</v>
      </c>
      <c r="K107" s="1" t="str">
        <f>VLOOKUP(B107,Orders!A:B,2,FALSE)</f>
        <v>C0035</v>
      </c>
    </row>
    <row r="108" spans="1:11" x14ac:dyDescent="0.3">
      <c r="A108" s="1" t="s">
        <v>1329</v>
      </c>
      <c r="B108" s="1" t="s">
        <v>1326</v>
      </c>
      <c r="C108" s="1" t="s">
        <v>1330</v>
      </c>
      <c r="D108" s="1">
        <v>1</v>
      </c>
      <c r="E108" s="1">
        <v>0.05</v>
      </c>
      <c r="F108" s="1" t="b">
        <v>0</v>
      </c>
      <c r="G108">
        <f>VLOOKUP(C108,Products!A:D,4,FALSE)</f>
        <v>580</v>
      </c>
      <c r="H108" t="str">
        <f>VLOOKUP(C108,Products!A:D,3,FALSE)</f>
        <v>Books</v>
      </c>
      <c r="I108">
        <f t="shared" si="1"/>
        <v>551</v>
      </c>
      <c r="J108" s="2">
        <f>VLOOKUP(B108,Orders!A:C,3,FALSE)</f>
        <v>45972</v>
      </c>
      <c r="K108" s="1" t="str">
        <f>VLOOKUP(B108,Orders!A:B,2,FALSE)</f>
        <v>C0035</v>
      </c>
    </row>
    <row r="109" spans="1:11" x14ac:dyDescent="0.3">
      <c r="A109" s="1" t="s">
        <v>1331</v>
      </c>
      <c r="B109" s="1" t="s">
        <v>1332</v>
      </c>
      <c r="C109" s="1" t="s">
        <v>1333</v>
      </c>
      <c r="D109" s="1">
        <v>3</v>
      </c>
      <c r="E109" s="1">
        <v>0.1</v>
      </c>
      <c r="F109" s="1" t="b">
        <v>0</v>
      </c>
      <c r="G109">
        <f>VLOOKUP(C109,Products!A:D,4,FALSE)</f>
        <v>1440</v>
      </c>
      <c r="H109" t="str">
        <f>VLOOKUP(C109,Products!A:D,3,FALSE)</f>
        <v>Home &amp; Kitchen</v>
      </c>
      <c r="I109">
        <f t="shared" si="1"/>
        <v>3888</v>
      </c>
      <c r="J109" s="2">
        <f>VLOOKUP(B109,Orders!A:C,3,FALSE)</f>
        <v>46194</v>
      </c>
      <c r="K109" s="1" t="str">
        <f>VLOOKUP(B109,Orders!A:B,2,FALSE)</f>
        <v>C0048</v>
      </c>
    </row>
    <row r="110" spans="1:11" x14ac:dyDescent="0.3">
      <c r="A110" s="1" t="s">
        <v>1334</v>
      </c>
      <c r="B110" s="1" t="s">
        <v>1332</v>
      </c>
      <c r="C110" s="1" t="s">
        <v>1265</v>
      </c>
      <c r="D110" s="1">
        <v>4</v>
      </c>
      <c r="E110" s="1">
        <v>0.1</v>
      </c>
      <c r="F110" s="1" t="b">
        <v>0</v>
      </c>
      <c r="G110">
        <f>VLOOKUP(C110,Products!A:D,4,FALSE)</f>
        <v>99</v>
      </c>
      <c r="H110" t="str">
        <f>VLOOKUP(C110,Products!A:D,3,FALSE)</f>
        <v>Beauty</v>
      </c>
      <c r="I110">
        <f t="shared" si="1"/>
        <v>356.40000000000003</v>
      </c>
      <c r="J110" s="2">
        <f>VLOOKUP(B110,Orders!A:C,3,FALSE)</f>
        <v>46194</v>
      </c>
      <c r="K110" s="1" t="str">
        <f>VLOOKUP(B110,Orders!A:B,2,FALSE)</f>
        <v>C0048</v>
      </c>
    </row>
    <row r="111" spans="1:11" x14ac:dyDescent="0.3">
      <c r="A111" s="1" t="s">
        <v>1335</v>
      </c>
      <c r="B111" s="1" t="s">
        <v>1336</v>
      </c>
      <c r="C111" s="1" t="s">
        <v>1262</v>
      </c>
      <c r="D111" s="1">
        <v>3</v>
      </c>
      <c r="E111" s="1">
        <v>0.05</v>
      </c>
      <c r="F111" s="1" t="b">
        <v>0</v>
      </c>
      <c r="G111">
        <f>VLOOKUP(C111,Products!A:D,4,FALSE)</f>
        <v>4020</v>
      </c>
      <c r="H111" t="str">
        <f>VLOOKUP(C111,Products!A:D,3,FALSE)</f>
        <v>Sports</v>
      </c>
      <c r="I111">
        <f t="shared" si="1"/>
        <v>11457</v>
      </c>
      <c r="J111" s="2">
        <f>VLOOKUP(B111,Orders!A:C,3,FALSE)</f>
        <v>45807</v>
      </c>
      <c r="K111" s="1" t="str">
        <f>VLOOKUP(B111,Orders!A:B,2,FALSE)</f>
        <v>C0067</v>
      </c>
    </row>
    <row r="112" spans="1:11" x14ac:dyDescent="0.3">
      <c r="A112" s="1" t="s">
        <v>1337</v>
      </c>
      <c r="B112" s="1" t="s">
        <v>1336</v>
      </c>
      <c r="C112" s="1" t="s">
        <v>1121</v>
      </c>
      <c r="D112" s="1">
        <v>3</v>
      </c>
      <c r="E112" s="1">
        <v>0.05</v>
      </c>
      <c r="F112" s="1" t="b">
        <v>0</v>
      </c>
      <c r="G112">
        <f>VLOOKUP(C112,Products!A:D,4,FALSE)</f>
        <v>1440</v>
      </c>
      <c r="H112" t="str">
        <f>VLOOKUP(C112,Products!A:D,3,FALSE)</f>
        <v>Sports</v>
      </c>
      <c r="I112">
        <f t="shared" si="1"/>
        <v>4104</v>
      </c>
      <c r="J112" s="2">
        <f>VLOOKUP(B112,Orders!A:C,3,FALSE)</f>
        <v>45807</v>
      </c>
      <c r="K112" s="1" t="str">
        <f>VLOOKUP(B112,Orders!A:B,2,FALSE)</f>
        <v>C0067</v>
      </c>
    </row>
    <row r="113" spans="1:11" x14ac:dyDescent="0.3">
      <c r="A113" s="1" t="s">
        <v>1338</v>
      </c>
      <c r="B113" s="1" t="s">
        <v>1336</v>
      </c>
      <c r="C113" s="1" t="s">
        <v>1163</v>
      </c>
      <c r="D113" s="1">
        <v>2</v>
      </c>
      <c r="E113" s="1">
        <v>0.05</v>
      </c>
      <c r="F113" s="1" t="b">
        <v>0</v>
      </c>
      <c r="G113">
        <f>VLOOKUP(C113,Products!A:D,4,FALSE)</f>
        <v>2180</v>
      </c>
      <c r="H113" t="str">
        <f>VLOOKUP(C113,Products!A:D,3,FALSE)</f>
        <v>Electronics</v>
      </c>
      <c r="I113">
        <f t="shared" si="1"/>
        <v>4142</v>
      </c>
      <c r="J113" s="2">
        <f>VLOOKUP(B113,Orders!A:C,3,FALSE)</f>
        <v>45807</v>
      </c>
      <c r="K113" s="1" t="str">
        <f>VLOOKUP(B113,Orders!A:B,2,FALSE)</f>
        <v>C0067</v>
      </c>
    </row>
    <row r="114" spans="1:11" x14ac:dyDescent="0.3">
      <c r="A114" s="1" t="s">
        <v>1339</v>
      </c>
      <c r="B114" s="1" t="s">
        <v>1340</v>
      </c>
      <c r="C114" s="1" t="s">
        <v>1195</v>
      </c>
      <c r="D114" s="1">
        <v>3</v>
      </c>
      <c r="E114" s="1">
        <v>0.2</v>
      </c>
      <c r="F114" s="1" t="b">
        <v>0</v>
      </c>
      <c r="G114">
        <f>VLOOKUP(C114,Products!A:D,4,FALSE)</f>
        <v>3430</v>
      </c>
      <c r="H114" t="str">
        <f>VLOOKUP(C114,Products!A:D,3,FALSE)</f>
        <v>Books</v>
      </c>
      <c r="I114">
        <f t="shared" si="1"/>
        <v>8232</v>
      </c>
      <c r="J114" s="2">
        <f>VLOOKUP(B114,Orders!A:C,3,FALSE)</f>
        <v>46135</v>
      </c>
      <c r="K114" s="1" t="str">
        <f>VLOOKUP(B114,Orders!A:B,2,FALSE)</f>
        <v>C0288</v>
      </c>
    </row>
    <row r="115" spans="1:11" x14ac:dyDescent="0.3">
      <c r="A115" s="1" t="s">
        <v>1341</v>
      </c>
      <c r="B115" s="1" t="s">
        <v>1340</v>
      </c>
      <c r="C115" s="1" t="s">
        <v>1184</v>
      </c>
      <c r="D115" s="1">
        <v>3</v>
      </c>
      <c r="E115" s="1">
        <v>0.15</v>
      </c>
      <c r="F115" s="1" t="b">
        <v>0</v>
      </c>
      <c r="G115">
        <f>VLOOKUP(C115,Products!A:D,4,FALSE)</f>
        <v>2230</v>
      </c>
      <c r="H115" t="str">
        <f>VLOOKUP(C115,Products!A:D,3,FALSE)</f>
        <v>Sports</v>
      </c>
      <c r="I115">
        <f t="shared" si="1"/>
        <v>5686.5</v>
      </c>
      <c r="J115" s="2">
        <f>VLOOKUP(B115,Orders!A:C,3,FALSE)</f>
        <v>46135</v>
      </c>
      <c r="K115" s="1" t="str">
        <f>VLOOKUP(B115,Orders!A:B,2,FALSE)</f>
        <v>C0288</v>
      </c>
    </row>
    <row r="116" spans="1:11" x14ac:dyDescent="0.3">
      <c r="A116" s="1" t="s">
        <v>1342</v>
      </c>
      <c r="B116" s="1" t="s">
        <v>1343</v>
      </c>
      <c r="C116" s="1" t="s">
        <v>1184</v>
      </c>
      <c r="D116" s="1">
        <v>2</v>
      </c>
      <c r="E116" s="1">
        <v>0</v>
      </c>
      <c r="F116" s="1" t="b">
        <v>0</v>
      </c>
      <c r="G116">
        <f>VLOOKUP(C116,Products!A:D,4,FALSE)</f>
        <v>2230</v>
      </c>
      <c r="H116" t="str">
        <f>VLOOKUP(C116,Products!A:D,3,FALSE)</f>
        <v>Sports</v>
      </c>
      <c r="I116">
        <f t="shared" si="1"/>
        <v>4460</v>
      </c>
      <c r="J116" s="2">
        <f>VLOOKUP(B116,Orders!A:C,3,FALSE)</f>
        <v>46215</v>
      </c>
      <c r="K116" s="1" t="str">
        <f>VLOOKUP(B116,Orders!A:B,2,FALSE)</f>
        <v>C0211</v>
      </c>
    </row>
    <row r="117" spans="1:11" x14ac:dyDescent="0.3">
      <c r="A117" s="1" t="s">
        <v>1344</v>
      </c>
      <c r="B117" s="1" t="s">
        <v>1343</v>
      </c>
      <c r="C117" s="1" t="s">
        <v>1132</v>
      </c>
      <c r="D117" s="1">
        <v>5</v>
      </c>
      <c r="E117" s="1">
        <v>0.15</v>
      </c>
      <c r="F117" s="1" t="b">
        <v>0</v>
      </c>
      <c r="G117">
        <f>VLOOKUP(C117,Products!A:D,4,FALSE)</f>
        <v>420</v>
      </c>
      <c r="H117" t="str">
        <f>VLOOKUP(C117,Products!A:D,3,FALSE)</f>
        <v>Beauty</v>
      </c>
      <c r="I117">
        <f t="shared" si="1"/>
        <v>1785</v>
      </c>
      <c r="J117" s="2">
        <f>VLOOKUP(B117,Orders!A:C,3,FALSE)</f>
        <v>46215</v>
      </c>
      <c r="K117" s="1" t="str">
        <f>VLOOKUP(B117,Orders!A:B,2,FALSE)</f>
        <v>C0211</v>
      </c>
    </row>
    <row r="118" spans="1:11" x14ac:dyDescent="0.3">
      <c r="A118" s="1" t="s">
        <v>1345</v>
      </c>
      <c r="B118" s="1" t="s">
        <v>1346</v>
      </c>
      <c r="C118" s="1" t="s">
        <v>1152</v>
      </c>
      <c r="D118" s="1">
        <v>2</v>
      </c>
      <c r="E118" s="1">
        <v>0.15</v>
      </c>
      <c r="F118" s="1" t="b">
        <v>0</v>
      </c>
      <c r="G118">
        <f>VLOOKUP(C118,Products!A:D,4,FALSE)</f>
        <v>2250</v>
      </c>
      <c r="H118" t="str">
        <f>VLOOKUP(C118,Products!A:D,3,FALSE)</f>
        <v>Home &amp; Kitchen</v>
      </c>
      <c r="I118">
        <f t="shared" si="1"/>
        <v>3825</v>
      </c>
      <c r="J118" s="2">
        <f>VLOOKUP(B118,Orders!A:C,3,FALSE)</f>
        <v>45987</v>
      </c>
      <c r="K118" s="1" t="str">
        <f>VLOOKUP(B118,Orders!A:B,2,FALSE)</f>
        <v>C0027</v>
      </c>
    </row>
    <row r="119" spans="1:11" x14ac:dyDescent="0.3">
      <c r="A119" s="1" t="s">
        <v>1347</v>
      </c>
      <c r="B119" s="1" t="s">
        <v>1348</v>
      </c>
      <c r="C119" s="1" t="s">
        <v>1328</v>
      </c>
      <c r="D119" s="1">
        <v>5</v>
      </c>
      <c r="E119" s="1">
        <v>0.1</v>
      </c>
      <c r="F119" s="1" t="b">
        <v>0</v>
      </c>
      <c r="G119">
        <f>VLOOKUP(C119,Products!A:D,4,FALSE)</f>
        <v>1880</v>
      </c>
      <c r="H119" t="str">
        <f>VLOOKUP(C119,Products!A:D,3,FALSE)</f>
        <v>Apparel</v>
      </c>
      <c r="I119">
        <f t="shared" si="1"/>
        <v>8460</v>
      </c>
      <c r="J119" s="2">
        <f>VLOOKUP(B119,Orders!A:C,3,FALSE)</f>
        <v>45930</v>
      </c>
      <c r="K119" s="1" t="str">
        <f>VLOOKUP(B119,Orders!A:B,2,FALSE)</f>
        <v>C0160</v>
      </c>
    </row>
    <row r="120" spans="1:11" x14ac:dyDescent="0.3">
      <c r="A120" s="1" t="s">
        <v>1349</v>
      </c>
      <c r="B120" s="1" t="s">
        <v>1348</v>
      </c>
      <c r="C120" s="1" t="s">
        <v>1276</v>
      </c>
      <c r="D120" s="1">
        <v>1</v>
      </c>
      <c r="E120" s="1">
        <v>0.2</v>
      </c>
      <c r="F120" s="1" t="b">
        <v>0</v>
      </c>
      <c r="G120">
        <f>VLOOKUP(C120,Products!A:D,4,FALSE)</f>
        <v>2010</v>
      </c>
      <c r="H120" t="str">
        <f>VLOOKUP(C120,Products!A:D,3,FALSE)</f>
        <v>Beauty</v>
      </c>
      <c r="I120">
        <f t="shared" si="1"/>
        <v>1608</v>
      </c>
      <c r="J120" s="2">
        <f>VLOOKUP(B120,Orders!A:C,3,FALSE)</f>
        <v>45930</v>
      </c>
      <c r="K120" s="1" t="str">
        <f>VLOOKUP(B120,Orders!A:B,2,FALSE)</f>
        <v>C0160</v>
      </c>
    </row>
    <row r="121" spans="1:11" x14ac:dyDescent="0.3">
      <c r="A121" s="1" t="s">
        <v>1350</v>
      </c>
      <c r="B121" s="1" t="s">
        <v>1351</v>
      </c>
      <c r="C121" s="1" t="s">
        <v>1209</v>
      </c>
      <c r="D121" s="1">
        <v>5</v>
      </c>
      <c r="E121" s="1">
        <v>0.1</v>
      </c>
      <c r="F121" s="1" t="b">
        <v>0</v>
      </c>
      <c r="G121">
        <f>VLOOKUP(C121,Products!A:D,4,FALSE)</f>
        <v>1580</v>
      </c>
      <c r="H121" t="str">
        <f>VLOOKUP(C121,Products!A:D,3,FALSE)</f>
        <v>Apparel</v>
      </c>
      <c r="I121">
        <f t="shared" si="1"/>
        <v>7110</v>
      </c>
      <c r="J121" s="2">
        <f>VLOOKUP(B121,Orders!A:C,3,FALSE)</f>
        <v>45901</v>
      </c>
      <c r="K121" s="1" t="str">
        <f>VLOOKUP(B121,Orders!A:B,2,FALSE)</f>
        <v>C0260</v>
      </c>
    </row>
    <row r="122" spans="1:11" x14ac:dyDescent="0.3">
      <c r="A122" s="1" t="s">
        <v>1352</v>
      </c>
      <c r="B122" s="1" t="s">
        <v>1353</v>
      </c>
      <c r="C122" s="1" t="s">
        <v>1188</v>
      </c>
      <c r="D122" s="1">
        <v>5</v>
      </c>
      <c r="E122" s="1">
        <v>0</v>
      </c>
      <c r="F122" s="1" t="b">
        <v>0</v>
      </c>
      <c r="G122">
        <f>VLOOKUP(C122,Products!A:D,4,FALSE)</f>
        <v>2530</v>
      </c>
      <c r="H122" t="str">
        <f>VLOOKUP(C122,Products!A:D,3,FALSE)</f>
        <v>Beauty</v>
      </c>
      <c r="I122">
        <f t="shared" si="1"/>
        <v>12650</v>
      </c>
      <c r="J122" s="2">
        <f>VLOOKUP(B122,Orders!A:C,3,FALSE)</f>
        <v>46036</v>
      </c>
      <c r="K122" s="1" t="str">
        <f>VLOOKUP(B122,Orders!A:B,2,FALSE)</f>
        <v>C0115</v>
      </c>
    </row>
    <row r="123" spans="1:11" x14ac:dyDescent="0.3">
      <c r="A123" s="1" t="s">
        <v>1354</v>
      </c>
      <c r="B123" s="1" t="s">
        <v>1353</v>
      </c>
      <c r="C123" s="1" t="s">
        <v>1140</v>
      </c>
      <c r="D123" s="1">
        <v>1</v>
      </c>
      <c r="E123" s="1">
        <v>0.1</v>
      </c>
      <c r="F123" s="1" t="b">
        <v>0</v>
      </c>
      <c r="G123">
        <f>VLOOKUP(C123,Products!A:D,4,FALSE)</f>
        <v>3040</v>
      </c>
      <c r="H123" t="str">
        <f>VLOOKUP(C123,Products!A:D,3,FALSE)</f>
        <v>Electronics</v>
      </c>
      <c r="I123">
        <f t="shared" si="1"/>
        <v>2736</v>
      </c>
      <c r="J123" s="2">
        <f>VLOOKUP(B123,Orders!A:C,3,FALSE)</f>
        <v>46036</v>
      </c>
      <c r="K123" s="1" t="str">
        <f>VLOOKUP(B123,Orders!A:B,2,FALSE)</f>
        <v>C0115</v>
      </c>
    </row>
    <row r="124" spans="1:11" x14ac:dyDescent="0.3">
      <c r="A124" s="1" t="s">
        <v>1355</v>
      </c>
      <c r="B124" s="1" t="s">
        <v>1353</v>
      </c>
      <c r="C124" s="1" t="s">
        <v>1199</v>
      </c>
      <c r="D124" s="1">
        <v>1</v>
      </c>
      <c r="E124" s="1">
        <v>0.05</v>
      </c>
      <c r="F124" s="1" t="b">
        <v>0</v>
      </c>
      <c r="G124">
        <f>VLOOKUP(C124,Products!A:D,4,FALSE)</f>
        <v>99</v>
      </c>
      <c r="H124" t="str">
        <f>VLOOKUP(C124,Products!A:D,3,FALSE)</f>
        <v>Electronics</v>
      </c>
      <c r="I124">
        <f t="shared" si="1"/>
        <v>94.05</v>
      </c>
      <c r="J124" s="2">
        <f>VLOOKUP(B124,Orders!A:C,3,FALSE)</f>
        <v>46036</v>
      </c>
      <c r="K124" s="1" t="str">
        <f>VLOOKUP(B124,Orders!A:B,2,FALSE)</f>
        <v>C0115</v>
      </c>
    </row>
    <row r="125" spans="1:11" x14ac:dyDescent="0.3">
      <c r="A125" s="1" t="s">
        <v>1356</v>
      </c>
      <c r="B125" s="1" t="s">
        <v>1357</v>
      </c>
      <c r="C125" s="1" t="s">
        <v>1242</v>
      </c>
      <c r="D125" s="1">
        <v>2</v>
      </c>
      <c r="E125" s="1">
        <v>0</v>
      </c>
      <c r="F125" s="1" t="b">
        <v>0</v>
      </c>
      <c r="G125">
        <f>VLOOKUP(C125,Products!A:D,4,FALSE)</f>
        <v>2720</v>
      </c>
      <c r="H125" t="str">
        <f>VLOOKUP(C125,Products!A:D,3,FALSE)</f>
        <v>Beauty</v>
      </c>
      <c r="I125">
        <f t="shared" si="1"/>
        <v>5440</v>
      </c>
      <c r="J125" s="2">
        <f>VLOOKUP(B125,Orders!A:C,3,FALSE)</f>
        <v>45830</v>
      </c>
      <c r="K125" s="1" t="str">
        <f>VLOOKUP(B125,Orders!A:B,2,FALSE)</f>
        <v>C0285</v>
      </c>
    </row>
    <row r="126" spans="1:11" x14ac:dyDescent="0.3">
      <c r="A126" s="1" t="s">
        <v>1358</v>
      </c>
      <c r="B126" s="1" t="s">
        <v>1359</v>
      </c>
      <c r="C126" s="1" t="s">
        <v>1270</v>
      </c>
      <c r="D126" s="1">
        <v>3</v>
      </c>
      <c r="E126" s="1">
        <v>0.15</v>
      </c>
      <c r="F126" s="1" t="b">
        <v>0</v>
      </c>
      <c r="G126">
        <f>VLOOKUP(C126,Products!A:D,4,FALSE)</f>
        <v>3560</v>
      </c>
      <c r="H126" t="str">
        <f>VLOOKUP(C126,Products!A:D,3,FALSE)</f>
        <v>Sports</v>
      </c>
      <c r="I126">
        <f t="shared" si="1"/>
        <v>9078</v>
      </c>
      <c r="J126" s="2">
        <f>VLOOKUP(B126,Orders!A:C,3,FALSE)</f>
        <v>46066</v>
      </c>
      <c r="K126" s="1" t="str">
        <f>VLOOKUP(B126,Orders!A:B,2,FALSE)</f>
        <v>C0294</v>
      </c>
    </row>
    <row r="127" spans="1:11" x14ac:dyDescent="0.3">
      <c r="A127" s="1" t="s">
        <v>1360</v>
      </c>
      <c r="B127" s="1" t="s">
        <v>1359</v>
      </c>
      <c r="C127" s="1" t="s">
        <v>1176</v>
      </c>
      <c r="D127" s="1">
        <v>2</v>
      </c>
      <c r="E127" s="1">
        <v>0.2</v>
      </c>
      <c r="F127" s="1" t="b">
        <v>0</v>
      </c>
      <c r="G127">
        <f>VLOOKUP(C127,Products!A:D,4,FALSE)</f>
        <v>2670</v>
      </c>
      <c r="H127" t="str">
        <f>VLOOKUP(C127,Products!A:D,3,FALSE)</f>
        <v>Beauty</v>
      </c>
      <c r="I127">
        <f t="shared" si="1"/>
        <v>4272</v>
      </c>
      <c r="J127" s="2">
        <f>VLOOKUP(B127,Orders!A:C,3,FALSE)</f>
        <v>46066</v>
      </c>
      <c r="K127" s="1" t="str">
        <f>VLOOKUP(B127,Orders!A:B,2,FALSE)</f>
        <v>C0294</v>
      </c>
    </row>
    <row r="128" spans="1:11" x14ac:dyDescent="0.3">
      <c r="A128" s="1" t="s">
        <v>1361</v>
      </c>
      <c r="B128" s="1" t="s">
        <v>1362</v>
      </c>
      <c r="C128" s="1" t="s">
        <v>1307</v>
      </c>
      <c r="D128" s="1">
        <v>2</v>
      </c>
      <c r="E128" s="1">
        <v>0.2</v>
      </c>
      <c r="F128" s="1" t="b">
        <v>0</v>
      </c>
      <c r="G128">
        <f>VLOOKUP(C128,Products!A:D,4,FALSE)</f>
        <v>99</v>
      </c>
      <c r="H128" t="str">
        <f>VLOOKUP(C128,Products!A:D,3,FALSE)</f>
        <v>Sports</v>
      </c>
      <c r="I128">
        <f t="shared" si="1"/>
        <v>158.4</v>
      </c>
      <c r="J128" s="2">
        <f>VLOOKUP(B128,Orders!A:C,3,FALSE)</f>
        <v>46195</v>
      </c>
      <c r="K128" s="1" t="str">
        <f>VLOOKUP(B128,Orders!A:B,2,FALSE)</f>
        <v>C0288</v>
      </c>
    </row>
    <row r="129" spans="1:11" x14ac:dyDescent="0.3">
      <c r="A129" s="1" t="s">
        <v>1363</v>
      </c>
      <c r="B129" s="1" t="s">
        <v>1364</v>
      </c>
      <c r="C129" s="1" t="s">
        <v>1204</v>
      </c>
      <c r="D129" s="1">
        <v>4</v>
      </c>
      <c r="E129" s="1">
        <v>0</v>
      </c>
      <c r="F129" s="1" t="b">
        <v>0</v>
      </c>
      <c r="G129">
        <f>VLOOKUP(C129,Products!A:D,4,FALSE)</f>
        <v>940</v>
      </c>
      <c r="H129" t="str">
        <f>VLOOKUP(C129,Products!A:D,3,FALSE)</f>
        <v>Apparel</v>
      </c>
      <c r="I129">
        <f t="shared" si="1"/>
        <v>3760</v>
      </c>
      <c r="J129" s="2">
        <f>VLOOKUP(B129,Orders!A:C,3,FALSE)</f>
        <v>46204</v>
      </c>
      <c r="K129" s="1" t="str">
        <f>VLOOKUP(B129,Orders!A:B,2,FALSE)</f>
        <v>C0286</v>
      </c>
    </row>
    <row r="130" spans="1:11" x14ac:dyDescent="0.3">
      <c r="A130" s="1" t="s">
        <v>1365</v>
      </c>
      <c r="B130" s="1" t="s">
        <v>1364</v>
      </c>
      <c r="C130" s="1" t="s">
        <v>1137</v>
      </c>
      <c r="D130" s="1">
        <v>5</v>
      </c>
      <c r="E130" s="1">
        <v>0.2</v>
      </c>
      <c r="F130" s="1" t="b">
        <v>0</v>
      </c>
      <c r="G130">
        <f>VLOOKUP(C130,Products!A:D,4,FALSE)</f>
        <v>1910</v>
      </c>
      <c r="H130" t="str">
        <f>VLOOKUP(C130,Products!A:D,3,FALSE)</f>
        <v>Apparel</v>
      </c>
      <c r="I130">
        <f t="shared" ref="I130:I191" si="2">G130*D130*(1-E130)</f>
        <v>7640</v>
      </c>
      <c r="J130" s="2">
        <f>VLOOKUP(B130,Orders!A:C,3,FALSE)</f>
        <v>46204</v>
      </c>
      <c r="K130" s="1" t="str">
        <f>VLOOKUP(B130,Orders!A:B,2,FALSE)</f>
        <v>C0286</v>
      </c>
    </row>
    <row r="131" spans="1:11" x14ac:dyDescent="0.3">
      <c r="A131" s="1" t="s">
        <v>1366</v>
      </c>
      <c r="B131" s="1" t="s">
        <v>1367</v>
      </c>
      <c r="C131" s="1" t="s">
        <v>1267</v>
      </c>
      <c r="D131" s="1">
        <v>4</v>
      </c>
      <c r="E131" s="1">
        <v>0</v>
      </c>
      <c r="F131" s="1" t="b">
        <v>0</v>
      </c>
      <c r="G131">
        <f>VLOOKUP(C131,Products!A:D,4,FALSE)</f>
        <v>3650</v>
      </c>
      <c r="H131" t="str">
        <f>VLOOKUP(C131,Products!A:D,3,FALSE)</f>
        <v>Books</v>
      </c>
      <c r="I131">
        <f t="shared" si="2"/>
        <v>14600</v>
      </c>
      <c r="J131" s="2">
        <f>VLOOKUP(B131,Orders!A:C,3,FALSE)</f>
        <v>45810</v>
      </c>
      <c r="K131" s="1" t="str">
        <f>VLOOKUP(B131,Orders!A:B,2,FALSE)</f>
        <v>C0015</v>
      </c>
    </row>
    <row r="132" spans="1:11" x14ac:dyDescent="0.3">
      <c r="A132" s="1" t="s">
        <v>1368</v>
      </c>
      <c r="B132" s="1" t="s">
        <v>1369</v>
      </c>
      <c r="C132" s="1" t="s">
        <v>1197</v>
      </c>
      <c r="D132" s="1">
        <v>1</v>
      </c>
      <c r="E132" s="1">
        <v>0.05</v>
      </c>
      <c r="F132" s="1" t="b">
        <v>0</v>
      </c>
      <c r="G132">
        <f>VLOOKUP(C132,Products!A:D,4,FALSE)</f>
        <v>2050</v>
      </c>
      <c r="H132" t="str">
        <f>VLOOKUP(C132,Products!A:D,3,FALSE)</f>
        <v>Apparel</v>
      </c>
      <c r="I132">
        <f t="shared" si="2"/>
        <v>1947.5</v>
      </c>
      <c r="J132" s="2">
        <f>VLOOKUP(B132,Orders!A:C,3,FALSE)</f>
        <v>46029</v>
      </c>
      <c r="K132" s="1" t="str">
        <f>VLOOKUP(B132,Orders!A:B,2,FALSE)</f>
        <v>C0159</v>
      </c>
    </row>
    <row r="133" spans="1:11" x14ac:dyDescent="0.3">
      <c r="A133" s="1" t="s">
        <v>1370</v>
      </c>
      <c r="B133" s="1" t="s">
        <v>1369</v>
      </c>
      <c r="C133" s="1" t="s">
        <v>1265</v>
      </c>
      <c r="D133" s="1">
        <v>4</v>
      </c>
      <c r="E133" s="1">
        <v>0.2</v>
      </c>
      <c r="F133" s="1" t="b">
        <v>0</v>
      </c>
      <c r="G133">
        <f>VLOOKUP(C133,Products!A:D,4,FALSE)</f>
        <v>99</v>
      </c>
      <c r="H133" t="str">
        <f>VLOOKUP(C133,Products!A:D,3,FALSE)</f>
        <v>Beauty</v>
      </c>
      <c r="I133">
        <f t="shared" si="2"/>
        <v>316.8</v>
      </c>
      <c r="J133" s="2">
        <f>VLOOKUP(B133,Orders!A:C,3,FALSE)</f>
        <v>46029</v>
      </c>
      <c r="K133" s="1" t="str">
        <f>VLOOKUP(B133,Orders!A:B,2,FALSE)</f>
        <v>C0159</v>
      </c>
    </row>
    <row r="134" spans="1:11" x14ac:dyDescent="0.3">
      <c r="A134" s="1" t="s">
        <v>1371</v>
      </c>
      <c r="B134" s="1" t="s">
        <v>1372</v>
      </c>
      <c r="C134" s="1" t="s">
        <v>1225</v>
      </c>
      <c r="D134" s="1">
        <v>5</v>
      </c>
      <c r="E134" s="1">
        <v>0</v>
      </c>
      <c r="F134" s="1" t="b">
        <v>0</v>
      </c>
      <c r="G134">
        <f>VLOOKUP(C134,Products!A:D,4,FALSE)</f>
        <v>2690</v>
      </c>
      <c r="H134" t="str">
        <f>VLOOKUP(C134,Products!A:D,3,FALSE)</f>
        <v>Beauty</v>
      </c>
      <c r="I134">
        <f t="shared" si="2"/>
        <v>13450</v>
      </c>
      <c r="J134" s="2">
        <f>VLOOKUP(B134,Orders!A:C,3,FALSE)</f>
        <v>45878</v>
      </c>
      <c r="K134" s="1" t="str">
        <f>VLOOKUP(B134,Orders!A:B,2,FALSE)</f>
        <v>C0004</v>
      </c>
    </row>
    <row r="135" spans="1:11" x14ac:dyDescent="0.3">
      <c r="A135" s="1" t="s">
        <v>1373</v>
      </c>
      <c r="B135" s="1" t="s">
        <v>1372</v>
      </c>
      <c r="C135" s="1" t="s">
        <v>1146</v>
      </c>
      <c r="D135" s="1">
        <v>3</v>
      </c>
      <c r="E135" s="1">
        <v>0</v>
      </c>
      <c r="F135" s="1" t="b">
        <v>0</v>
      </c>
      <c r="G135">
        <f>VLOOKUP(C135,Products!A:D,4,FALSE)</f>
        <v>1630</v>
      </c>
      <c r="H135" t="str">
        <f>VLOOKUP(C135,Products!A:D,3,FALSE)</f>
        <v>Beauty</v>
      </c>
      <c r="I135">
        <f t="shared" si="2"/>
        <v>4890</v>
      </c>
      <c r="J135" s="2">
        <f>VLOOKUP(B135,Orders!A:C,3,FALSE)</f>
        <v>45878</v>
      </c>
      <c r="K135" s="1" t="str">
        <f>VLOOKUP(B135,Orders!A:B,2,FALSE)</f>
        <v>C0004</v>
      </c>
    </row>
    <row r="136" spans="1:11" x14ac:dyDescent="0.3">
      <c r="A136" s="1" t="s">
        <v>1374</v>
      </c>
      <c r="B136" s="1" t="s">
        <v>1372</v>
      </c>
      <c r="C136" s="1" t="s">
        <v>1191</v>
      </c>
      <c r="D136" s="1">
        <v>4</v>
      </c>
      <c r="E136" s="1">
        <v>0.2</v>
      </c>
      <c r="F136" s="1" t="b">
        <v>0</v>
      </c>
      <c r="G136">
        <f>VLOOKUP(C136,Products!A:D,4,FALSE)</f>
        <v>99</v>
      </c>
      <c r="H136" t="str">
        <f>VLOOKUP(C136,Products!A:D,3,FALSE)</f>
        <v>Sports</v>
      </c>
      <c r="I136">
        <f t="shared" si="2"/>
        <v>316.8</v>
      </c>
      <c r="J136" s="2">
        <f>VLOOKUP(B136,Orders!A:C,3,FALSE)</f>
        <v>45878</v>
      </c>
      <c r="K136" s="1" t="str">
        <f>VLOOKUP(B136,Orders!A:B,2,FALSE)</f>
        <v>C0004</v>
      </c>
    </row>
    <row r="137" spans="1:11" x14ac:dyDescent="0.3">
      <c r="A137" s="1" t="s">
        <v>1375</v>
      </c>
      <c r="B137" s="1" t="s">
        <v>1372</v>
      </c>
      <c r="C137" s="1" t="s">
        <v>1299</v>
      </c>
      <c r="D137" s="1">
        <v>3</v>
      </c>
      <c r="E137" s="1">
        <v>0.2</v>
      </c>
      <c r="F137" s="1" t="b">
        <v>0</v>
      </c>
      <c r="G137">
        <f>VLOOKUP(C137,Products!A:D,4,FALSE)</f>
        <v>1080</v>
      </c>
      <c r="H137" t="str">
        <f>VLOOKUP(C137,Products!A:D,3,FALSE)</f>
        <v>Beauty</v>
      </c>
      <c r="I137">
        <f t="shared" si="2"/>
        <v>2592</v>
      </c>
      <c r="J137" s="2">
        <f>VLOOKUP(B137,Orders!A:C,3,FALSE)</f>
        <v>45878</v>
      </c>
      <c r="K137" s="1" t="str">
        <f>VLOOKUP(B137,Orders!A:B,2,FALSE)</f>
        <v>C0004</v>
      </c>
    </row>
    <row r="138" spans="1:11" x14ac:dyDescent="0.3">
      <c r="A138" s="1" t="s">
        <v>1376</v>
      </c>
      <c r="B138" s="1" t="s">
        <v>1377</v>
      </c>
      <c r="C138" s="1" t="s">
        <v>1333</v>
      </c>
      <c r="D138" s="1">
        <v>2</v>
      </c>
      <c r="E138" s="1">
        <v>0.2</v>
      </c>
      <c r="F138" s="1" t="b">
        <v>0</v>
      </c>
      <c r="G138">
        <f>VLOOKUP(C138,Products!A:D,4,FALSE)</f>
        <v>1440</v>
      </c>
      <c r="H138" t="str">
        <f>VLOOKUP(C138,Products!A:D,3,FALSE)</f>
        <v>Home &amp; Kitchen</v>
      </c>
      <c r="I138">
        <f t="shared" si="2"/>
        <v>2304</v>
      </c>
      <c r="J138" s="2">
        <f>VLOOKUP(B138,Orders!A:C,3,FALSE)</f>
        <v>46219</v>
      </c>
      <c r="K138" s="1" t="str">
        <f>VLOOKUP(B138,Orders!A:B,2,FALSE)</f>
        <v>C0290</v>
      </c>
    </row>
    <row r="139" spans="1:11" x14ac:dyDescent="0.3">
      <c r="A139" s="1" t="s">
        <v>1378</v>
      </c>
      <c r="B139" s="1" t="s">
        <v>1377</v>
      </c>
      <c r="C139" s="1" t="s">
        <v>1149</v>
      </c>
      <c r="D139" s="1">
        <v>3</v>
      </c>
      <c r="E139" s="1">
        <v>0.05</v>
      </c>
      <c r="F139" s="1" t="b">
        <v>0</v>
      </c>
      <c r="G139">
        <f>VLOOKUP(C139,Products!A:D,4,FALSE)</f>
        <v>1150</v>
      </c>
      <c r="H139" t="str">
        <f>VLOOKUP(C139,Products!A:D,3,FALSE)</f>
        <v>Apparel</v>
      </c>
      <c r="I139">
        <f t="shared" si="2"/>
        <v>3277.5</v>
      </c>
      <c r="J139" s="2">
        <f>VLOOKUP(B139,Orders!A:C,3,FALSE)</f>
        <v>46219</v>
      </c>
      <c r="K139" s="1" t="str">
        <f>VLOOKUP(B139,Orders!A:B,2,FALSE)</f>
        <v>C0290</v>
      </c>
    </row>
    <row r="140" spans="1:11" x14ac:dyDescent="0.3">
      <c r="A140" s="1" t="s">
        <v>1379</v>
      </c>
      <c r="B140" s="1" t="s">
        <v>1380</v>
      </c>
      <c r="C140" s="1" t="s">
        <v>1111</v>
      </c>
      <c r="D140" s="1">
        <v>2</v>
      </c>
      <c r="E140" s="1">
        <v>0</v>
      </c>
      <c r="F140" s="1" t="b">
        <v>0</v>
      </c>
      <c r="G140">
        <f>VLOOKUP(C140,Products!A:D,4,FALSE)</f>
        <v>2450</v>
      </c>
      <c r="H140" t="str">
        <f>VLOOKUP(C140,Products!A:D,3,FALSE)</f>
        <v>Sports</v>
      </c>
      <c r="I140">
        <f t="shared" si="2"/>
        <v>4900</v>
      </c>
      <c r="J140" s="2">
        <f>VLOOKUP(B140,Orders!A:C,3,FALSE)</f>
        <v>45775</v>
      </c>
      <c r="K140" s="1" t="str">
        <f>VLOOKUP(B140,Orders!A:B,2,FALSE)</f>
        <v>C0073</v>
      </c>
    </row>
    <row r="141" spans="1:11" x14ac:dyDescent="0.3">
      <c r="A141" s="1" t="s">
        <v>1381</v>
      </c>
      <c r="B141" s="1" t="s">
        <v>1382</v>
      </c>
      <c r="C141" s="1" t="s">
        <v>1106</v>
      </c>
      <c r="D141" s="1">
        <v>4</v>
      </c>
      <c r="E141" s="1">
        <v>0</v>
      </c>
      <c r="F141" s="1" t="b">
        <v>0</v>
      </c>
      <c r="G141">
        <f>VLOOKUP(C141,Products!A:D,4,FALSE)</f>
        <v>1130</v>
      </c>
      <c r="H141" t="str">
        <f>VLOOKUP(C141,Products!A:D,3,FALSE)</f>
        <v>Books</v>
      </c>
      <c r="I141">
        <f t="shared" si="2"/>
        <v>4520</v>
      </c>
      <c r="J141" s="2">
        <f>VLOOKUP(B141,Orders!A:C,3,FALSE)</f>
        <v>45775</v>
      </c>
      <c r="K141" s="1" t="str">
        <f>VLOOKUP(B141,Orders!A:B,2,FALSE)</f>
        <v>C0047</v>
      </c>
    </row>
    <row r="142" spans="1:11" x14ac:dyDescent="0.3">
      <c r="A142" s="1" t="s">
        <v>1383</v>
      </c>
      <c r="B142" s="1" t="s">
        <v>1382</v>
      </c>
      <c r="C142" s="1" t="s">
        <v>1140</v>
      </c>
      <c r="D142" s="1">
        <v>3</v>
      </c>
      <c r="E142" s="1">
        <v>0.1</v>
      </c>
      <c r="F142" s="1" t="b">
        <v>0</v>
      </c>
      <c r="G142">
        <f>VLOOKUP(C142,Products!A:D,4,FALSE)</f>
        <v>3040</v>
      </c>
      <c r="H142" t="str">
        <f>VLOOKUP(C142,Products!A:D,3,FALSE)</f>
        <v>Electronics</v>
      </c>
      <c r="I142">
        <f t="shared" si="2"/>
        <v>8208</v>
      </c>
      <c r="J142" s="2">
        <f>VLOOKUP(B142,Orders!A:C,3,FALSE)</f>
        <v>45775</v>
      </c>
      <c r="K142" s="1" t="str">
        <f>VLOOKUP(B142,Orders!A:B,2,FALSE)</f>
        <v>C0047</v>
      </c>
    </row>
    <row r="143" spans="1:11" x14ac:dyDescent="0.3">
      <c r="A143" s="1" t="s">
        <v>1384</v>
      </c>
      <c r="B143" s="1" t="s">
        <v>1385</v>
      </c>
      <c r="C143" s="1" t="s">
        <v>1270</v>
      </c>
      <c r="D143" s="1">
        <v>5</v>
      </c>
      <c r="E143" s="1">
        <v>0.2</v>
      </c>
      <c r="F143" s="1" t="b">
        <v>0</v>
      </c>
      <c r="G143">
        <f>VLOOKUP(C143,Products!A:D,4,FALSE)</f>
        <v>3560</v>
      </c>
      <c r="H143" t="str">
        <f>VLOOKUP(C143,Products!A:D,3,FALSE)</f>
        <v>Sports</v>
      </c>
      <c r="I143">
        <f t="shared" si="2"/>
        <v>14240</v>
      </c>
      <c r="J143" s="2">
        <f>VLOOKUP(B143,Orders!A:C,3,FALSE)</f>
        <v>45744</v>
      </c>
      <c r="K143" s="1" t="str">
        <f>VLOOKUP(B143,Orders!A:B,2,FALSE)</f>
        <v>C0193</v>
      </c>
    </row>
    <row r="144" spans="1:11" x14ac:dyDescent="0.3">
      <c r="A144" s="1" t="s">
        <v>1386</v>
      </c>
      <c r="B144" s="1" t="s">
        <v>1387</v>
      </c>
      <c r="C144" s="1" t="s">
        <v>1127</v>
      </c>
      <c r="D144" s="1">
        <v>4</v>
      </c>
      <c r="E144" s="1">
        <v>0.15</v>
      </c>
      <c r="F144" s="1" t="b">
        <v>0</v>
      </c>
      <c r="G144">
        <f>VLOOKUP(C144,Products!A:D,4,FALSE)</f>
        <v>1660</v>
      </c>
      <c r="H144" t="str">
        <f>VLOOKUP(C144,Products!A:D,3,FALSE)</f>
        <v>Apparel</v>
      </c>
      <c r="I144">
        <f t="shared" si="2"/>
        <v>5644</v>
      </c>
      <c r="J144" s="2">
        <f>VLOOKUP(B144,Orders!A:C,3,FALSE)</f>
        <v>46011</v>
      </c>
      <c r="K144" s="1" t="str">
        <f>VLOOKUP(B144,Orders!A:B,2,FALSE)</f>
        <v>C0081</v>
      </c>
    </row>
    <row r="145" spans="1:11" x14ac:dyDescent="0.3">
      <c r="A145" s="1" t="s">
        <v>1388</v>
      </c>
      <c r="B145" s="1" t="s">
        <v>1389</v>
      </c>
      <c r="C145" s="1" t="s">
        <v>1157</v>
      </c>
      <c r="D145" s="1">
        <v>2</v>
      </c>
      <c r="E145" s="1">
        <v>0</v>
      </c>
      <c r="F145" s="1" t="b">
        <v>0</v>
      </c>
      <c r="G145">
        <f>VLOOKUP(C145,Products!A:D,4,FALSE)</f>
        <v>1520</v>
      </c>
      <c r="H145" t="str">
        <f>VLOOKUP(C145,Products!A:D,3,FALSE)</f>
        <v>Books</v>
      </c>
      <c r="I145">
        <f t="shared" si="2"/>
        <v>3040</v>
      </c>
      <c r="J145" s="2">
        <f>VLOOKUP(B145,Orders!A:C,3,FALSE)</f>
        <v>45751</v>
      </c>
      <c r="K145" s="1" t="str">
        <f>VLOOKUP(B145,Orders!A:B,2,FALSE)</f>
        <v>C0291</v>
      </c>
    </row>
    <row r="146" spans="1:11" x14ac:dyDescent="0.3">
      <c r="A146" s="1" t="s">
        <v>1390</v>
      </c>
      <c r="B146" s="1" t="s">
        <v>1389</v>
      </c>
      <c r="C146" s="1" t="s">
        <v>1391</v>
      </c>
      <c r="D146" s="1">
        <v>1</v>
      </c>
      <c r="E146" s="1">
        <v>0.2</v>
      </c>
      <c r="F146" s="1" t="b">
        <v>0</v>
      </c>
      <c r="G146">
        <f>VLOOKUP(C146,Products!A:D,4,FALSE)</f>
        <v>1900</v>
      </c>
      <c r="H146" t="str">
        <f>VLOOKUP(C146,Products!A:D,3,FALSE)</f>
        <v>Beauty</v>
      </c>
      <c r="I146">
        <f t="shared" si="2"/>
        <v>1520</v>
      </c>
      <c r="J146" s="2">
        <f>VLOOKUP(B146,Orders!A:C,3,FALSE)</f>
        <v>45751</v>
      </c>
      <c r="K146" s="1" t="str">
        <f>VLOOKUP(B146,Orders!A:B,2,FALSE)</f>
        <v>C0291</v>
      </c>
    </row>
    <row r="147" spans="1:11" x14ac:dyDescent="0.3">
      <c r="A147" s="1" t="s">
        <v>1392</v>
      </c>
      <c r="B147" s="1" t="s">
        <v>1389</v>
      </c>
      <c r="C147" s="1" t="s">
        <v>1393</v>
      </c>
      <c r="D147" s="1">
        <v>5</v>
      </c>
      <c r="E147" s="1">
        <v>0.2</v>
      </c>
      <c r="F147" s="1" t="b">
        <v>0</v>
      </c>
      <c r="G147">
        <f>VLOOKUP(C147,Products!A:D,4,FALSE)</f>
        <v>1520</v>
      </c>
      <c r="H147" t="str">
        <f>VLOOKUP(C147,Products!A:D,3,FALSE)</f>
        <v>Electronics</v>
      </c>
      <c r="I147">
        <f t="shared" si="2"/>
        <v>6080</v>
      </c>
      <c r="J147" s="2">
        <f>VLOOKUP(B147,Orders!A:C,3,FALSE)</f>
        <v>45751</v>
      </c>
      <c r="K147" s="1" t="str">
        <f>VLOOKUP(B147,Orders!A:B,2,FALSE)</f>
        <v>C0291</v>
      </c>
    </row>
    <row r="148" spans="1:11" x14ac:dyDescent="0.3">
      <c r="A148" s="1" t="s">
        <v>1394</v>
      </c>
      <c r="B148" s="1" t="s">
        <v>1395</v>
      </c>
      <c r="C148" s="1" t="s">
        <v>1135</v>
      </c>
      <c r="D148" s="1">
        <v>5</v>
      </c>
      <c r="E148" s="1">
        <v>0.1</v>
      </c>
      <c r="F148" s="1" t="b">
        <v>0</v>
      </c>
      <c r="G148">
        <f>VLOOKUP(C148,Products!A:D,4,FALSE)</f>
        <v>470</v>
      </c>
      <c r="H148" t="str">
        <f>VLOOKUP(C148,Products!A:D,3,FALSE)</f>
        <v>Apparel</v>
      </c>
      <c r="I148">
        <f t="shared" si="2"/>
        <v>2115</v>
      </c>
      <c r="J148" s="2">
        <f>VLOOKUP(B148,Orders!A:C,3,FALSE)</f>
        <v>46052</v>
      </c>
      <c r="K148" s="1" t="str">
        <f>VLOOKUP(B148,Orders!A:B,2,FALSE)</f>
        <v>C0080</v>
      </c>
    </row>
    <row r="149" spans="1:11" x14ac:dyDescent="0.3">
      <c r="A149" s="1" t="s">
        <v>1396</v>
      </c>
      <c r="B149" s="1" t="s">
        <v>1395</v>
      </c>
      <c r="C149" s="1" t="s">
        <v>1204</v>
      </c>
      <c r="D149" s="1">
        <v>1</v>
      </c>
      <c r="E149" s="1">
        <v>0.2</v>
      </c>
      <c r="F149" s="1" t="b">
        <v>0</v>
      </c>
      <c r="G149">
        <f>VLOOKUP(C149,Products!A:D,4,FALSE)</f>
        <v>940</v>
      </c>
      <c r="H149" t="str">
        <f>VLOOKUP(C149,Products!A:D,3,FALSE)</f>
        <v>Apparel</v>
      </c>
      <c r="I149">
        <f t="shared" si="2"/>
        <v>752</v>
      </c>
      <c r="J149" s="2">
        <f>VLOOKUP(B149,Orders!A:C,3,FALSE)</f>
        <v>46052</v>
      </c>
      <c r="K149" s="1" t="str">
        <f>VLOOKUP(B149,Orders!A:B,2,FALSE)</f>
        <v>C0080</v>
      </c>
    </row>
    <row r="150" spans="1:11" x14ac:dyDescent="0.3">
      <c r="A150" s="1" t="s">
        <v>1397</v>
      </c>
      <c r="B150" s="1" t="s">
        <v>1398</v>
      </c>
      <c r="C150" s="1" t="s">
        <v>1116</v>
      </c>
      <c r="D150" s="1">
        <v>3</v>
      </c>
      <c r="E150" s="1">
        <v>0</v>
      </c>
      <c r="F150" s="1" t="b">
        <v>1</v>
      </c>
      <c r="G150">
        <f>VLOOKUP(C150,Products!A:D,4,FALSE)</f>
        <v>3000</v>
      </c>
      <c r="H150" t="str">
        <f>VLOOKUP(C150,Products!A:D,3,FALSE)</f>
        <v>Home &amp; Kitchen</v>
      </c>
      <c r="I150">
        <f t="shared" si="2"/>
        <v>9000</v>
      </c>
      <c r="J150" s="2">
        <f>VLOOKUP(B150,Orders!A:C,3,FALSE)</f>
        <v>45956</v>
      </c>
      <c r="K150" s="1" t="str">
        <f>VLOOKUP(B150,Orders!A:B,2,FALSE)</f>
        <v>C0026</v>
      </c>
    </row>
    <row r="151" spans="1:11" x14ac:dyDescent="0.3">
      <c r="A151" s="1" t="s">
        <v>1399</v>
      </c>
      <c r="B151" s="1" t="s">
        <v>1398</v>
      </c>
      <c r="C151" s="1" t="s">
        <v>1160</v>
      </c>
      <c r="D151" s="1">
        <v>1</v>
      </c>
      <c r="E151" s="1">
        <v>0.2</v>
      </c>
      <c r="F151" s="1" t="b">
        <v>0</v>
      </c>
      <c r="G151">
        <f>VLOOKUP(C151,Products!A:D,4,FALSE)</f>
        <v>1710</v>
      </c>
      <c r="H151" t="str">
        <f>VLOOKUP(C151,Products!A:D,3,FALSE)</f>
        <v>Home &amp; Kitchen</v>
      </c>
      <c r="I151">
        <f t="shared" si="2"/>
        <v>1368</v>
      </c>
      <c r="J151" s="2">
        <f>VLOOKUP(B151,Orders!A:C,3,FALSE)</f>
        <v>45956</v>
      </c>
      <c r="K151" s="1" t="str">
        <f>VLOOKUP(B151,Orders!A:B,2,FALSE)</f>
        <v>C0026</v>
      </c>
    </row>
    <row r="152" spans="1:11" x14ac:dyDescent="0.3">
      <c r="A152" s="1" t="s">
        <v>1400</v>
      </c>
      <c r="B152" s="1" t="s">
        <v>1401</v>
      </c>
      <c r="C152" s="1" t="s">
        <v>1188</v>
      </c>
      <c r="D152" s="1">
        <v>5</v>
      </c>
      <c r="E152" s="1">
        <v>0.1</v>
      </c>
      <c r="F152" s="1" t="b">
        <v>0</v>
      </c>
      <c r="G152">
        <f>VLOOKUP(C152,Products!A:D,4,FALSE)</f>
        <v>2530</v>
      </c>
      <c r="H152" t="str">
        <f>VLOOKUP(C152,Products!A:D,3,FALSE)</f>
        <v>Beauty</v>
      </c>
      <c r="I152">
        <f t="shared" si="2"/>
        <v>11385</v>
      </c>
      <c r="J152" s="2">
        <f>VLOOKUP(B152,Orders!A:C,3,FALSE)</f>
        <v>46057</v>
      </c>
      <c r="K152" s="1" t="str">
        <f>VLOOKUP(B152,Orders!A:B,2,FALSE)</f>
        <v>C0227</v>
      </c>
    </row>
    <row r="153" spans="1:11" x14ac:dyDescent="0.3">
      <c r="A153" s="1" t="s">
        <v>1402</v>
      </c>
      <c r="B153" s="1" t="s">
        <v>1401</v>
      </c>
      <c r="C153" s="1" t="s">
        <v>1403</v>
      </c>
      <c r="D153" s="1">
        <v>1</v>
      </c>
      <c r="E153" s="1">
        <v>0</v>
      </c>
      <c r="F153" s="1" t="b">
        <v>0</v>
      </c>
      <c r="G153">
        <f>VLOOKUP(C153,Products!A:D,4,FALSE)</f>
        <v>1340</v>
      </c>
      <c r="H153" t="str">
        <f>VLOOKUP(C153,Products!A:D,3,FALSE)</f>
        <v>Electronics</v>
      </c>
      <c r="I153">
        <f t="shared" si="2"/>
        <v>1340</v>
      </c>
      <c r="J153" s="2">
        <f>VLOOKUP(B153,Orders!A:C,3,FALSE)</f>
        <v>46057</v>
      </c>
      <c r="K153" s="1" t="str">
        <f>VLOOKUP(B153,Orders!A:B,2,FALSE)</f>
        <v>C0227</v>
      </c>
    </row>
    <row r="154" spans="1:11" x14ac:dyDescent="0.3">
      <c r="A154" s="1" t="s">
        <v>1404</v>
      </c>
      <c r="B154" s="1" t="s">
        <v>1405</v>
      </c>
      <c r="C154" s="1" t="s">
        <v>1171</v>
      </c>
      <c r="D154" s="1">
        <v>3</v>
      </c>
      <c r="E154" s="1">
        <v>0</v>
      </c>
      <c r="F154" s="1" t="b">
        <v>0</v>
      </c>
      <c r="G154">
        <f>VLOOKUP(C154,Products!A:D,4,FALSE)</f>
        <v>2250</v>
      </c>
      <c r="H154" t="str">
        <f>VLOOKUP(C154,Products!A:D,3,FALSE)</f>
        <v>Home &amp; Kitchen</v>
      </c>
      <c r="I154">
        <f t="shared" si="2"/>
        <v>6750</v>
      </c>
      <c r="J154" s="2">
        <f>VLOOKUP(B154,Orders!A:C,3,FALSE)</f>
        <v>46230</v>
      </c>
      <c r="K154" s="1" t="str">
        <f>VLOOKUP(B154,Orders!A:B,2,FALSE)</f>
        <v>C0227</v>
      </c>
    </row>
    <row r="155" spans="1:11" x14ac:dyDescent="0.3">
      <c r="A155" s="1" t="s">
        <v>1406</v>
      </c>
      <c r="B155" s="1" t="s">
        <v>1407</v>
      </c>
      <c r="C155" s="1" t="s">
        <v>1171</v>
      </c>
      <c r="D155" s="1">
        <v>5</v>
      </c>
      <c r="E155" s="1">
        <v>0.1</v>
      </c>
      <c r="F155" s="1" t="b">
        <v>0</v>
      </c>
      <c r="G155">
        <f>VLOOKUP(C155,Products!A:D,4,FALSE)</f>
        <v>2250</v>
      </c>
      <c r="H155" t="str">
        <f>VLOOKUP(C155,Products!A:D,3,FALSE)</f>
        <v>Home &amp; Kitchen</v>
      </c>
      <c r="I155">
        <f t="shared" si="2"/>
        <v>10125</v>
      </c>
      <c r="J155" s="2">
        <f>VLOOKUP(B155,Orders!A:C,3,FALSE)</f>
        <v>46036</v>
      </c>
      <c r="K155" s="1" t="str">
        <f>VLOOKUP(B155,Orders!A:B,2,FALSE)</f>
        <v>C0263</v>
      </c>
    </row>
    <row r="156" spans="1:11" x14ac:dyDescent="0.3">
      <c r="A156" s="1" t="s">
        <v>1408</v>
      </c>
      <c r="B156" s="1" t="s">
        <v>1409</v>
      </c>
      <c r="C156" s="1" t="s">
        <v>1267</v>
      </c>
      <c r="D156" s="1">
        <v>1</v>
      </c>
      <c r="E156" s="1">
        <v>0</v>
      </c>
      <c r="F156" s="1" t="b">
        <v>0</v>
      </c>
      <c r="G156">
        <f>VLOOKUP(C156,Products!A:D,4,FALSE)</f>
        <v>3650</v>
      </c>
      <c r="H156" t="str">
        <f>VLOOKUP(C156,Products!A:D,3,FALSE)</f>
        <v>Books</v>
      </c>
      <c r="I156">
        <f t="shared" si="2"/>
        <v>3650</v>
      </c>
      <c r="J156" s="2">
        <f>VLOOKUP(B156,Orders!A:C,3,FALSE)</f>
        <v>46031</v>
      </c>
      <c r="K156" s="1" t="str">
        <f>VLOOKUP(B156,Orders!A:B,2,FALSE)</f>
        <v>C0057</v>
      </c>
    </row>
    <row r="157" spans="1:11" x14ac:dyDescent="0.3">
      <c r="A157" s="1" t="s">
        <v>1410</v>
      </c>
      <c r="B157" s="1" t="s">
        <v>1411</v>
      </c>
      <c r="C157" s="1" t="s">
        <v>1412</v>
      </c>
      <c r="D157" s="1">
        <v>2</v>
      </c>
      <c r="E157" s="1">
        <v>0.15</v>
      </c>
      <c r="F157" s="1" t="b">
        <v>0</v>
      </c>
      <c r="G157">
        <f>VLOOKUP(C157,Products!A:D,4,FALSE)</f>
        <v>1430</v>
      </c>
      <c r="H157" t="str">
        <f>VLOOKUP(C157,Products!A:D,3,FALSE)</f>
        <v>Books</v>
      </c>
      <c r="I157">
        <f t="shared" si="2"/>
        <v>2431</v>
      </c>
      <c r="J157" s="2">
        <f>VLOOKUP(B157,Orders!A:C,3,FALSE)</f>
        <v>46281</v>
      </c>
      <c r="K157" s="1" t="str">
        <f>VLOOKUP(B157,Orders!A:B,2,FALSE)</f>
        <v>C0250</v>
      </c>
    </row>
    <row r="158" spans="1:11" x14ac:dyDescent="0.3">
      <c r="A158" s="1" t="s">
        <v>1413</v>
      </c>
      <c r="B158" s="1" t="s">
        <v>1411</v>
      </c>
      <c r="C158" s="1" t="s">
        <v>1137</v>
      </c>
      <c r="D158" s="1">
        <v>5</v>
      </c>
      <c r="E158" s="1">
        <v>0</v>
      </c>
      <c r="F158" s="1" t="b">
        <v>0</v>
      </c>
      <c r="G158">
        <f>VLOOKUP(C158,Products!A:D,4,FALSE)</f>
        <v>1910</v>
      </c>
      <c r="H158" t="str">
        <f>VLOOKUP(C158,Products!A:D,3,FALSE)</f>
        <v>Apparel</v>
      </c>
      <c r="I158">
        <f t="shared" si="2"/>
        <v>9550</v>
      </c>
      <c r="J158" s="2">
        <f>VLOOKUP(B158,Orders!A:C,3,FALSE)</f>
        <v>46281</v>
      </c>
      <c r="K158" s="1" t="str">
        <f>VLOOKUP(B158,Orders!A:B,2,FALSE)</f>
        <v>C0250</v>
      </c>
    </row>
    <row r="159" spans="1:11" x14ac:dyDescent="0.3">
      <c r="A159" s="1" t="s">
        <v>1414</v>
      </c>
      <c r="B159" s="1" t="s">
        <v>1415</v>
      </c>
      <c r="C159" s="1" t="s">
        <v>1276</v>
      </c>
      <c r="D159" s="1">
        <v>4</v>
      </c>
      <c r="E159" s="1">
        <v>0.2</v>
      </c>
      <c r="F159" s="1" t="b">
        <v>0</v>
      </c>
      <c r="G159">
        <f>VLOOKUP(C159,Products!A:D,4,FALSE)</f>
        <v>2010</v>
      </c>
      <c r="H159" t="str">
        <f>VLOOKUP(C159,Products!A:D,3,FALSE)</f>
        <v>Beauty</v>
      </c>
      <c r="I159">
        <f t="shared" si="2"/>
        <v>6432</v>
      </c>
      <c r="J159" s="2">
        <f>VLOOKUP(B159,Orders!A:C,3,FALSE)</f>
        <v>45992</v>
      </c>
      <c r="K159" s="1" t="str">
        <f>VLOOKUP(B159,Orders!A:B,2,FALSE)</f>
        <v>C0024</v>
      </c>
    </row>
    <row r="160" spans="1:11" x14ac:dyDescent="0.3">
      <c r="A160" s="1" t="s">
        <v>1416</v>
      </c>
      <c r="B160" s="1" t="s">
        <v>1415</v>
      </c>
      <c r="C160" s="1" t="s">
        <v>1213</v>
      </c>
      <c r="D160" s="1">
        <v>4</v>
      </c>
      <c r="E160" s="1">
        <v>0</v>
      </c>
      <c r="F160" s="1" t="b">
        <v>0</v>
      </c>
      <c r="G160">
        <f>VLOOKUP(C160,Products!A:D,4,FALSE)</f>
        <v>1765</v>
      </c>
      <c r="H160" t="str">
        <f>VLOOKUP(C160,Products!A:D,3,FALSE)</f>
        <v>Beauty</v>
      </c>
      <c r="I160">
        <f t="shared" si="2"/>
        <v>7060</v>
      </c>
      <c r="J160" s="2">
        <f>VLOOKUP(B160,Orders!A:C,3,FALSE)</f>
        <v>45992</v>
      </c>
      <c r="K160" s="1" t="str">
        <f>VLOOKUP(B160,Orders!A:B,2,FALSE)</f>
        <v>C0024</v>
      </c>
    </row>
    <row r="161" spans="1:11" x14ac:dyDescent="0.3">
      <c r="A161" s="1" t="s">
        <v>1417</v>
      </c>
      <c r="B161" s="1" t="s">
        <v>1415</v>
      </c>
      <c r="C161" s="1" t="s">
        <v>1418</v>
      </c>
      <c r="D161" s="1">
        <v>3</v>
      </c>
      <c r="E161" s="1">
        <v>0</v>
      </c>
      <c r="F161" s="1" t="b">
        <v>0</v>
      </c>
      <c r="G161">
        <f>VLOOKUP(C161,Products!A:D,4,FALSE)</f>
        <v>1030</v>
      </c>
      <c r="H161" t="str">
        <f>VLOOKUP(C161,Products!A:D,3,FALSE)</f>
        <v>Beauty</v>
      </c>
      <c r="I161">
        <f t="shared" si="2"/>
        <v>3090</v>
      </c>
      <c r="J161" s="2">
        <f>VLOOKUP(B161,Orders!A:C,3,FALSE)</f>
        <v>45992</v>
      </c>
      <c r="K161" s="1" t="str">
        <f>VLOOKUP(B161,Orders!A:B,2,FALSE)</f>
        <v>C0024</v>
      </c>
    </row>
    <row r="162" spans="1:11" x14ac:dyDescent="0.3">
      <c r="A162" s="1" t="s">
        <v>1419</v>
      </c>
      <c r="B162" s="1" t="s">
        <v>1415</v>
      </c>
      <c r="C162" s="1" t="s">
        <v>1160</v>
      </c>
      <c r="D162" s="1">
        <v>3</v>
      </c>
      <c r="E162" s="1">
        <v>0.1</v>
      </c>
      <c r="F162" s="1" t="b">
        <v>0</v>
      </c>
      <c r="G162">
        <f>VLOOKUP(C162,Products!A:D,4,FALSE)</f>
        <v>1710</v>
      </c>
      <c r="H162" t="str">
        <f>VLOOKUP(C162,Products!A:D,3,FALSE)</f>
        <v>Home &amp; Kitchen</v>
      </c>
      <c r="I162">
        <f t="shared" si="2"/>
        <v>4617</v>
      </c>
      <c r="J162" s="2">
        <f>VLOOKUP(B162,Orders!A:C,3,FALSE)</f>
        <v>45992</v>
      </c>
      <c r="K162" s="1" t="str">
        <f>VLOOKUP(B162,Orders!A:B,2,FALSE)</f>
        <v>C0024</v>
      </c>
    </row>
    <row r="163" spans="1:11" x14ac:dyDescent="0.3">
      <c r="A163" s="1" t="s">
        <v>1420</v>
      </c>
      <c r="B163" s="1" t="s">
        <v>1421</v>
      </c>
      <c r="C163" s="1" t="s">
        <v>1412</v>
      </c>
      <c r="D163" s="1">
        <v>4</v>
      </c>
      <c r="E163" s="1">
        <v>0</v>
      </c>
      <c r="F163" s="1" t="b">
        <v>0</v>
      </c>
      <c r="G163">
        <f>VLOOKUP(C163,Products!A:D,4,FALSE)</f>
        <v>1430</v>
      </c>
      <c r="H163" t="str">
        <f>VLOOKUP(C163,Products!A:D,3,FALSE)</f>
        <v>Books</v>
      </c>
      <c r="I163">
        <f t="shared" si="2"/>
        <v>5720</v>
      </c>
      <c r="J163" s="2">
        <f>VLOOKUP(B163,Orders!A:C,3,FALSE)</f>
        <v>46158</v>
      </c>
      <c r="K163" s="1" t="str">
        <f>VLOOKUP(B163,Orders!A:B,2,FALSE)</f>
        <v>C0029</v>
      </c>
    </row>
    <row r="164" spans="1:11" x14ac:dyDescent="0.3">
      <c r="A164" s="1" t="s">
        <v>1422</v>
      </c>
      <c r="B164" s="1" t="s">
        <v>1421</v>
      </c>
      <c r="C164" s="1" t="s">
        <v>1307</v>
      </c>
      <c r="D164" s="1">
        <v>2</v>
      </c>
      <c r="E164" s="1">
        <v>0</v>
      </c>
      <c r="F164" s="1" t="b">
        <v>0</v>
      </c>
      <c r="G164">
        <f>VLOOKUP(C164,Products!A:D,4,FALSE)</f>
        <v>99</v>
      </c>
      <c r="H164" t="str">
        <f>VLOOKUP(C164,Products!A:D,3,FALSE)</f>
        <v>Sports</v>
      </c>
      <c r="I164">
        <f t="shared" si="2"/>
        <v>198</v>
      </c>
      <c r="J164" s="2">
        <f>VLOOKUP(B164,Orders!A:C,3,FALSE)</f>
        <v>46158</v>
      </c>
      <c r="K164" s="1" t="str">
        <f>VLOOKUP(B164,Orders!A:B,2,FALSE)</f>
        <v>C0029</v>
      </c>
    </row>
    <row r="165" spans="1:11" x14ac:dyDescent="0.3">
      <c r="A165" s="1" t="s">
        <v>1423</v>
      </c>
      <c r="B165" s="1" t="s">
        <v>1421</v>
      </c>
      <c r="C165" s="1" t="s">
        <v>1195</v>
      </c>
      <c r="D165" s="1">
        <v>1</v>
      </c>
      <c r="E165" s="1">
        <v>0</v>
      </c>
      <c r="F165" s="1" t="b">
        <v>0</v>
      </c>
      <c r="G165">
        <f>VLOOKUP(C165,Products!A:D,4,FALSE)</f>
        <v>3430</v>
      </c>
      <c r="H165" t="str">
        <f>VLOOKUP(C165,Products!A:D,3,FALSE)</f>
        <v>Books</v>
      </c>
      <c r="I165">
        <f t="shared" si="2"/>
        <v>3430</v>
      </c>
      <c r="J165" s="2">
        <f>VLOOKUP(B165,Orders!A:C,3,FALSE)</f>
        <v>46158</v>
      </c>
      <c r="K165" s="1" t="str">
        <f>VLOOKUP(B165,Orders!A:B,2,FALSE)</f>
        <v>C0029</v>
      </c>
    </row>
    <row r="166" spans="1:11" x14ac:dyDescent="0.3">
      <c r="A166" s="1" t="s">
        <v>1424</v>
      </c>
      <c r="B166" s="1" t="s">
        <v>1425</v>
      </c>
      <c r="C166" s="1" t="s">
        <v>1143</v>
      </c>
      <c r="D166" s="1">
        <v>5</v>
      </c>
      <c r="E166" s="1">
        <v>0</v>
      </c>
      <c r="F166" s="1" t="b">
        <v>0</v>
      </c>
      <c r="G166">
        <f>VLOOKUP(C166,Products!A:D,4,FALSE)</f>
        <v>2230</v>
      </c>
      <c r="H166" t="str">
        <f>VLOOKUP(C166,Products!A:D,3,FALSE)</f>
        <v>Home &amp; Kitchen</v>
      </c>
      <c r="I166">
        <f t="shared" si="2"/>
        <v>11150</v>
      </c>
      <c r="J166" s="2">
        <f>VLOOKUP(B166,Orders!A:C,3,FALSE)</f>
        <v>45934</v>
      </c>
      <c r="K166" s="1" t="str">
        <f>VLOOKUP(B166,Orders!A:B,2,FALSE)</f>
        <v>C0109</v>
      </c>
    </row>
    <row r="167" spans="1:11" x14ac:dyDescent="0.3">
      <c r="A167" s="1" t="s">
        <v>1426</v>
      </c>
      <c r="B167" s="1" t="s">
        <v>1427</v>
      </c>
      <c r="C167" s="1" t="s">
        <v>1132</v>
      </c>
      <c r="D167" s="1">
        <v>2</v>
      </c>
      <c r="E167" s="1">
        <v>0.2</v>
      </c>
      <c r="F167" s="1" t="b">
        <v>0</v>
      </c>
      <c r="G167">
        <f>VLOOKUP(C167,Products!A:D,4,FALSE)</f>
        <v>420</v>
      </c>
      <c r="H167" t="str">
        <f>VLOOKUP(C167,Products!A:D,3,FALSE)</f>
        <v>Beauty</v>
      </c>
      <c r="I167">
        <f t="shared" si="2"/>
        <v>672</v>
      </c>
      <c r="J167" s="2">
        <f>VLOOKUP(B167,Orders!A:C,3,FALSE)</f>
        <v>45856</v>
      </c>
      <c r="K167" s="1" t="str">
        <f>VLOOKUP(B167,Orders!A:B,2,FALSE)</f>
        <v>C0131</v>
      </c>
    </row>
    <row r="168" spans="1:11" x14ac:dyDescent="0.3">
      <c r="A168" s="1" t="s">
        <v>1428</v>
      </c>
      <c r="B168" s="1" t="s">
        <v>1427</v>
      </c>
      <c r="C168" s="1" t="s">
        <v>1140</v>
      </c>
      <c r="D168" s="1">
        <v>1</v>
      </c>
      <c r="E168" s="1">
        <v>0</v>
      </c>
      <c r="F168" s="1" t="b">
        <v>0</v>
      </c>
      <c r="G168">
        <f>VLOOKUP(C168,Products!A:D,4,FALSE)</f>
        <v>3040</v>
      </c>
      <c r="H168" t="str">
        <f>VLOOKUP(C168,Products!A:D,3,FALSE)</f>
        <v>Electronics</v>
      </c>
      <c r="I168">
        <f t="shared" si="2"/>
        <v>3040</v>
      </c>
      <c r="J168" s="2">
        <f>VLOOKUP(B168,Orders!A:C,3,FALSE)</f>
        <v>45856</v>
      </c>
      <c r="K168" s="1" t="str">
        <f>VLOOKUP(B168,Orders!A:B,2,FALSE)</f>
        <v>C0131</v>
      </c>
    </row>
    <row r="169" spans="1:11" x14ac:dyDescent="0.3">
      <c r="A169" s="1" t="s">
        <v>1429</v>
      </c>
      <c r="B169" s="1" t="s">
        <v>1430</v>
      </c>
      <c r="C169" s="1" t="s">
        <v>1431</v>
      </c>
      <c r="D169" s="1">
        <v>1</v>
      </c>
      <c r="E169" s="1">
        <v>0.15</v>
      </c>
      <c r="F169" s="1" t="b">
        <v>0</v>
      </c>
      <c r="G169">
        <f>VLOOKUP(C169,Products!A:D,4,FALSE)</f>
        <v>2920</v>
      </c>
      <c r="H169" t="str">
        <f>VLOOKUP(C169,Products!A:D,3,FALSE)</f>
        <v>Home &amp; Kitchen</v>
      </c>
      <c r="I169">
        <f t="shared" si="2"/>
        <v>2482</v>
      </c>
      <c r="J169" s="2">
        <f>VLOOKUP(B169,Orders!A:C,3,FALSE)</f>
        <v>46157</v>
      </c>
      <c r="K169" s="1" t="str">
        <f>VLOOKUP(B169,Orders!A:B,2,FALSE)</f>
        <v>C0004</v>
      </c>
    </row>
    <row r="170" spans="1:11" x14ac:dyDescent="0.3">
      <c r="A170" s="1" t="s">
        <v>1432</v>
      </c>
      <c r="B170" s="1" t="s">
        <v>1430</v>
      </c>
      <c r="C170" s="1" t="s">
        <v>1433</v>
      </c>
      <c r="D170" s="1">
        <v>1</v>
      </c>
      <c r="E170" s="1">
        <v>0.05</v>
      </c>
      <c r="F170" s="1" t="b">
        <v>0</v>
      </c>
      <c r="G170">
        <f>VLOOKUP(C170,Products!A:D,4,FALSE)</f>
        <v>110</v>
      </c>
      <c r="H170" t="str">
        <f>VLOOKUP(C170,Products!A:D,3,FALSE)</f>
        <v>Home &amp; Kitchen</v>
      </c>
      <c r="I170">
        <f t="shared" si="2"/>
        <v>104.5</v>
      </c>
      <c r="J170" s="2">
        <f>VLOOKUP(B170,Orders!A:C,3,FALSE)</f>
        <v>46157</v>
      </c>
      <c r="K170" s="1" t="str">
        <f>VLOOKUP(B170,Orders!A:B,2,FALSE)</f>
        <v>C0004</v>
      </c>
    </row>
    <row r="171" spans="1:11" x14ac:dyDescent="0.3">
      <c r="A171" s="1" t="s">
        <v>1434</v>
      </c>
      <c r="B171" s="1" t="s">
        <v>1435</v>
      </c>
      <c r="C171" s="1" t="s">
        <v>1393</v>
      </c>
      <c r="D171" s="1">
        <v>1</v>
      </c>
      <c r="E171" s="1">
        <v>0</v>
      </c>
      <c r="F171" s="1" t="b">
        <v>0</v>
      </c>
      <c r="G171">
        <f>VLOOKUP(C171,Products!A:D,4,FALSE)</f>
        <v>1520</v>
      </c>
      <c r="H171" t="str">
        <f>VLOOKUP(C171,Products!A:D,3,FALSE)</f>
        <v>Electronics</v>
      </c>
      <c r="I171">
        <f t="shared" si="2"/>
        <v>1520</v>
      </c>
      <c r="J171" s="2">
        <f>VLOOKUP(B171,Orders!A:C,3,FALSE)</f>
        <v>46135</v>
      </c>
      <c r="K171" s="1" t="str">
        <f>VLOOKUP(B171,Orders!A:B,2,FALSE)</f>
        <v>C0090</v>
      </c>
    </row>
    <row r="172" spans="1:11" x14ac:dyDescent="0.3">
      <c r="A172" s="1" t="s">
        <v>1436</v>
      </c>
      <c r="B172" s="1" t="s">
        <v>1435</v>
      </c>
      <c r="C172" s="1" t="s">
        <v>1118</v>
      </c>
      <c r="D172" s="1">
        <v>2</v>
      </c>
      <c r="E172" s="1">
        <v>0.2</v>
      </c>
      <c r="F172" s="1" t="b">
        <v>0</v>
      </c>
      <c r="G172">
        <f>VLOOKUP(C172,Products!A:D,4,FALSE)</f>
        <v>5550</v>
      </c>
      <c r="H172" t="str">
        <f>VLOOKUP(C172,Products!A:D,3,FALSE)</f>
        <v>Home &amp; Kitchen</v>
      </c>
      <c r="I172">
        <f t="shared" si="2"/>
        <v>8880</v>
      </c>
      <c r="J172" s="2">
        <f>VLOOKUP(B172,Orders!A:C,3,FALSE)</f>
        <v>46135</v>
      </c>
      <c r="K172" s="1" t="str">
        <f>VLOOKUP(B172,Orders!A:B,2,FALSE)</f>
        <v>C0090</v>
      </c>
    </row>
    <row r="173" spans="1:11" x14ac:dyDescent="0.3">
      <c r="A173" s="1" t="s">
        <v>1437</v>
      </c>
      <c r="B173" s="1" t="s">
        <v>1438</v>
      </c>
      <c r="C173" s="1" t="s">
        <v>1111</v>
      </c>
      <c r="D173" s="1">
        <v>5</v>
      </c>
      <c r="E173" s="1">
        <v>0.2</v>
      </c>
      <c r="F173" s="1" t="b">
        <v>0</v>
      </c>
      <c r="G173">
        <f>VLOOKUP(C173,Products!A:D,4,FALSE)</f>
        <v>2450</v>
      </c>
      <c r="H173" t="str">
        <f>VLOOKUP(C173,Products!A:D,3,FALSE)</f>
        <v>Sports</v>
      </c>
      <c r="I173">
        <f t="shared" si="2"/>
        <v>9800</v>
      </c>
      <c r="J173" s="2">
        <f>VLOOKUP(B173,Orders!A:C,3,FALSE)</f>
        <v>45893</v>
      </c>
      <c r="K173" s="1" t="str">
        <f>VLOOKUP(B173,Orders!A:B,2,FALSE)</f>
        <v>C0118</v>
      </c>
    </row>
    <row r="174" spans="1:11" x14ac:dyDescent="0.3">
      <c r="A174" s="1" t="s">
        <v>1439</v>
      </c>
      <c r="B174" s="1" t="s">
        <v>1440</v>
      </c>
      <c r="C174" s="1" t="s">
        <v>1202</v>
      </c>
      <c r="D174" s="1">
        <v>4</v>
      </c>
      <c r="E174" s="1">
        <v>0.05</v>
      </c>
      <c r="F174" s="1" t="b">
        <v>0</v>
      </c>
      <c r="G174">
        <f>VLOOKUP(C174,Products!A:D,4,FALSE)</f>
        <v>530</v>
      </c>
      <c r="H174" t="str">
        <f>VLOOKUP(C174,Products!A:D,3,FALSE)</f>
        <v>Beauty</v>
      </c>
      <c r="I174">
        <f t="shared" si="2"/>
        <v>2014</v>
      </c>
      <c r="J174" s="2">
        <f>VLOOKUP(B174,Orders!A:C,3,FALSE)</f>
        <v>45988</v>
      </c>
      <c r="K174" s="1" t="str">
        <f>VLOOKUP(B174,Orders!A:B,2,FALSE)</f>
        <v>C0037</v>
      </c>
    </row>
    <row r="175" spans="1:11" x14ac:dyDescent="0.3">
      <c r="A175" s="1" t="s">
        <v>1441</v>
      </c>
      <c r="B175" s="1" t="s">
        <v>1442</v>
      </c>
      <c r="C175" s="1" t="s">
        <v>1403</v>
      </c>
      <c r="D175" s="1">
        <v>4</v>
      </c>
      <c r="E175" s="1">
        <v>0</v>
      </c>
      <c r="F175" s="1" t="b">
        <v>0</v>
      </c>
      <c r="G175">
        <f>VLOOKUP(C175,Products!A:D,4,FALSE)</f>
        <v>1340</v>
      </c>
      <c r="H175" t="str">
        <f>VLOOKUP(C175,Products!A:D,3,FALSE)</f>
        <v>Electronics</v>
      </c>
      <c r="I175">
        <f t="shared" si="2"/>
        <v>5360</v>
      </c>
      <c r="J175" s="2">
        <f>VLOOKUP(B175,Orders!A:C,3,FALSE)</f>
        <v>46013</v>
      </c>
      <c r="K175" s="1" t="str">
        <f>VLOOKUP(B175,Orders!A:B,2,FALSE)</f>
        <v>C0224</v>
      </c>
    </row>
    <row r="176" spans="1:11" x14ac:dyDescent="0.3">
      <c r="A176" s="1" t="s">
        <v>1443</v>
      </c>
      <c r="B176" s="1" t="s">
        <v>1444</v>
      </c>
      <c r="C176" s="1" t="s">
        <v>1106</v>
      </c>
      <c r="D176" s="1">
        <v>5</v>
      </c>
      <c r="E176" s="1">
        <v>0</v>
      </c>
      <c r="F176" s="1" t="b">
        <v>0</v>
      </c>
      <c r="G176">
        <f>VLOOKUP(C176,Products!A:D,4,FALSE)</f>
        <v>1130</v>
      </c>
      <c r="H176" t="str">
        <f>VLOOKUP(C176,Products!A:D,3,FALSE)</f>
        <v>Books</v>
      </c>
      <c r="I176">
        <f t="shared" si="2"/>
        <v>5650</v>
      </c>
      <c r="J176" s="2">
        <f>VLOOKUP(B176,Orders!A:C,3,FALSE)</f>
        <v>45951</v>
      </c>
      <c r="K176" s="1" t="str">
        <f>VLOOKUP(B176,Orders!A:B,2,FALSE)</f>
        <v>C0161</v>
      </c>
    </row>
    <row r="177" spans="1:11" x14ac:dyDescent="0.3">
      <c r="A177" s="1" t="s">
        <v>1445</v>
      </c>
      <c r="B177" s="1" t="s">
        <v>1446</v>
      </c>
      <c r="C177" s="1" t="s">
        <v>1191</v>
      </c>
      <c r="D177" s="1">
        <v>1</v>
      </c>
      <c r="E177" s="1">
        <v>0.2</v>
      </c>
      <c r="F177" s="1" t="b">
        <v>0</v>
      </c>
      <c r="G177">
        <f>VLOOKUP(C177,Products!A:D,4,FALSE)</f>
        <v>99</v>
      </c>
      <c r="H177" t="str">
        <f>VLOOKUP(C177,Products!A:D,3,FALSE)</f>
        <v>Sports</v>
      </c>
      <c r="I177">
        <f t="shared" si="2"/>
        <v>79.2</v>
      </c>
      <c r="J177" s="2">
        <f>VLOOKUP(B177,Orders!A:C,3,FALSE)</f>
        <v>46009</v>
      </c>
      <c r="K177" s="1" t="str">
        <f>VLOOKUP(B177,Orders!A:B,2,FALSE)</f>
        <v>C0208</v>
      </c>
    </row>
    <row r="178" spans="1:11" x14ac:dyDescent="0.3">
      <c r="A178" s="1" t="s">
        <v>1447</v>
      </c>
      <c r="B178" s="1" t="s">
        <v>1446</v>
      </c>
      <c r="C178" s="1" t="s">
        <v>1109</v>
      </c>
      <c r="D178" s="1">
        <v>1</v>
      </c>
      <c r="E178" s="1">
        <v>0.15</v>
      </c>
      <c r="F178" s="1" t="b">
        <v>0</v>
      </c>
      <c r="G178">
        <f>VLOOKUP(C178,Products!A:D,4,FALSE)</f>
        <v>1475</v>
      </c>
      <c r="H178" t="str">
        <f>VLOOKUP(C178,Products!A:D,3,FALSE)</f>
        <v>Books</v>
      </c>
      <c r="I178">
        <f t="shared" si="2"/>
        <v>1253.75</v>
      </c>
      <c r="J178" s="2">
        <f>VLOOKUP(B178,Orders!A:C,3,FALSE)</f>
        <v>46009</v>
      </c>
      <c r="K178" s="1" t="str">
        <f>VLOOKUP(B178,Orders!A:B,2,FALSE)</f>
        <v>C0208</v>
      </c>
    </row>
    <row r="179" spans="1:11" x14ac:dyDescent="0.3">
      <c r="A179" s="1" t="s">
        <v>1448</v>
      </c>
      <c r="B179" s="1" t="s">
        <v>1449</v>
      </c>
      <c r="C179" s="1" t="s">
        <v>1204</v>
      </c>
      <c r="D179" s="1">
        <v>5</v>
      </c>
      <c r="E179" s="1">
        <v>0</v>
      </c>
      <c r="F179" s="1" t="b">
        <v>0</v>
      </c>
      <c r="G179">
        <f>VLOOKUP(C179,Products!A:D,4,FALSE)</f>
        <v>940</v>
      </c>
      <c r="H179" t="str">
        <f>VLOOKUP(C179,Products!A:D,3,FALSE)</f>
        <v>Apparel</v>
      </c>
      <c r="I179">
        <f t="shared" si="2"/>
        <v>4700</v>
      </c>
      <c r="J179" s="2">
        <f>VLOOKUP(B179,Orders!A:C,3,FALSE)</f>
        <v>46097</v>
      </c>
      <c r="K179" s="1" t="str">
        <f>VLOOKUP(B179,Orders!A:B,2,FALSE)</f>
        <v>C0149</v>
      </c>
    </row>
    <row r="180" spans="1:11" x14ac:dyDescent="0.3">
      <c r="A180" s="1" t="s">
        <v>1450</v>
      </c>
      <c r="B180" s="1" t="s">
        <v>1449</v>
      </c>
      <c r="C180" s="1" t="s">
        <v>1307</v>
      </c>
      <c r="D180" s="1">
        <v>3</v>
      </c>
      <c r="E180" s="1">
        <v>0.1</v>
      </c>
      <c r="F180" s="1" t="b">
        <v>0</v>
      </c>
      <c r="G180">
        <f>VLOOKUP(C180,Products!A:D,4,FALSE)</f>
        <v>99</v>
      </c>
      <c r="H180" t="str">
        <f>VLOOKUP(C180,Products!A:D,3,FALSE)</f>
        <v>Sports</v>
      </c>
      <c r="I180">
        <f t="shared" si="2"/>
        <v>267.3</v>
      </c>
      <c r="J180" s="2">
        <f>VLOOKUP(B180,Orders!A:C,3,FALSE)</f>
        <v>46097</v>
      </c>
      <c r="K180" s="1" t="str">
        <f>VLOOKUP(B180,Orders!A:B,2,FALSE)</f>
        <v>C0149</v>
      </c>
    </row>
    <row r="181" spans="1:11" x14ac:dyDescent="0.3">
      <c r="A181" s="1" t="s">
        <v>1451</v>
      </c>
      <c r="B181" s="1" t="s">
        <v>1449</v>
      </c>
      <c r="C181" s="1" t="s">
        <v>1216</v>
      </c>
      <c r="D181" s="1">
        <v>3</v>
      </c>
      <c r="E181" s="1">
        <v>0.2</v>
      </c>
      <c r="F181" s="1" t="b">
        <v>0</v>
      </c>
      <c r="G181">
        <f>VLOOKUP(C181,Products!A:D,4,FALSE)</f>
        <v>1240</v>
      </c>
      <c r="H181" t="str">
        <f>VLOOKUP(C181,Products!A:D,3,FALSE)</f>
        <v>Apparel</v>
      </c>
      <c r="I181">
        <f t="shared" si="2"/>
        <v>2976</v>
      </c>
      <c r="J181" s="2">
        <f>VLOOKUP(B181,Orders!A:C,3,FALSE)</f>
        <v>46097</v>
      </c>
      <c r="K181" s="1" t="str">
        <f>VLOOKUP(B181,Orders!A:B,2,FALSE)</f>
        <v>C0149</v>
      </c>
    </row>
    <row r="182" spans="1:11" x14ac:dyDescent="0.3">
      <c r="A182" s="1" t="s">
        <v>1452</v>
      </c>
      <c r="B182" s="1" t="s">
        <v>1453</v>
      </c>
      <c r="C182" s="1" t="s">
        <v>1247</v>
      </c>
      <c r="D182" s="1">
        <v>4</v>
      </c>
      <c r="E182" s="1">
        <v>0.2</v>
      </c>
      <c r="F182" s="1" t="b">
        <v>0</v>
      </c>
      <c r="G182">
        <f>VLOOKUP(C182,Products!A:D,4,FALSE)</f>
        <v>2210</v>
      </c>
      <c r="H182" t="str">
        <f>VLOOKUP(C182,Products!A:D,3,FALSE)</f>
        <v>Beauty</v>
      </c>
      <c r="I182">
        <f t="shared" si="2"/>
        <v>7072</v>
      </c>
      <c r="J182" s="2">
        <f>VLOOKUP(B182,Orders!A:C,3,FALSE)</f>
        <v>46198</v>
      </c>
      <c r="K182" s="1" t="str">
        <f>VLOOKUP(B182,Orders!A:B,2,FALSE)</f>
        <v>C0167</v>
      </c>
    </row>
    <row r="183" spans="1:11" x14ac:dyDescent="0.3">
      <c r="A183" s="1" t="s">
        <v>1454</v>
      </c>
      <c r="B183" s="1" t="s">
        <v>1453</v>
      </c>
      <c r="C183" s="1" t="s">
        <v>1249</v>
      </c>
      <c r="D183" s="1">
        <v>4</v>
      </c>
      <c r="E183" s="1">
        <v>0</v>
      </c>
      <c r="F183" s="1" t="b">
        <v>0</v>
      </c>
      <c r="G183">
        <f>VLOOKUP(C183,Products!A:D,4,FALSE)</f>
        <v>3630</v>
      </c>
      <c r="H183" t="str">
        <f>VLOOKUP(C183,Products!A:D,3,FALSE)</f>
        <v>Electronics</v>
      </c>
      <c r="I183">
        <f t="shared" si="2"/>
        <v>14520</v>
      </c>
      <c r="J183" s="2">
        <f>VLOOKUP(B183,Orders!A:C,3,FALSE)</f>
        <v>46198</v>
      </c>
      <c r="K183" s="1" t="str">
        <f>VLOOKUP(B183,Orders!A:B,2,FALSE)</f>
        <v>C0167</v>
      </c>
    </row>
    <row r="184" spans="1:11" x14ac:dyDescent="0.3">
      <c r="A184" s="1" t="s">
        <v>1455</v>
      </c>
      <c r="B184" s="1" t="s">
        <v>1453</v>
      </c>
      <c r="C184" s="1" t="s">
        <v>1143</v>
      </c>
      <c r="D184" s="1">
        <v>2</v>
      </c>
      <c r="E184" s="1">
        <v>0</v>
      </c>
      <c r="F184" s="1" t="b">
        <v>0</v>
      </c>
      <c r="G184">
        <f>VLOOKUP(C184,Products!A:D,4,FALSE)</f>
        <v>2230</v>
      </c>
      <c r="H184" t="str">
        <f>VLOOKUP(C184,Products!A:D,3,FALSE)</f>
        <v>Home &amp; Kitchen</v>
      </c>
      <c r="I184">
        <f t="shared" si="2"/>
        <v>4460</v>
      </c>
      <c r="J184" s="2">
        <f>VLOOKUP(B184,Orders!A:C,3,FALSE)</f>
        <v>46198</v>
      </c>
      <c r="K184" s="1" t="str">
        <f>VLOOKUP(B184,Orders!A:B,2,FALSE)</f>
        <v>C0167</v>
      </c>
    </row>
    <row r="185" spans="1:11" x14ac:dyDescent="0.3">
      <c r="A185" s="1" t="s">
        <v>1456</v>
      </c>
      <c r="B185" s="1" t="s">
        <v>1457</v>
      </c>
      <c r="C185" s="1" t="s">
        <v>1418</v>
      </c>
      <c r="D185" s="1">
        <v>3</v>
      </c>
      <c r="E185" s="1">
        <v>0.15</v>
      </c>
      <c r="F185" s="1" t="b">
        <v>0</v>
      </c>
      <c r="G185">
        <f>VLOOKUP(C185,Products!A:D,4,FALSE)</f>
        <v>1030</v>
      </c>
      <c r="H185" t="str">
        <f>VLOOKUP(C185,Products!A:D,3,FALSE)</f>
        <v>Beauty</v>
      </c>
      <c r="I185">
        <f t="shared" si="2"/>
        <v>2626.5</v>
      </c>
      <c r="J185" s="2" t="e">
        <f>VLOOKUP(B185,Orders!A:C,3,FALSE)</f>
        <v>#N/A</v>
      </c>
      <c r="K185" s="1" t="e">
        <f>VLOOKUP(B185,Orders!A:B,2,FALSE)</f>
        <v>#N/A</v>
      </c>
    </row>
    <row r="186" spans="1:11" x14ac:dyDescent="0.3">
      <c r="A186" s="1" t="s">
        <v>1458</v>
      </c>
      <c r="B186" s="1" t="s">
        <v>1457</v>
      </c>
      <c r="C186" s="1" t="s">
        <v>1459</v>
      </c>
      <c r="D186" s="1">
        <v>3</v>
      </c>
      <c r="E186" s="1">
        <v>0.15</v>
      </c>
      <c r="F186" s="1" t="b">
        <v>0</v>
      </c>
      <c r="G186">
        <f>VLOOKUP(C186,Products!A:D,4,FALSE)</f>
        <v>710</v>
      </c>
      <c r="H186" t="str">
        <f>VLOOKUP(C186,Products!A:D,3,FALSE)</f>
        <v>Sports</v>
      </c>
      <c r="I186">
        <f t="shared" si="2"/>
        <v>1810.5</v>
      </c>
      <c r="J186" s="2" t="e">
        <f>VLOOKUP(B186,Orders!A:C,3,FALSE)</f>
        <v>#N/A</v>
      </c>
      <c r="K186" s="1" t="e">
        <f>VLOOKUP(B186,Orders!A:B,2,FALSE)</f>
        <v>#N/A</v>
      </c>
    </row>
    <row r="187" spans="1:11" x14ac:dyDescent="0.3">
      <c r="A187" s="1" t="s">
        <v>1460</v>
      </c>
      <c r="B187" s="1" t="s">
        <v>1461</v>
      </c>
      <c r="C187" s="1" t="s">
        <v>1462</v>
      </c>
      <c r="D187" s="1">
        <v>1</v>
      </c>
      <c r="E187" s="1">
        <v>0.1</v>
      </c>
      <c r="F187" s="1" t="b">
        <v>0</v>
      </c>
      <c r="G187">
        <f>VLOOKUP(C187,Products!A:D,4,FALSE)</f>
        <v>3070</v>
      </c>
      <c r="H187" t="str">
        <f>VLOOKUP(C187,Products!A:D,3,FALSE)</f>
        <v>Apparel</v>
      </c>
      <c r="I187">
        <f t="shared" si="2"/>
        <v>2763</v>
      </c>
      <c r="J187" s="2">
        <f>VLOOKUP(B187,Orders!A:C,3,FALSE)</f>
        <v>46070</v>
      </c>
      <c r="K187" s="1" t="str">
        <f>VLOOKUP(B187,Orders!A:B,2,FALSE)</f>
        <v>C0046</v>
      </c>
    </row>
    <row r="188" spans="1:11" x14ac:dyDescent="0.3">
      <c r="A188" s="1" t="s">
        <v>1463</v>
      </c>
      <c r="B188" s="1" t="s">
        <v>1461</v>
      </c>
      <c r="C188" s="1" t="s">
        <v>1267</v>
      </c>
      <c r="D188" s="1">
        <v>2</v>
      </c>
      <c r="E188" s="1">
        <v>0</v>
      </c>
      <c r="F188" s="1" t="b">
        <v>0</v>
      </c>
      <c r="G188">
        <f>VLOOKUP(C188,Products!A:D,4,FALSE)</f>
        <v>3650</v>
      </c>
      <c r="H188" t="str">
        <f>VLOOKUP(C188,Products!A:D,3,FALSE)</f>
        <v>Books</v>
      </c>
      <c r="I188">
        <f t="shared" si="2"/>
        <v>7300</v>
      </c>
      <c r="J188" s="2">
        <f>VLOOKUP(B188,Orders!A:C,3,FALSE)</f>
        <v>46070</v>
      </c>
      <c r="K188" s="1" t="str">
        <f>VLOOKUP(B188,Orders!A:B,2,FALSE)</f>
        <v>C0046</v>
      </c>
    </row>
    <row r="189" spans="1:11" x14ac:dyDescent="0.3">
      <c r="A189" s="1" t="s">
        <v>1464</v>
      </c>
      <c r="B189" s="1" t="s">
        <v>1461</v>
      </c>
      <c r="C189" s="1" t="s">
        <v>1157</v>
      </c>
      <c r="D189" s="1">
        <v>1</v>
      </c>
      <c r="E189" s="1">
        <v>0.1</v>
      </c>
      <c r="F189" s="1" t="b">
        <v>0</v>
      </c>
      <c r="G189">
        <f>VLOOKUP(C189,Products!A:D,4,FALSE)</f>
        <v>1520</v>
      </c>
      <c r="H189" t="str">
        <f>VLOOKUP(C189,Products!A:D,3,FALSE)</f>
        <v>Books</v>
      </c>
      <c r="I189">
        <f t="shared" si="2"/>
        <v>1368</v>
      </c>
      <c r="J189" s="2">
        <f>VLOOKUP(B189,Orders!A:C,3,FALSE)</f>
        <v>46070</v>
      </c>
      <c r="K189" s="1" t="str">
        <f>VLOOKUP(B189,Orders!A:B,2,FALSE)</f>
        <v>C0046</v>
      </c>
    </row>
    <row r="190" spans="1:11" x14ac:dyDescent="0.3">
      <c r="A190" s="1" t="s">
        <v>1465</v>
      </c>
      <c r="B190" s="1" t="s">
        <v>1466</v>
      </c>
      <c r="C190" s="1" t="s">
        <v>1143</v>
      </c>
      <c r="D190" s="1">
        <v>5</v>
      </c>
      <c r="E190" s="1">
        <v>0</v>
      </c>
      <c r="F190" s="1" t="b">
        <v>0</v>
      </c>
      <c r="G190">
        <f>VLOOKUP(C190,Products!A:D,4,FALSE)</f>
        <v>2230</v>
      </c>
      <c r="H190" t="str">
        <f>VLOOKUP(C190,Products!A:D,3,FALSE)</f>
        <v>Home &amp; Kitchen</v>
      </c>
      <c r="I190">
        <f t="shared" si="2"/>
        <v>11150</v>
      </c>
      <c r="J190" s="2">
        <f>VLOOKUP(B190,Orders!A:C,3,FALSE)</f>
        <v>45824</v>
      </c>
      <c r="K190" s="1" t="str">
        <f>VLOOKUP(B190,Orders!A:B,2,FALSE)</f>
        <v>C0125</v>
      </c>
    </row>
    <row r="191" spans="1:11" x14ac:dyDescent="0.3">
      <c r="A191" s="1" t="s">
        <v>1467</v>
      </c>
      <c r="B191" s="1" t="s">
        <v>1466</v>
      </c>
      <c r="C191" s="1" t="s">
        <v>1468</v>
      </c>
      <c r="D191" s="1">
        <v>2</v>
      </c>
      <c r="E191" s="1">
        <v>0.15</v>
      </c>
      <c r="F191" s="1" t="b">
        <v>0</v>
      </c>
      <c r="G191">
        <f>VLOOKUP(C191,Products!A:D,4,FALSE)</f>
        <v>2040</v>
      </c>
      <c r="H191" t="str">
        <f>VLOOKUP(C191,Products!A:D,3,FALSE)</f>
        <v>Books</v>
      </c>
      <c r="I191">
        <f t="shared" si="2"/>
        <v>3468</v>
      </c>
      <c r="J191" s="2">
        <f>VLOOKUP(B191,Orders!A:C,3,FALSE)</f>
        <v>45824</v>
      </c>
      <c r="K191" s="1" t="str">
        <f>VLOOKUP(B191,Orders!A:B,2,FALSE)</f>
        <v>C0125</v>
      </c>
    </row>
    <row r="192" spans="1:11" x14ac:dyDescent="0.3">
      <c r="A192" s="1" t="s">
        <v>1469</v>
      </c>
      <c r="B192" s="1" t="s">
        <v>1470</v>
      </c>
      <c r="C192" s="1" t="s">
        <v>1152</v>
      </c>
      <c r="D192" s="1">
        <v>2</v>
      </c>
      <c r="E192" s="1">
        <v>0.05</v>
      </c>
      <c r="F192" s="1" t="b">
        <v>0</v>
      </c>
      <c r="G192">
        <f>VLOOKUP(C192,Products!A:D,4,FALSE)</f>
        <v>2250</v>
      </c>
      <c r="H192" t="str">
        <f>VLOOKUP(C192,Products!A:D,3,FALSE)</f>
        <v>Home &amp; Kitchen</v>
      </c>
      <c r="I192">
        <f t="shared" ref="I192:I255" si="3">G192*D192*(1-E192)</f>
        <v>4275</v>
      </c>
      <c r="J192" s="2">
        <f>VLOOKUP(B192,Orders!A:C,3,FALSE)</f>
        <v>46015</v>
      </c>
      <c r="K192" s="1" t="str">
        <f>VLOOKUP(B192,Orders!A:B,2,FALSE)</f>
        <v>C0269</v>
      </c>
    </row>
    <row r="193" spans="1:11" x14ac:dyDescent="0.3">
      <c r="A193" s="1" t="s">
        <v>1471</v>
      </c>
      <c r="B193" s="1" t="s">
        <v>1470</v>
      </c>
      <c r="C193" s="1" t="s">
        <v>1195</v>
      </c>
      <c r="D193" s="1">
        <v>2</v>
      </c>
      <c r="E193" s="1">
        <v>0</v>
      </c>
      <c r="F193" s="1" t="b">
        <v>0</v>
      </c>
      <c r="G193">
        <f>VLOOKUP(C193,Products!A:D,4,FALSE)</f>
        <v>3430</v>
      </c>
      <c r="H193" t="str">
        <f>VLOOKUP(C193,Products!A:D,3,FALSE)</f>
        <v>Books</v>
      </c>
      <c r="I193">
        <f t="shared" si="3"/>
        <v>6860</v>
      </c>
      <c r="J193" s="2">
        <f>VLOOKUP(B193,Orders!A:C,3,FALSE)</f>
        <v>46015</v>
      </c>
      <c r="K193" s="1" t="str">
        <f>VLOOKUP(B193,Orders!A:B,2,FALSE)</f>
        <v>C0269</v>
      </c>
    </row>
    <row r="194" spans="1:11" x14ac:dyDescent="0.3">
      <c r="A194" s="1" t="s">
        <v>1472</v>
      </c>
      <c r="B194" s="1" t="s">
        <v>1473</v>
      </c>
      <c r="C194" s="1" t="s">
        <v>1137</v>
      </c>
      <c r="D194" s="1">
        <v>3</v>
      </c>
      <c r="E194" s="1">
        <v>0</v>
      </c>
      <c r="F194" s="1" t="b">
        <v>0</v>
      </c>
      <c r="G194">
        <f>VLOOKUP(C194,Products!A:D,4,FALSE)</f>
        <v>1910</v>
      </c>
      <c r="H194" t="str">
        <f>VLOOKUP(C194,Products!A:D,3,FALSE)</f>
        <v>Apparel</v>
      </c>
      <c r="I194">
        <f t="shared" si="3"/>
        <v>5730</v>
      </c>
      <c r="J194" s="2">
        <f>VLOOKUP(B194,Orders!A:C,3,FALSE)</f>
        <v>45978</v>
      </c>
      <c r="K194" s="1" t="str">
        <f>VLOOKUP(B194,Orders!A:B,2,FALSE)</f>
        <v>C0174</v>
      </c>
    </row>
    <row r="195" spans="1:11" x14ac:dyDescent="0.3">
      <c r="A195" s="1" t="s">
        <v>1474</v>
      </c>
      <c r="B195" s="1" t="s">
        <v>1475</v>
      </c>
      <c r="C195" s="1" t="s">
        <v>1257</v>
      </c>
      <c r="D195" s="1">
        <v>1</v>
      </c>
      <c r="E195" s="1">
        <v>0.2</v>
      </c>
      <c r="F195" s="1" t="b">
        <v>0</v>
      </c>
      <c r="G195">
        <f>VLOOKUP(C195,Products!A:D,4,FALSE)</f>
        <v>1760</v>
      </c>
      <c r="H195" t="str">
        <f>VLOOKUP(C195,Products!A:D,3,FALSE)</f>
        <v>Books</v>
      </c>
      <c r="I195">
        <f t="shared" si="3"/>
        <v>1408</v>
      </c>
      <c r="J195" s="2">
        <f>VLOOKUP(B195,Orders!A:C,3,FALSE)</f>
        <v>45832</v>
      </c>
      <c r="K195" s="1" t="str">
        <f>VLOOKUP(B195,Orders!A:B,2,FALSE)</f>
        <v>C0040</v>
      </c>
    </row>
    <row r="196" spans="1:11" x14ac:dyDescent="0.3">
      <c r="A196" s="1" t="s">
        <v>1476</v>
      </c>
      <c r="B196" s="1" t="s">
        <v>1477</v>
      </c>
      <c r="C196" s="1" t="s">
        <v>1184</v>
      </c>
      <c r="D196" s="1">
        <v>4</v>
      </c>
      <c r="E196" s="1">
        <v>0.15</v>
      </c>
      <c r="F196" s="1" t="b">
        <v>0</v>
      </c>
      <c r="G196">
        <f>VLOOKUP(C196,Products!A:D,4,FALSE)</f>
        <v>2230</v>
      </c>
      <c r="H196" t="str">
        <f>VLOOKUP(C196,Products!A:D,3,FALSE)</f>
        <v>Sports</v>
      </c>
      <c r="I196">
        <f t="shared" si="3"/>
        <v>7582</v>
      </c>
      <c r="J196" s="2">
        <f>VLOOKUP(B196,Orders!A:C,3,FALSE)</f>
        <v>46253</v>
      </c>
      <c r="K196" s="1" t="str">
        <f>VLOOKUP(B196,Orders!A:B,2,FALSE)</f>
        <v>C0272</v>
      </c>
    </row>
    <row r="197" spans="1:11" x14ac:dyDescent="0.3">
      <c r="A197" s="1" t="s">
        <v>1478</v>
      </c>
      <c r="B197" s="1" t="s">
        <v>1477</v>
      </c>
      <c r="C197" s="1" t="s">
        <v>1184</v>
      </c>
      <c r="D197" s="1">
        <v>1</v>
      </c>
      <c r="E197" s="1">
        <v>0</v>
      </c>
      <c r="F197" s="1" t="b">
        <v>0</v>
      </c>
      <c r="G197">
        <f>VLOOKUP(C197,Products!A:D,4,FALSE)</f>
        <v>2230</v>
      </c>
      <c r="H197" t="str">
        <f>VLOOKUP(C197,Products!A:D,3,FALSE)</f>
        <v>Sports</v>
      </c>
      <c r="I197">
        <f t="shared" si="3"/>
        <v>2230</v>
      </c>
      <c r="J197" s="2">
        <f>VLOOKUP(B197,Orders!A:C,3,FALSE)</f>
        <v>46253</v>
      </c>
      <c r="K197" s="1" t="str">
        <f>VLOOKUP(B197,Orders!A:B,2,FALSE)</f>
        <v>C0272</v>
      </c>
    </row>
    <row r="198" spans="1:11" x14ac:dyDescent="0.3">
      <c r="A198" s="1" t="s">
        <v>1479</v>
      </c>
      <c r="B198" s="1" t="s">
        <v>1480</v>
      </c>
      <c r="C198" s="1" t="s">
        <v>1176</v>
      </c>
      <c r="D198" s="1">
        <v>1</v>
      </c>
      <c r="E198" s="1">
        <v>0</v>
      </c>
      <c r="F198" s="1" t="b">
        <v>0</v>
      </c>
      <c r="G198">
        <f>VLOOKUP(C198,Products!A:D,4,FALSE)</f>
        <v>2670</v>
      </c>
      <c r="H198" t="str">
        <f>VLOOKUP(C198,Products!A:D,3,FALSE)</f>
        <v>Beauty</v>
      </c>
      <c r="I198">
        <f t="shared" si="3"/>
        <v>2670</v>
      </c>
      <c r="J198" s="2">
        <f>VLOOKUP(B198,Orders!A:C,3,FALSE)</f>
        <v>46095</v>
      </c>
      <c r="K198" s="1" t="str">
        <f>VLOOKUP(B198,Orders!A:B,2,FALSE)</f>
        <v>C0180</v>
      </c>
    </row>
    <row r="199" spans="1:11" x14ac:dyDescent="0.3">
      <c r="A199" s="1" t="s">
        <v>1481</v>
      </c>
      <c r="B199" s="1" t="s">
        <v>1480</v>
      </c>
      <c r="C199" s="1" t="s">
        <v>1109</v>
      </c>
      <c r="D199" s="1">
        <v>4</v>
      </c>
      <c r="E199" s="1">
        <v>0</v>
      </c>
      <c r="F199" s="1" t="b">
        <v>0</v>
      </c>
      <c r="G199">
        <f>VLOOKUP(C199,Products!A:D,4,FALSE)</f>
        <v>1475</v>
      </c>
      <c r="H199" t="str">
        <f>VLOOKUP(C199,Products!A:D,3,FALSE)</f>
        <v>Books</v>
      </c>
      <c r="I199">
        <f t="shared" si="3"/>
        <v>5900</v>
      </c>
      <c r="J199" s="2">
        <f>VLOOKUP(B199,Orders!A:C,3,FALSE)</f>
        <v>46095</v>
      </c>
      <c r="K199" s="1" t="str">
        <f>VLOOKUP(B199,Orders!A:B,2,FALSE)</f>
        <v>C0180</v>
      </c>
    </row>
    <row r="200" spans="1:11" x14ac:dyDescent="0.3">
      <c r="A200" s="1" t="s">
        <v>1482</v>
      </c>
      <c r="B200" s="1" t="s">
        <v>1483</v>
      </c>
      <c r="C200" s="1" t="s">
        <v>1484</v>
      </c>
      <c r="D200" s="1">
        <v>3</v>
      </c>
      <c r="E200" s="1">
        <v>0</v>
      </c>
      <c r="F200" s="1" t="b">
        <v>1</v>
      </c>
      <c r="G200">
        <f>VLOOKUP(C200,Products!A:D,4,FALSE)</f>
        <v>1080</v>
      </c>
      <c r="H200" t="str">
        <f>VLOOKUP(C200,Products!A:D,3,FALSE)</f>
        <v>Home &amp; Kitchen</v>
      </c>
      <c r="I200">
        <f t="shared" si="3"/>
        <v>3240</v>
      </c>
      <c r="J200" s="2">
        <f>VLOOKUP(B200,Orders!A:C,3,FALSE)</f>
        <v>46264</v>
      </c>
      <c r="K200" s="1" t="str">
        <f>VLOOKUP(B200,Orders!A:B,2,FALSE)</f>
        <v>C0076</v>
      </c>
    </row>
    <row r="201" spans="1:11" x14ac:dyDescent="0.3">
      <c r="A201" s="1" t="s">
        <v>1485</v>
      </c>
      <c r="B201" s="1" t="s">
        <v>1486</v>
      </c>
      <c r="C201" s="1" t="s">
        <v>1149</v>
      </c>
      <c r="D201" s="1">
        <v>3</v>
      </c>
      <c r="E201" s="1">
        <v>0.05</v>
      </c>
      <c r="F201" s="1" t="b">
        <v>0</v>
      </c>
      <c r="G201">
        <f>VLOOKUP(C201,Products!A:D,4,FALSE)</f>
        <v>1150</v>
      </c>
      <c r="H201" t="str">
        <f>VLOOKUP(C201,Products!A:D,3,FALSE)</f>
        <v>Apparel</v>
      </c>
      <c r="I201">
        <f t="shared" si="3"/>
        <v>3277.5</v>
      </c>
      <c r="J201" s="2">
        <f>VLOOKUP(B201,Orders!A:C,3,FALSE)</f>
        <v>46137</v>
      </c>
      <c r="K201" s="1" t="str">
        <f>VLOOKUP(B201,Orders!A:B,2,FALSE)</f>
        <v>C0132</v>
      </c>
    </row>
    <row r="202" spans="1:11" x14ac:dyDescent="0.3">
      <c r="A202" s="1" t="s">
        <v>1487</v>
      </c>
      <c r="B202" s="1" t="s">
        <v>1486</v>
      </c>
      <c r="C202" s="1" t="s">
        <v>1412</v>
      </c>
      <c r="D202" s="1">
        <v>3</v>
      </c>
      <c r="E202" s="1">
        <v>0.1</v>
      </c>
      <c r="F202" s="1" t="b">
        <v>0</v>
      </c>
      <c r="G202">
        <f>VLOOKUP(C202,Products!A:D,4,FALSE)</f>
        <v>1430</v>
      </c>
      <c r="H202" t="str">
        <f>VLOOKUP(C202,Products!A:D,3,FALSE)</f>
        <v>Books</v>
      </c>
      <c r="I202">
        <f t="shared" si="3"/>
        <v>3861</v>
      </c>
      <c r="J202" s="2">
        <f>VLOOKUP(B202,Orders!A:C,3,FALSE)</f>
        <v>46137</v>
      </c>
      <c r="K202" s="1" t="str">
        <f>VLOOKUP(B202,Orders!A:B,2,FALSE)</f>
        <v>C0132</v>
      </c>
    </row>
    <row r="203" spans="1:11" x14ac:dyDescent="0.3">
      <c r="A203" s="1" t="s">
        <v>1488</v>
      </c>
      <c r="B203" s="1" t="s">
        <v>1489</v>
      </c>
      <c r="C203" s="1" t="s">
        <v>1109</v>
      </c>
      <c r="D203" s="1">
        <v>2</v>
      </c>
      <c r="E203" s="1">
        <v>0.1</v>
      </c>
      <c r="F203" s="1" t="b">
        <v>0</v>
      </c>
      <c r="G203">
        <f>VLOOKUP(C203,Products!A:D,4,FALSE)</f>
        <v>1475</v>
      </c>
      <c r="H203" t="str">
        <f>VLOOKUP(C203,Products!A:D,3,FALSE)</f>
        <v>Books</v>
      </c>
      <c r="I203">
        <f t="shared" si="3"/>
        <v>2655</v>
      </c>
      <c r="J203" s="2">
        <f>VLOOKUP(B203,Orders!A:C,3,FALSE)</f>
        <v>45998</v>
      </c>
      <c r="K203" s="1" t="str">
        <f>VLOOKUP(B203,Orders!A:B,2,FALSE)</f>
        <v>C0079</v>
      </c>
    </row>
    <row r="204" spans="1:11" x14ac:dyDescent="0.3">
      <c r="A204" s="1" t="s">
        <v>1490</v>
      </c>
      <c r="B204" s="1" t="s">
        <v>1489</v>
      </c>
      <c r="C204" s="1" t="s">
        <v>1257</v>
      </c>
      <c r="D204" s="1">
        <v>3</v>
      </c>
      <c r="E204" s="1">
        <v>0.2</v>
      </c>
      <c r="F204" s="1" t="b">
        <v>0</v>
      </c>
      <c r="G204">
        <f>VLOOKUP(C204,Products!A:D,4,FALSE)</f>
        <v>1760</v>
      </c>
      <c r="H204" t="str">
        <f>VLOOKUP(C204,Products!A:D,3,FALSE)</f>
        <v>Books</v>
      </c>
      <c r="I204">
        <f t="shared" si="3"/>
        <v>4224</v>
      </c>
      <c r="J204" s="2">
        <f>VLOOKUP(B204,Orders!A:C,3,FALSE)</f>
        <v>45998</v>
      </c>
      <c r="K204" s="1" t="str">
        <f>VLOOKUP(B204,Orders!A:B,2,FALSE)</f>
        <v>C0079</v>
      </c>
    </row>
    <row r="205" spans="1:11" x14ac:dyDescent="0.3">
      <c r="A205" s="1" t="s">
        <v>1491</v>
      </c>
      <c r="B205" s="1" t="s">
        <v>1492</v>
      </c>
      <c r="C205" s="1" t="s">
        <v>1140</v>
      </c>
      <c r="D205" s="1">
        <v>2</v>
      </c>
      <c r="E205" s="1">
        <v>0</v>
      </c>
      <c r="F205" s="1" t="b">
        <v>0</v>
      </c>
      <c r="G205">
        <f>VLOOKUP(C205,Products!A:D,4,FALSE)</f>
        <v>3040</v>
      </c>
      <c r="H205" t="str">
        <f>VLOOKUP(C205,Products!A:D,3,FALSE)</f>
        <v>Electronics</v>
      </c>
      <c r="I205">
        <f t="shared" si="3"/>
        <v>6080</v>
      </c>
      <c r="J205" s="2">
        <f>VLOOKUP(B205,Orders!A:C,3,FALSE)</f>
        <v>45930</v>
      </c>
      <c r="K205" s="1" t="str">
        <f>VLOOKUP(B205,Orders!A:B,2,FALSE)</f>
        <v>C0091</v>
      </c>
    </row>
    <row r="206" spans="1:11" x14ac:dyDescent="0.3">
      <c r="A206" s="1" t="s">
        <v>1493</v>
      </c>
      <c r="B206" s="1" t="s">
        <v>1494</v>
      </c>
      <c r="C206" s="1" t="s">
        <v>1299</v>
      </c>
      <c r="D206" s="1">
        <v>4</v>
      </c>
      <c r="E206" s="1">
        <v>0</v>
      </c>
      <c r="F206" s="1" t="b">
        <v>0</v>
      </c>
      <c r="G206">
        <f>VLOOKUP(C206,Products!A:D,4,FALSE)</f>
        <v>1080</v>
      </c>
      <c r="H206" t="str">
        <f>VLOOKUP(C206,Products!A:D,3,FALSE)</f>
        <v>Beauty</v>
      </c>
      <c r="I206">
        <f t="shared" si="3"/>
        <v>4320</v>
      </c>
      <c r="J206" s="2">
        <f>VLOOKUP(B206,Orders!A:C,3,FALSE)</f>
        <v>45853</v>
      </c>
      <c r="K206" s="1" t="str">
        <f>VLOOKUP(B206,Orders!A:B,2,FALSE)</f>
        <v>C0238</v>
      </c>
    </row>
    <row r="207" spans="1:11" x14ac:dyDescent="0.3">
      <c r="A207" s="1" t="s">
        <v>1495</v>
      </c>
      <c r="B207" s="1" t="s">
        <v>1496</v>
      </c>
      <c r="C207" s="1" t="s">
        <v>1163</v>
      </c>
      <c r="D207" s="1">
        <v>3</v>
      </c>
      <c r="E207" s="1">
        <v>0.05</v>
      </c>
      <c r="F207" s="1" t="b">
        <v>0</v>
      </c>
      <c r="G207">
        <f>VLOOKUP(C207,Products!A:D,4,FALSE)</f>
        <v>2180</v>
      </c>
      <c r="H207" t="str">
        <f>VLOOKUP(C207,Products!A:D,3,FALSE)</f>
        <v>Electronics</v>
      </c>
      <c r="I207">
        <f t="shared" si="3"/>
        <v>6213</v>
      </c>
      <c r="J207" s="2">
        <f>VLOOKUP(B207,Orders!A:C,3,FALSE)</f>
        <v>46001</v>
      </c>
      <c r="K207" s="1" t="str">
        <f>VLOOKUP(B207,Orders!A:B,2,FALSE)</f>
        <v>C0230</v>
      </c>
    </row>
    <row r="208" spans="1:11" x14ac:dyDescent="0.3">
      <c r="A208" s="1" t="s">
        <v>1497</v>
      </c>
      <c r="B208" s="1" t="s">
        <v>1496</v>
      </c>
      <c r="C208" s="1" t="s">
        <v>1498</v>
      </c>
      <c r="D208" s="1">
        <v>4</v>
      </c>
      <c r="E208" s="1">
        <v>0</v>
      </c>
      <c r="F208" s="1" t="b">
        <v>0</v>
      </c>
      <c r="G208">
        <f>VLOOKUP(C208,Products!A:D,4,FALSE)</f>
        <v>1910</v>
      </c>
      <c r="H208" t="str">
        <f>VLOOKUP(C208,Products!A:D,3,FALSE)</f>
        <v>Apparel</v>
      </c>
      <c r="I208">
        <f t="shared" si="3"/>
        <v>7640</v>
      </c>
      <c r="J208" s="2">
        <f>VLOOKUP(B208,Orders!A:C,3,FALSE)</f>
        <v>46001</v>
      </c>
      <c r="K208" s="1" t="str">
        <f>VLOOKUP(B208,Orders!A:B,2,FALSE)</f>
        <v>C0230</v>
      </c>
    </row>
    <row r="209" spans="1:11" x14ac:dyDescent="0.3">
      <c r="A209" s="1" t="s">
        <v>1499</v>
      </c>
      <c r="B209" s="1" t="s">
        <v>1496</v>
      </c>
      <c r="C209" s="1" t="s">
        <v>1468</v>
      </c>
      <c r="D209" s="1">
        <v>4</v>
      </c>
      <c r="E209" s="1">
        <v>0.1</v>
      </c>
      <c r="F209" s="1" t="b">
        <v>0</v>
      </c>
      <c r="G209">
        <f>VLOOKUP(C209,Products!A:D,4,FALSE)</f>
        <v>2040</v>
      </c>
      <c r="H209" t="str">
        <f>VLOOKUP(C209,Products!A:D,3,FALSE)</f>
        <v>Books</v>
      </c>
      <c r="I209">
        <f t="shared" si="3"/>
        <v>7344</v>
      </c>
      <c r="J209" s="2">
        <f>VLOOKUP(B209,Orders!A:C,3,FALSE)</f>
        <v>46001</v>
      </c>
      <c r="K209" s="1" t="str">
        <f>VLOOKUP(B209,Orders!A:B,2,FALSE)</f>
        <v>C0230</v>
      </c>
    </row>
    <row r="210" spans="1:11" x14ac:dyDescent="0.3">
      <c r="A210" s="1" t="s">
        <v>1500</v>
      </c>
      <c r="B210" s="1" t="s">
        <v>1501</v>
      </c>
      <c r="C210" s="1" t="s">
        <v>1333</v>
      </c>
      <c r="D210" s="1">
        <v>1</v>
      </c>
      <c r="E210" s="1">
        <v>0.2</v>
      </c>
      <c r="F210" s="1" t="b">
        <v>0</v>
      </c>
      <c r="G210">
        <f>VLOOKUP(C210,Products!A:D,4,FALSE)</f>
        <v>1440</v>
      </c>
      <c r="H210" t="str">
        <f>VLOOKUP(C210,Products!A:D,3,FALSE)</f>
        <v>Home &amp; Kitchen</v>
      </c>
      <c r="I210">
        <f t="shared" si="3"/>
        <v>1152</v>
      </c>
      <c r="J210" s="2">
        <f>VLOOKUP(B210,Orders!A:C,3,FALSE)</f>
        <v>45768</v>
      </c>
      <c r="K210" s="1" t="str">
        <f>VLOOKUP(B210,Orders!A:B,2,FALSE)</f>
        <v>C0166</v>
      </c>
    </row>
    <row r="211" spans="1:11" x14ac:dyDescent="0.3">
      <c r="A211" s="1" t="s">
        <v>1502</v>
      </c>
      <c r="B211" s="1" t="s">
        <v>1503</v>
      </c>
      <c r="C211" s="1" t="s">
        <v>1163</v>
      </c>
      <c r="D211" s="1">
        <v>5</v>
      </c>
      <c r="E211" s="1">
        <v>0</v>
      </c>
      <c r="F211" s="1" t="b">
        <v>0</v>
      </c>
      <c r="G211">
        <f>VLOOKUP(C211,Products!A:D,4,FALSE)</f>
        <v>2180</v>
      </c>
      <c r="H211" t="str">
        <f>VLOOKUP(C211,Products!A:D,3,FALSE)</f>
        <v>Electronics</v>
      </c>
      <c r="I211">
        <f t="shared" si="3"/>
        <v>10900</v>
      </c>
      <c r="J211" s="2">
        <f>VLOOKUP(B211,Orders!A:C,3,FALSE)</f>
        <v>45936</v>
      </c>
      <c r="K211" s="1" t="str">
        <f>VLOOKUP(B211,Orders!A:B,2,FALSE)</f>
        <v>C0078</v>
      </c>
    </row>
    <row r="212" spans="1:11" x14ac:dyDescent="0.3">
      <c r="A212" s="1" t="s">
        <v>1504</v>
      </c>
      <c r="B212" s="1" t="s">
        <v>1505</v>
      </c>
      <c r="C212" s="1" t="s">
        <v>1393</v>
      </c>
      <c r="D212" s="1">
        <v>1</v>
      </c>
      <c r="E212" s="1">
        <v>0.15</v>
      </c>
      <c r="F212" s="1" t="b">
        <v>0</v>
      </c>
      <c r="G212">
        <f>VLOOKUP(C212,Products!A:D,4,FALSE)</f>
        <v>1520</v>
      </c>
      <c r="H212" t="str">
        <f>VLOOKUP(C212,Products!A:D,3,FALSE)</f>
        <v>Electronics</v>
      </c>
      <c r="I212">
        <f t="shared" si="3"/>
        <v>1292</v>
      </c>
      <c r="J212" s="2">
        <f>VLOOKUP(B212,Orders!A:C,3,FALSE)</f>
        <v>45757</v>
      </c>
      <c r="K212" s="1" t="str">
        <f>VLOOKUP(B212,Orders!A:B,2,FALSE)</f>
        <v>C0227</v>
      </c>
    </row>
    <row r="213" spans="1:11" x14ac:dyDescent="0.3">
      <c r="A213" s="1" t="s">
        <v>1506</v>
      </c>
      <c r="B213" s="1" t="s">
        <v>1507</v>
      </c>
      <c r="C213" s="1" t="s">
        <v>1288</v>
      </c>
      <c r="D213" s="1">
        <v>5</v>
      </c>
      <c r="E213" s="1">
        <v>0.15</v>
      </c>
      <c r="F213" s="1" t="b">
        <v>0</v>
      </c>
      <c r="G213">
        <f>VLOOKUP(C213,Products!A:D,4,FALSE)</f>
        <v>2580</v>
      </c>
      <c r="H213" t="str">
        <f>VLOOKUP(C213,Products!A:D,3,FALSE)</f>
        <v>Beauty</v>
      </c>
      <c r="I213">
        <f t="shared" si="3"/>
        <v>10965</v>
      </c>
      <c r="J213" s="2">
        <f>VLOOKUP(B213,Orders!A:C,3,FALSE)</f>
        <v>45847</v>
      </c>
      <c r="K213" s="1" t="str">
        <f>VLOOKUP(B213,Orders!A:B,2,FALSE)</f>
        <v>C0029</v>
      </c>
    </row>
    <row r="214" spans="1:11" x14ac:dyDescent="0.3">
      <c r="A214" s="1" t="s">
        <v>1508</v>
      </c>
      <c r="B214" s="1" t="s">
        <v>1509</v>
      </c>
      <c r="C214" s="1" t="s">
        <v>1109</v>
      </c>
      <c r="D214" s="1">
        <v>5</v>
      </c>
      <c r="E214" s="1">
        <v>0.05</v>
      </c>
      <c r="F214" s="1" t="b">
        <v>0</v>
      </c>
      <c r="G214">
        <f>VLOOKUP(C214,Products!A:D,4,FALSE)</f>
        <v>1475</v>
      </c>
      <c r="H214" t="str">
        <f>VLOOKUP(C214,Products!A:D,3,FALSE)</f>
        <v>Books</v>
      </c>
      <c r="I214">
        <f t="shared" si="3"/>
        <v>7006.25</v>
      </c>
      <c r="J214" s="2">
        <f>VLOOKUP(B214,Orders!A:C,3,FALSE)</f>
        <v>46231</v>
      </c>
      <c r="K214" s="1" t="str">
        <f>VLOOKUP(B214,Orders!A:B,2,FALSE)</f>
        <v>C0159</v>
      </c>
    </row>
    <row r="215" spans="1:11" x14ac:dyDescent="0.3">
      <c r="A215" s="1" t="s">
        <v>1510</v>
      </c>
      <c r="B215" s="1" t="s">
        <v>1511</v>
      </c>
      <c r="C215" s="1" t="s">
        <v>1171</v>
      </c>
      <c r="D215" s="1">
        <v>1</v>
      </c>
      <c r="E215" s="1">
        <v>0.1</v>
      </c>
      <c r="F215" s="1" t="b">
        <v>0</v>
      </c>
      <c r="G215">
        <f>VLOOKUP(C215,Products!A:D,4,FALSE)</f>
        <v>2250</v>
      </c>
      <c r="H215" t="str">
        <f>VLOOKUP(C215,Products!A:D,3,FALSE)</f>
        <v>Home &amp; Kitchen</v>
      </c>
      <c r="I215">
        <f t="shared" si="3"/>
        <v>2025</v>
      </c>
      <c r="J215" s="2">
        <f>VLOOKUP(B215,Orders!A:C,3,FALSE)</f>
        <v>45931</v>
      </c>
      <c r="K215" s="1" t="str">
        <f>VLOOKUP(B215,Orders!A:B,2,FALSE)</f>
        <v>C0030</v>
      </c>
    </row>
    <row r="216" spans="1:11" x14ac:dyDescent="0.3">
      <c r="A216" s="1" t="s">
        <v>1512</v>
      </c>
      <c r="B216" s="1" t="s">
        <v>1511</v>
      </c>
      <c r="C216" s="1" t="s">
        <v>1202</v>
      </c>
      <c r="D216" s="1">
        <v>5</v>
      </c>
      <c r="E216" s="1">
        <v>0.1</v>
      </c>
      <c r="F216" s="1" t="b">
        <v>0</v>
      </c>
      <c r="G216">
        <f>VLOOKUP(C216,Products!A:D,4,FALSE)</f>
        <v>530</v>
      </c>
      <c r="H216" t="str">
        <f>VLOOKUP(C216,Products!A:D,3,FALSE)</f>
        <v>Beauty</v>
      </c>
      <c r="I216">
        <f t="shared" si="3"/>
        <v>2385</v>
      </c>
      <c r="J216" s="2">
        <f>VLOOKUP(B216,Orders!A:C,3,FALSE)</f>
        <v>45931</v>
      </c>
      <c r="K216" s="1" t="str">
        <f>VLOOKUP(B216,Orders!A:B,2,FALSE)</f>
        <v>C0030</v>
      </c>
    </row>
    <row r="217" spans="1:11" x14ac:dyDescent="0.3">
      <c r="A217" s="1" t="s">
        <v>1513</v>
      </c>
      <c r="B217" s="1" t="s">
        <v>1514</v>
      </c>
      <c r="C217" s="1" t="s">
        <v>1433</v>
      </c>
      <c r="D217" s="1">
        <v>3</v>
      </c>
      <c r="E217" s="1">
        <v>0.05</v>
      </c>
      <c r="F217" s="1" t="b">
        <v>0</v>
      </c>
      <c r="G217">
        <f>VLOOKUP(C217,Products!A:D,4,FALSE)</f>
        <v>110</v>
      </c>
      <c r="H217" t="str">
        <f>VLOOKUP(C217,Products!A:D,3,FALSE)</f>
        <v>Home &amp; Kitchen</v>
      </c>
      <c r="I217">
        <f t="shared" si="3"/>
        <v>313.5</v>
      </c>
      <c r="J217" s="2">
        <f>VLOOKUP(B217,Orders!A:C,3,FALSE)</f>
        <v>45991</v>
      </c>
      <c r="K217" s="1" t="str">
        <f>VLOOKUP(B217,Orders!A:B,2,FALSE)</f>
        <v>C0040</v>
      </c>
    </row>
    <row r="218" spans="1:11" x14ac:dyDescent="0.3">
      <c r="A218" s="1" t="s">
        <v>1515</v>
      </c>
      <c r="B218" s="1" t="s">
        <v>1516</v>
      </c>
      <c r="C218" s="1" t="s">
        <v>1320</v>
      </c>
      <c r="D218" s="1">
        <v>3</v>
      </c>
      <c r="E218" s="1">
        <v>0</v>
      </c>
      <c r="F218" s="1" t="b">
        <v>0</v>
      </c>
      <c r="G218">
        <f>VLOOKUP(C218,Products!A:D,4,FALSE)</f>
        <v>2790</v>
      </c>
      <c r="H218" t="str">
        <f>VLOOKUP(C218,Products!A:D,3,FALSE)</f>
        <v>Electronics</v>
      </c>
      <c r="I218">
        <f t="shared" si="3"/>
        <v>8370</v>
      </c>
      <c r="J218" s="2">
        <f>VLOOKUP(B218,Orders!A:C,3,FALSE)</f>
        <v>45983</v>
      </c>
      <c r="K218" s="1" t="str">
        <f>VLOOKUP(B218,Orders!A:B,2,FALSE)</f>
        <v>C0260</v>
      </c>
    </row>
    <row r="219" spans="1:11" x14ac:dyDescent="0.3">
      <c r="A219" s="1" t="s">
        <v>1517</v>
      </c>
      <c r="B219" s="1" t="s">
        <v>1518</v>
      </c>
      <c r="C219" s="1" t="s">
        <v>1195</v>
      </c>
      <c r="D219" s="1">
        <v>1</v>
      </c>
      <c r="E219" s="1">
        <v>0.05</v>
      </c>
      <c r="F219" s="1" t="b">
        <v>0</v>
      </c>
      <c r="G219">
        <f>VLOOKUP(C219,Products!A:D,4,FALSE)</f>
        <v>3430</v>
      </c>
      <c r="H219" t="str">
        <f>VLOOKUP(C219,Products!A:D,3,FALSE)</f>
        <v>Books</v>
      </c>
      <c r="I219">
        <f t="shared" si="3"/>
        <v>3258.5</v>
      </c>
      <c r="J219" s="2">
        <f>VLOOKUP(B219,Orders!A:C,3,FALSE)</f>
        <v>45759</v>
      </c>
      <c r="K219" s="1" t="str">
        <f>VLOOKUP(B219,Orders!A:B,2,FALSE)</f>
        <v>C0284</v>
      </c>
    </row>
    <row r="220" spans="1:11" x14ac:dyDescent="0.3">
      <c r="A220" s="1" t="s">
        <v>1519</v>
      </c>
      <c r="B220" s="1" t="s">
        <v>1520</v>
      </c>
      <c r="C220" s="1" t="s">
        <v>1146</v>
      </c>
      <c r="D220" s="1">
        <v>2</v>
      </c>
      <c r="E220" s="1">
        <v>0.2</v>
      </c>
      <c r="F220" s="1" t="b">
        <v>0</v>
      </c>
      <c r="G220">
        <f>VLOOKUP(C220,Products!A:D,4,FALSE)</f>
        <v>1630</v>
      </c>
      <c r="H220" t="str">
        <f>VLOOKUP(C220,Products!A:D,3,FALSE)</f>
        <v>Beauty</v>
      </c>
      <c r="I220">
        <f t="shared" si="3"/>
        <v>2608</v>
      </c>
      <c r="J220" s="2">
        <f>VLOOKUP(B220,Orders!A:C,3,FALSE)</f>
        <v>46271</v>
      </c>
      <c r="K220" s="1" t="str">
        <f>VLOOKUP(B220,Orders!A:B,2,FALSE)</f>
        <v>C0231</v>
      </c>
    </row>
    <row r="221" spans="1:11" x14ac:dyDescent="0.3">
      <c r="A221" s="1" t="s">
        <v>1521</v>
      </c>
      <c r="B221" s="1" t="s">
        <v>1522</v>
      </c>
      <c r="C221" s="1" t="s">
        <v>1137</v>
      </c>
      <c r="D221" s="1">
        <v>2</v>
      </c>
      <c r="E221" s="1">
        <v>0.2</v>
      </c>
      <c r="F221" s="1" t="b">
        <v>0</v>
      </c>
      <c r="G221">
        <f>VLOOKUP(C221,Products!A:D,4,FALSE)</f>
        <v>1910</v>
      </c>
      <c r="H221" t="str">
        <f>VLOOKUP(C221,Products!A:D,3,FALSE)</f>
        <v>Apparel</v>
      </c>
      <c r="I221">
        <f t="shared" si="3"/>
        <v>3056</v>
      </c>
      <c r="J221" s="2">
        <f>VLOOKUP(B221,Orders!A:C,3,FALSE)</f>
        <v>45911</v>
      </c>
      <c r="K221" s="1" t="str">
        <f>VLOOKUP(B221,Orders!A:B,2,FALSE)</f>
        <v>C0097</v>
      </c>
    </row>
    <row r="222" spans="1:11" x14ac:dyDescent="0.3">
      <c r="A222" s="1" t="s">
        <v>1523</v>
      </c>
      <c r="B222" s="1" t="s">
        <v>1522</v>
      </c>
      <c r="C222" s="1" t="s">
        <v>1195</v>
      </c>
      <c r="D222" s="1">
        <v>2</v>
      </c>
      <c r="E222" s="1">
        <v>0.05</v>
      </c>
      <c r="F222" s="1" t="b">
        <v>0</v>
      </c>
      <c r="G222">
        <f>VLOOKUP(C222,Products!A:D,4,FALSE)</f>
        <v>3430</v>
      </c>
      <c r="H222" t="str">
        <f>VLOOKUP(C222,Products!A:D,3,FALSE)</f>
        <v>Books</v>
      </c>
      <c r="I222">
        <f t="shared" si="3"/>
        <v>6517</v>
      </c>
      <c r="J222" s="2">
        <f>VLOOKUP(B222,Orders!A:C,3,FALSE)</f>
        <v>45911</v>
      </c>
      <c r="K222" s="1" t="str">
        <f>VLOOKUP(B222,Orders!A:B,2,FALSE)</f>
        <v>C0097</v>
      </c>
    </row>
    <row r="223" spans="1:11" x14ac:dyDescent="0.3">
      <c r="A223" s="1" t="s">
        <v>1524</v>
      </c>
      <c r="B223" s="1" t="s">
        <v>1522</v>
      </c>
      <c r="C223" s="1" t="s">
        <v>1270</v>
      </c>
      <c r="D223" s="1">
        <v>2</v>
      </c>
      <c r="E223" s="1">
        <v>0.1</v>
      </c>
      <c r="F223" s="1" t="b">
        <v>0</v>
      </c>
      <c r="G223">
        <f>VLOOKUP(C223,Products!A:D,4,FALSE)</f>
        <v>3560</v>
      </c>
      <c r="H223" t="str">
        <f>VLOOKUP(C223,Products!A:D,3,FALSE)</f>
        <v>Sports</v>
      </c>
      <c r="I223">
        <f t="shared" si="3"/>
        <v>6408</v>
      </c>
      <c r="J223" s="2">
        <f>VLOOKUP(B223,Orders!A:C,3,FALSE)</f>
        <v>45911</v>
      </c>
      <c r="K223" s="1" t="str">
        <f>VLOOKUP(B223,Orders!A:B,2,FALSE)</f>
        <v>C0097</v>
      </c>
    </row>
    <row r="224" spans="1:11" x14ac:dyDescent="0.3">
      <c r="A224" s="1" t="s">
        <v>1525</v>
      </c>
      <c r="B224" s="1" t="s">
        <v>1522</v>
      </c>
      <c r="C224" s="1" t="s">
        <v>1257</v>
      </c>
      <c r="D224" s="1">
        <v>2</v>
      </c>
      <c r="E224" s="1">
        <v>0.15</v>
      </c>
      <c r="F224" s="1" t="b">
        <v>0</v>
      </c>
      <c r="G224">
        <f>VLOOKUP(C224,Products!A:D,4,FALSE)</f>
        <v>1760</v>
      </c>
      <c r="H224" t="str">
        <f>VLOOKUP(C224,Products!A:D,3,FALSE)</f>
        <v>Books</v>
      </c>
      <c r="I224">
        <f t="shared" si="3"/>
        <v>2992</v>
      </c>
      <c r="J224" s="2">
        <f>VLOOKUP(B224,Orders!A:C,3,FALSE)</f>
        <v>45911</v>
      </c>
      <c r="K224" s="1" t="str">
        <f>VLOOKUP(B224,Orders!A:B,2,FALSE)</f>
        <v>C0097</v>
      </c>
    </row>
    <row r="225" spans="1:11" x14ac:dyDescent="0.3">
      <c r="A225" s="1" t="s">
        <v>1526</v>
      </c>
      <c r="B225" s="1" t="s">
        <v>1527</v>
      </c>
      <c r="C225" s="1" t="s">
        <v>1204</v>
      </c>
      <c r="D225" s="1">
        <v>1</v>
      </c>
      <c r="E225" s="1">
        <v>0</v>
      </c>
      <c r="F225" s="1" t="b">
        <v>0</v>
      </c>
      <c r="G225">
        <f>VLOOKUP(C225,Products!A:D,4,FALSE)</f>
        <v>940</v>
      </c>
      <c r="H225" t="str">
        <f>VLOOKUP(C225,Products!A:D,3,FALSE)</f>
        <v>Apparel</v>
      </c>
      <c r="I225">
        <f t="shared" si="3"/>
        <v>940</v>
      </c>
      <c r="J225" s="2">
        <f>VLOOKUP(B225,Orders!A:C,3,FALSE)</f>
        <v>46119</v>
      </c>
      <c r="K225" s="1" t="str">
        <f>VLOOKUP(B225,Orders!A:B,2,FALSE)</f>
        <v>C0257</v>
      </c>
    </row>
    <row r="226" spans="1:11" x14ac:dyDescent="0.3">
      <c r="A226" s="1" t="s">
        <v>1528</v>
      </c>
      <c r="B226" s="1" t="s">
        <v>1527</v>
      </c>
      <c r="C226" s="1" t="s">
        <v>1135</v>
      </c>
      <c r="D226" s="1">
        <v>2</v>
      </c>
      <c r="E226" s="1">
        <v>0</v>
      </c>
      <c r="F226" s="1" t="b">
        <v>0</v>
      </c>
      <c r="G226">
        <f>VLOOKUP(C226,Products!A:D,4,FALSE)</f>
        <v>470</v>
      </c>
      <c r="H226" t="str">
        <f>VLOOKUP(C226,Products!A:D,3,FALSE)</f>
        <v>Apparel</v>
      </c>
      <c r="I226">
        <f t="shared" si="3"/>
        <v>940</v>
      </c>
      <c r="J226" s="2">
        <f>VLOOKUP(B226,Orders!A:C,3,FALSE)</f>
        <v>46119</v>
      </c>
      <c r="K226" s="1" t="str">
        <f>VLOOKUP(B226,Orders!A:B,2,FALSE)</f>
        <v>C0257</v>
      </c>
    </row>
    <row r="227" spans="1:11" x14ac:dyDescent="0.3">
      <c r="A227" s="1" t="s">
        <v>1529</v>
      </c>
      <c r="B227" s="1" t="s">
        <v>1530</v>
      </c>
      <c r="C227" s="1" t="s">
        <v>1168</v>
      </c>
      <c r="D227" s="1">
        <v>1</v>
      </c>
      <c r="E227" s="1">
        <v>0.15</v>
      </c>
      <c r="F227" s="1" t="b">
        <v>0</v>
      </c>
      <c r="G227">
        <f>VLOOKUP(C227,Products!A:D,4,FALSE)</f>
        <v>1440</v>
      </c>
      <c r="H227" t="str">
        <f>VLOOKUP(C227,Products!A:D,3,FALSE)</f>
        <v>Sports</v>
      </c>
      <c r="I227">
        <f t="shared" si="3"/>
        <v>1224</v>
      </c>
      <c r="J227" s="2">
        <f>VLOOKUP(B227,Orders!A:C,3,FALSE)</f>
        <v>46019</v>
      </c>
      <c r="K227" s="1" t="str">
        <f>VLOOKUP(B227,Orders!A:B,2,FALSE)</f>
        <v>C0032</v>
      </c>
    </row>
    <row r="228" spans="1:11" x14ac:dyDescent="0.3">
      <c r="A228" s="1" t="s">
        <v>1531</v>
      </c>
      <c r="B228" s="1" t="s">
        <v>1532</v>
      </c>
      <c r="C228" s="1" t="s">
        <v>1174</v>
      </c>
      <c r="D228" s="1">
        <v>4</v>
      </c>
      <c r="E228" s="1">
        <v>0.05</v>
      </c>
      <c r="F228" s="1" t="b">
        <v>0</v>
      </c>
      <c r="G228">
        <f>VLOOKUP(C228,Products!A:D,4,FALSE)</f>
        <v>1250</v>
      </c>
      <c r="H228" t="str">
        <f>VLOOKUP(C228,Products!A:D,3,FALSE)</f>
        <v>Sports</v>
      </c>
      <c r="I228">
        <f t="shared" si="3"/>
        <v>4750</v>
      </c>
      <c r="J228" s="2">
        <f>VLOOKUP(B228,Orders!A:C,3,FALSE)</f>
        <v>46188</v>
      </c>
      <c r="K228" s="1" t="str">
        <f>VLOOKUP(B228,Orders!A:B,2,FALSE)</f>
        <v>C0044</v>
      </c>
    </row>
    <row r="229" spans="1:11" x14ac:dyDescent="0.3">
      <c r="A229" s="1" t="s">
        <v>1533</v>
      </c>
      <c r="B229" s="1" t="s">
        <v>1534</v>
      </c>
      <c r="C229" s="1" t="s">
        <v>1157</v>
      </c>
      <c r="D229" s="1">
        <v>1</v>
      </c>
      <c r="E229" s="1">
        <v>0.15</v>
      </c>
      <c r="F229" s="1" t="b">
        <v>0</v>
      </c>
      <c r="G229">
        <f>VLOOKUP(C229,Products!A:D,4,FALSE)</f>
        <v>1520</v>
      </c>
      <c r="H229" t="str">
        <f>VLOOKUP(C229,Products!A:D,3,FALSE)</f>
        <v>Books</v>
      </c>
      <c r="I229">
        <f t="shared" si="3"/>
        <v>1292</v>
      </c>
      <c r="J229" s="2">
        <f>VLOOKUP(B229,Orders!A:C,3,FALSE)</f>
        <v>46191</v>
      </c>
      <c r="K229" s="1" t="str">
        <f>VLOOKUP(B229,Orders!A:B,2,FALSE)</f>
        <v>C0021</v>
      </c>
    </row>
    <row r="230" spans="1:11" x14ac:dyDescent="0.3">
      <c r="A230" s="1" t="s">
        <v>1535</v>
      </c>
      <c r="B230" s="1" t="s">
        <v>1534</v>
      </c>
      <c r="C230" s="1" t="s">
        <v>1276</v>
      </c>
      <c r="D230" s="1">
        <v>1</v>
      </c>
      <c r="E230" s="1">
        <v>0.15</v>
      </c>
      <c r="F230" s="1" t="b">
        <v>0</v>
      </c>
      <c r="G230">
        <f>VLOOKUP(C230,Products!A:D,4,FALSE)</f>
        <v>2010</v>
      </c>
      <c r="H230" t="str">
        <f>VLOOKUP(C230,Products!A:D,3,FALSE)</f>
        <v>Beauty</v>
      </c>
      <c r="I230">
        <f t="shared" si="3"/>
        <v>1708.5</v>
      </c>
      <c r="J230" s="2">
        <f>VLOOKUP(B230,Orders!A:C,3,FALSE)</f>
        <v>46191</v>
      </c>
      <c r="K230" s="1" t="str">
        <f>VLOOKUP(B230,Orders!A:B,2,FALSE)</f>
        <v>C0021</v>
      </c>
    </row>
    <row r="231" spans="1:11" x14ac:dyDescent="0.3">
      <c r="A231" s="1" t="s">
        <v>1536</v>
      </c>
      <c r="B231" s="1" t="s">
        <v>1534</v>
      </c>
      <c r="C231" s="1" t="s">
        <v>1160</v>
      </c>
      <c r="D231" s="1">
        <v>3</v>
      </c>
      <c r="E231" s="1">
        <v>0.2</v>
      </c>
      <c r="F231" s="1" t="b">
        <v>0</v>
      </c>
      <c r="G231">
        <f>VLOOKUP(C231,Products!A:D,4,FALSE)</f>
        <v>1710</v>
      </c>
      <c r="H231" t="str">
        <f>VLOOKUP(C231,Products!A:D,3,FALSE)</f>
        <v>Home &amp; Kitchen</v>
      </c>
      <c r="I231">
        <f t="shared" si="3"/>
        <v>4104</v>
      </c>
      <c r="J231" s="2">
        <f>VLOOKUP(B231,Orders!A:C,3,FALSE)</f>
        <v>46191</v>
      </c>
      <c r="K231" s="1" t="str">
        <f>VLOOKUP(B231,Orders!A:B,2,FALSE)</f>
        <v>C0021</v>
      </c>
    </row>
    <row r="232" spans="1:11" x14ac:dyDescent="0.3">
      <c r="A232" s="1" t="s">
        <v>1537</v>
      </c>
      <c r="B232" s="1" t="s">
        <v>1538</v>
      </c>
      <c r="C232" s="1" t="s">
        <v>1109</v>
      </c>
      <c r="D232" s="1">
        <v>5</v>
      </c>
      <c r="E232" s="1">
        <v>0.1</v>
      </c>
      <c r="F232" s="1" t="b">
        <v>0</v>
      </c>
      <c r="G232">
        <f>VLOOKUP(C232,Products!A:D,4,FALSE)</f>
        <v>1475</v>
      </c>
      <c r="H232" t="str">
        <f>VLOOKUP(C232,Products!A:D,3,FALSE)</f>
        <v>Books</v>
      </c>
      <c r="I232">
        <f t="shared" si="3"/>
        <v>6637.5</v>
      </c>
      <c r="J232" s="2">
        <f>VLOOKUP(B232,Orders!A:C,3,FALSE)</f>
        <v>45878</v>
      </c>
      <c r="K232" s="1" t="str">
        <f>VLOOKUP(B232,Orders!A:B,2,FALSE)</f>
        <v>C0225</v>
      </c>
    </row>
    <row r="233" spans="1:11" x14ac:dyDescent="0.3">
      <c r="A233" s="1" t="s">
        <v>1539</v>
      </c>
      <c r="B233" s="1" t="s">
        <v>1538</v>
      </c>
      <c r="C233" s="1" t="s">
        <v>1328</v>
      </c>
      <c r="D233" s="1">
        <v>4</v>
      </c>
      <c r="E233" s="1">
        <v>0.15</v>
      </c>
      <c r="F233" s="1" t="b">
        <v>0</v>
      </c>
      <c r="G233">
        <f>VLOOKUP(C233,Products!A:D,4,FALSE)</f>
        <v>1880</v>
      </c>
      <c r="H233" t="str">
        <f>VLOOKUP(C233,Products!A:D,3,FALSE)</f>
        <v>Apparel</v>
      </c>
      <c r="I233">
        <f t="shared" si="3"/>
        <v>6392</v>
      </c>
      <c r="J233" s="2">
        <f>VLOOKUP(B233,Orders!A:C,3,FALSE)</f>
        <v>45878</v>
      </c>
      <c r="K233" s="1" t="str">
        <f>VLOOKUP(B233,Orders!A:B,2,FALSE)</f>
        <v>C0225</v>
      </c>
    </row>
    <row r="234" spans="1:11" x14ac:dyDescent="0.3">
      <c r="A234" s="1" t="s">
        <v>1540</v>
      </c>
      <c r="B234" s="1" t="s">
        <v>1541</v>
      </c>
      <c r="C234" s="1" t="s">
        <v>1320</v>
      </c>
      <c r="D234" s="1">
        <v>1</v>
      </c>
      <c r="E234" s="1">
        <v>0.1</v>
      </c>
      <c r="F234" s="1" t="b">
        <v>0</v>
      </c>
      <c r="G234">
        <f>VLOOKUP(C234,Products!A:D,4,FALSE)</f>
        <v>2790</v>
      </c>
      <c r="H234" t="str">
        <f>VLOOKUP(C234,Products!A:D,3,FALSE)</f>
        <v>Electronics</v>
      </c>
      <c r="I234">
        <f t="shared" si="3"/>
        <v>2511</v>
      </c>
      <c r="J234" s="2">
        <f>VLOOKUP(B234,Orders!A:C,3,FALSE)</f>
        <v>46032</v>
      </c>
      <c r="K234" s="1" t="str">
        <f>VLOOKUP(B234,Orders!A:B,2,FALSE)</f>
        <v>C0082</v>
      </c>
    </row>
    <row r="235" spans="1:11" x14ac:dyDescent="0.3">
      <c r="A235" s="1" t="s">
        <v>1542</v>
      </c>
      <c r="B235" s="1" t="s">
        <v>1543</v>
      </c>
      <c r="C235" s="1" t="s">
        <v>1299</v>
      </c>
      <c r="D235" s="1">
        <v>5</v>
      </c>
      <c r="E235" s="1">
        <v>0.05</v>
      </c>
      <c r="F235" s="1" t="b">
        <v>0</v>
      </c>
      <c r="G235">
        <f>VLOOKUP(C235,Products!A:D,4,FALSE)</f>
        <v>1080</v>
      </c>
      <c r="H235" t="str">
        <f>VLOOKUP(C235,Products!A:D,3,FALSE)</f>
        <v>Beauty</v>
      </c>
      <c r="I235">
        <f t="shared" si="3"/>
        <v>5130</v>
      </c>
      <c r="J235" s="2">
        <f>VLOOKUP(B235,Orders!A:C,3,FALSE)</f>
        <v>45829</v>
      </c>
      <c r="K235" s="1" t="str">
        <f>VLOOKUP(B235,Orders!A:B,2,FALSE)</f>
        <v>C0199</v>
      </c>
    </row>
    <row r="236" spans="1:11" x14ac:dyDescent="0.3">
      <c r="A236" s="1" t="s">
        <v>1544</v>
      </c>
      <c r="B236" s="1" t="s">
        <v>1545</v>
      </c>
      <c r="C236" s="1" t="s">
        <v>1152</v>
      </c>
      <c r="D236" s="1">
        <v>4</v>
      </c>
      <c r="E236" s="1">
        <v>0.2</v>
      </c>
      <c r="F236" s="1" t="b">
        <v>0</v>
      </c>
      <c r="G236">
        <f>VLOOKUP(C236,Products!A:D,4,FALSE)</f>
        <v>2250</v>
      </c>
      <c r="H236" t="str">
        <f>VLOOKUP(C236,Products!A:D,3,FALSE)</f>
        <v>Home &amp; Kitchen</v>
      </c>
      <c r="I236">
        <f t="shared" si="3"/>
        <v>7200</v>
      </c>
      <c r="J236" s="2">
        <f>VLOOKUP(B236,Orders!A:C,3,FALSE)</f>
        <v>46092</v>
      </c>
      <c r="K236" s="1" t="str">
        <f>VLOOKUP(B236,Orders!A:B,2,FALSE)</f>
        <v>C0027</v>
      </c>
    </row>
    <row r="237" spans="1:11" x14ac:dyDescent="0.3">
      <c r="A237" s="1" t="s">
        <v>1546</v>
      </c>
      <c r="B237" s="1" t="s">
        <v>1547</v>
      </c>
      <c r="C237" s="1" t="s">
        <v>1333</v>
      </c>
      <c r="D237" s="1">
        <v>1</v>
      </c>
      <c r="E237" s="1">
        <v>0.1</v>
      </c>
      <c r="F237" s="1" t="b">
        <v>0</v>
      </c>
      <c r="G237">
        <f>VLOOKUP(C237,Products!A:D,4,FALSE)</f>
        <v>1440</v>
      </c>
      <c r="H237" t="str">
        <f>VLOOKUP(C237,Products!A:D,3,FALSE)</f>
        <v>Home &amp; Kitchen</v>
      </c>
      <c r="I237">
        <f t="shared" si="3"/>
        <v>1296</v>
      </c>
      <c r="J237" s="2">
        <f>VLOOKUP(B237,Orders!A:C,3,FALSE)</f>
        <v>45934</v>
      </c>
      <c r="K237" s="1" t="str">
        <f>VLOOKUP(B237,Orders!A:B,2,FALSE)</f>
        <v>C0034</v>
      </c>
    </row>
    <row r="238" spans="1:11" x14ac:dyDescent="0.3">
      <c r="A238" s="1" t="s">
        <v>1548</v>
      </c>
      <c r="B238" s="1" t="s">
        <v>1549</v>
      </c>
      <c r="C238" s="1" t="s">
        <v>1182</v>
      </c>
      <c r="D238" s="1">
        <v>2</v>
      </c>
      <c r="E238" s="1">
        <v>0</v>
      </c>
      <c r="F238" s="1" t="b">
        <v>0</v>
      </c>
      <c r="G238">
        <f>VLOOKUP(C238,Products!A:D,4,FALSE)</f>
        <v>790</v>
      </c>
      <c r="H238" t="str">
        <f>VLOOKUP(C238,Products!A:D,3,FALSE)</f>
        <v>Sports</v>
      </c>
      <c r="I238">
        <f t="shared" si="3"/>
        <v>1580</v>
      </c>
      <c r="J238" s="2">
        <f>VLOOKUP(B238,Orders!A:C,3,FALSE)</f>
        <v>46092</v>
      </c>
      <c r="K238" s="1" t="str">
        <f>VLOOKUP(B238,Orders!A:B,2,FALSE)</f>
        <v>C0198</v>
      </c>
    </row>
    <row r="239" spans="1:11" x14ac:dyDescent="0.3">
      <c r="A239" s="1" t="s">
        <v>1550</v>
      </c>
      <c r="B239" s="1" t="s">
        <v>1549</v>
      </c>
      <c r="C239" s="1" t="s">
        <v>1111</v>
      </c>
      <c r="D239" s="1">
        <v>5</v>
      </c>
      <c r="E239" s="1">
        <v>0.15</v>
      </c>
      <c r="F239" s="1" t="b">
        <v>0</v>
      </c>
      <c r="G239">
        <f>VLOOKUP(C239,Products!A:D,4,FALSE)</f>
        <v>2450</v>
      </c>
      <c r="H239" t="str">
        <f>VLOOKUP(C239,Products!A:D,3,FALSE)</f>
        <v>Sports</v>
      </c>
      <c r="I239">
        <f t="shared" si="3"/>
        <v>10412.5</v>
      </c>
      <c r="J239" s="2">
        <f>VLOOKUP(B239,Orders!A:C,3,FALSE)</f>
        <v>46092</v>
      </c>
      <c r="K239" s="1" t="str">
        <f>VLOOKUP(B239,Orders!A:B,2,FALSE)</f>
        <v>C0198</v>
      </c>
    </row>
    <row r="240" spans="1:11" x14ac:dyDescent="0.3">
      <c r="A240" s="1" t="s">
        <v>1551</v>
      </c>
      <c r="B240" s="1" t="s">
        <v>1549</v>
      </c>
      <c r="C240" s="1" t="s">
        <v>1278</v>
      </c>
      <c r="D240" s="1">
        <v>2</v>
      </c>
      <c r="E240" s="1">
        <v>0</v>
      </c>
      <c r="F240" s="1" t="b">
        <v>0</v>
      </c>
      <c r="G240">
        <f>VLOOKUP(C240,Products!A:D,4,FALSE)</f>
        <v>330</v>
      </c>
      <c r="H240" t="str">
        <f>VLOOKUP(C240,Products!A:D,3,FALSE)</f>
        <v>Books</v>
      </c>
      <c r="I240">
        <f t="shared" si="3"/>
        <v>660</v>
      </c>
      <c r="J240" s="2">
        <f>VLOOKUP(B240,Orders!A:C,3,FALSE)</f>
        <v>46092</v>
      </c>
      <c r="K240" s="1" t="str">
        <f>VLOOKUP(B240,Orders!A:B,2,FALSE)</f>
        <v>C0198</v>
      </c>
    </row>
    <row r="241" spans="1:11" x14ac:dyDescent="0.3">
      <c r="A241" s="1" t="s">
        <v>1552</v>
      </c>
      <c r="B241" s="1" t="s">
        <v>1553</v>
      </c>
      <c r="C241" s="1" t="s">
        <v>1174</v>
      </c>
      <c r="D241" s="1">
        <v>5</v>
      </c>
      <c r="E241" s="1">
        <v>0.15</v>
      </c>
      <c r="F241" s="1" t="b">
        <v>0</v>
      </c>
      <c r="G241">
        <f>VLOOKUP(C241,Products!A:D,4,FALSE)</f>
        <v>1250</v>
      </c>
      <c r="H241" t="str">
        <f>VLOOKUP(C241,Products!A:D,3,FALSE)</f>
        <v>Sports</v>
      </c>
      <c r="I241">
        <f t="shared" si="3"/>
        <v>5312.5</v>
      </c>
      <c r="J241" s="2">
        <f>VLOOKUP(B241,Orders!A:C,3,FALSE)</f>
        <v>46191</v>
      </c>
      <c r="K241" s="1" t="str">
        <f>VLOOKUP(B241,Orders!A:B,2,FALSE)</f>
        <v>C0077</v>
      </c>
    </row>
    <row r="242" spans="1:11" x14ac:dyDescent="0.3">
      <c r="A242" s="1" t="s">
        <v>1554</v>
      </c>
      <c r="B242" s="1" t="s">
        <v>1555</v>
      </c>
      <c r="C242" s="1" t="s">
        <v>1168</v>
      </c>
      <c r="D242" s="1">
        <v>4</v>
      </c>
      <c r="E242" s="1">
        <v>0.2</v>
      </c>
      <c r="F242" s="1" t="b">
        <v>0</v>
      </c>
      <c r="G242">
        <f>VLOOKUP(C242,Products!A:D,4,FALSE)</f>
        <v>1440</v>
      </c>
      <c r="H242" t="str">
        <f>VLOOKUP(C242,Products!A:D,3,FALSE)</f>
        <v>Sports</v>
      </c>
      <c r="I242">
        <f t="shared" si="3"/>
        <v>4608</v>
      </c>
      <c r="J242" s="2">
        <f>VLOOKUP(B242,Orders!A:C,3,FALSE)</f>
        <v>46017</v>
      </c>
      <c r="K242" s="1" t="str">
        <f>VLOOKUP(B242,Orders!A:B,2,FALSE)</f>
        <v>C0073</v>
      </c>
    </row>
    <row r="243" spans="1:11" x14ac:dyDescent="0.3">
      <c r="A243" s="1" t="s">
        <v>1556</v>
      </c>
      <c r="B243" s="1" t="s">
        <v>1555</v>
      </c>
      <c r="C243" s="1" t="s">
        <v>1127</v>
      </c>
      <c r="D243" s="1">
        <v>1</v>
      </c>
      <c r="E243" s="1">
        <v>0.05</v>
      </c>
      <c r="F243" s="1" t="b">
        <v>0</v>
      </c>
      <c r="G243">
        <f>VLOOKUP(C243,Products!A:D,4,FALSE)</f>
        <v>1660</v>
      </c>
      <c r="H243" t="str">
        <f>VLOOKUP(C243,Products!A:D,3,FALSE)</f>
        <v>Apparel</v>
      </c>
      <c r="I243">
        <f t="shared" si="3"/>
        <v>1577</v>
      </c>
      <c r="J243" s="2">
        <f>VLOOKUP(B243,Orders!A:C,3,FALSE)</f>
        <v>46017</v>
      </c>
      <c r="K243" s="1" t="str">
        <f>VLOOKUP(B243,Orders!A:B,2,FALSE)</f>
        <v>C0073</v>
      </c>
    </row>
    <row r="244" spans="1:11" x14ac:dyDescent="0.3">
      <c r="A244" s="1" t="s">
        <v>1557</v>
      </c>
      <c r="B244" s="1" t="s">
        <v>1555</v>
      </c>
      <c r="C244" s="1" t="s">
        <v>1209</v>
      </c>
      <c r="D244" s="1">
        <v>4</v>
      </c>
      <c r="E244" s="1">
        <v>0</v>
      </c>
      <c r="F244" s="1" t="b">
        <v>0</v>
      </c>
      <c r="G244">
        <f>VLOOKUP(C244,Products!A:D,4,FALSE)</f>
        <v>1580</v>
      </c>
      <c r="H244" t="str">
        <f>VLOOKUP(C244,Products!A:D,3,FALSE)</f>
        <v>Apparel</v>
      </c>
      <c r="I244">
        <f t="shared" si="3"/>
        <v>6320</v>
      </c>
      <c r="J244" s="2">
        <f>VLOOKUP(B244,Orders!A:C,3,FALSE)</f>
        <v>46017</v>
      </c>
      <c r="K244" s="1" t="str">
        <f>VLOOKUP(B244,Orders!A:B,2,FALSE)</f>
        <v>C0073</v>
      </c>
    </row>
    <row r="245" spans="1:11" x14ac:dyDescent="0.3">
      <c r="A245" s="1" t="s">
        <v>1558</v>
      </c>
      <c r="B245" s="1" t="s">
        <v>1559</v>
      </c>
      <c r="C245" s="1" t="s">
        <v>1290</v>
      </c>
      <c r="D245" s="1">
        <v>1</v>
      </c>
      <c r="E245" s="1">
        <v>0</v>
      </c>
      <c r="F245" s="1" t="b">
        <v>0</v>
      </c>
      <c r="G245">
        <f>VLOOKUP(C245,Products!A:D,4,FALSE)</f>
        <v>990</v>
      </c>
      <c r="H245" t="str">
        <f>VLOOKUP(C245,Products!A:D,3,FALSE)</f>
        <v>Books</v>
      </c>
      <c r="I245">
        <f t="shared" si="3"/>
        <v>990</v>
      </c>
      <c r="J245" s="2">
        <f>VLOOKUP(B245,Orders!A:C,3,FALSE)</f>
        <v>45940</v>
      </c>
      <c r="K245" s="1" t="str">
        <f>VLOOKUP(B245,Orders!A:B,2,FALSE)</f>
        <v>C0201</v>
      </c>
    </row>
    <row r="246" spans="1:11" x14ac:dyDescent="0.3">
      <c r="A246" s="1" t="s">
        <v>1560</v>
      </c>
      <c r="B246" s="1" t="s">
        <v>1559</v>
      </c>
      <c r="C246" s="1" t="s">
        <v>1157</v>
      </c>
      <c r="D246" s="1">
        <v>2</v>
      </c>
      <c r="E246" s="1">
        <v>0.1</v>
      </c>
      <c r="F246" s="1" t="b">
        <v>0</v>
      </c>
      <c r="G246">
        <f>VLOOKUP(C246,Products!A:D,4,FALSE)</f>
        <v>1520</v>
      </c>
      <c r="H246" t="str">
        <f>VLOOKUP(C246,Products!A:D,3,FALSE)</f>
        <v>Books</v>
      </c>
      <c r="I246">
        <f t="shared" si="3"/>
        <v>2736</v>
      </c>
      <c r="J246" s="2">
        <f>VLOOKUP(B246,Orders!A:C,3,FALSE)</f>
        <v>45940</v>
      </c>
      <c r="K246" s="1" t="str">
        <f>VLOOKUP(B246,Orders!A:B,2,FALSE)</f>
        <v>C0201</v>
      </c>
    </row>
    <row r="247" spans="1:11" x14ac:dyDescent="0.3">
      <c r="A247" s="1" t="s">
        <v>1561</v>
      </c>
      <c r="B247" s="1" t="s">
        <v>1562</v>
      </c>
      <c r="C247" s="1" t="s">
        <v>1163</v>
      </c>
      <c r="D247" s="1">
        <v>5</v>
      </c>
      <c r="E247" s="1">
        <v>0</v>
      </c>
      <c r="F247" s="1" t="b">
        <v>0</v>
      </c>
      <c r="G247">
        <f>VLOOKUP(C247,Products!A:D,4,FALSE)</f>
        <v>2180</v>
      </c>
      <c r="H247" t="str">
        <f>VLOOKUP(C247,Products!A:D,3,FALSE)</f>
        <v>Electronics</v>
      </c>
      <c r="I247">
        <f t="shared" si="3"/>
        <v>10900</v>
      </c>
      <c r="J247" s="2">
        <f>VLOOKUP(B247,Orders!A:C,3,FALSE)</f>
        <v>46231</v>
      </c>
      <c r="K247" s="1" t="str">
        <f>VLOOKUP(B247,Orders!A:B,2,FALSE)</f>
        <v>C0159</v>
      </c>
    </row>
    <row r="248" spans="1:11" x14ac:dyDescent="0.3">
      <c r="A248" s="1" t="s">
        <v>1563</v>
      </c>
      <c r="B248" s="1" t="s">
        <v>1562</v>
      </c>
      <c r="C248" s="1" t="s">
        <v>1564</v>
      </c>
      <c r="D248" s="1">
        <v>2</v>
      </c>
      <c r="E248" s="1">
        <v>0</v>
      </c>
      <c r="F248" s="1" t="b">
        <v>0</v>
      </c>
      <c r="G248">
        <f>VLOOKUP(C248,Products!A:D,4,FALSE)</f>
        <v>3680</v>
      </c>
      <c r="H248" t="str">
        <f>VLOOKUP(C248,Products!A:D,3,FALSE)</f>
        <v>Home &amp; Kitchen</v>
      </c>
      <c r="I248">
        <f t="shared" si="3"/>
        <v>7360</v>
      </c>
      <c r="J248" s="2">
        <f>VLOOKUP(B248,Orders!A:C,3,FALSE)</f>
        <v>46231</v>
      </c>
      <c r="K248" s="1" t="str">
        <f>VLOOKUP(B248,Orders!A:B,2,FALSE)</f>
        <v>C0159</v>
      </c>
    </row>
    <row r="249" spans="1:11" x14ac:dyDescent="0.3">
      <c r="A249" s="1" t="s">
        <v>1565</v>
      </c>
      <c r="B249" s="1" t="s">
        <v>1566</v>
      </c>
      <c r="C249" s="1" t="s">
        <v>1125</v>
      </c>
      <c r="D249" s="1">
        <v>5</v>
      </c>
      <c r="E249" s="1">
        <v>0.05</v>
      </c>
      <c r="F249" s="1" t="b">
        <v>0</v>
      </c>
      <c r="G249">
        <f>VLOOKUP(C249,Products!A:D,4,FALSE)</f>
        <v>99</v>
      </c>
      <c r="H249" t="str">
        <f>VLOOKUP(C249,Products!A:D,3,FALSE)</f>
        <v>Electronics</v>
      </c>
      <c r="I249">
        <f t="shared" si="3"/>
        <v>470.25</v>
      </c>
      <c r="J249" s="2">
        <f>VLOOKUP(B249,Orders!A:C,3,FALSE)</f>
        <v>46016</v>
      </c>
      <c r="K249" s="1" t="str">
        <f>VLOOKUP(B249,Orders!A:B,2,FALSE)</f>
        <v>C0066</v>
      </c>
    </row>
    <row r="250" spans="1:11" x14ac:dyDescent="0.3">
      <c r="A250" s="1" t="s">
        <v>1567</v>
      </c>
      <c r="B250" s="1" t="s">
        <v>1568</v>
      </c>
      <c r="C250" s="1" t="s">
        <v>1257</v>
      </c>
      <c r="D250" s="1">
        <v>3</v>
      </c>
      <c r="E250" s="1">
        <v>0.15</v>
      </c>
      <c r="F250" s="1" t="b">
        <v>1</v>
      </c>
      <c r="G250">
        <f>VLOOKUP(C250,Products!A:D,4,FALSE)</f>
        <v>1760</v>
      </c>
      <c r="H250" t="str">
        <f>VLOOKUP(C250,Products!A:D,3,FALSE)</f>
        <v>Books</v>
      </c>
      <c r="I250">
        <f t="shared" si="3"/>
        <v>4488</v>
      </c>
      <c r="J250" s="2">
        <f>VLOOKUP(B250,Orders!A:C,3,FALSE)</f>
        <v>45927</v>
      </c>
      <c r="K250" s="1" t="str">
        <f>VLOOKUP(B250,Orders!A:B,2,FALSE)</f>
        <v>C0048</v>
      </c>
    </row>
    <row r="251" spans="1:11" x14ac:dyDescent="0.3">
      <c r="A251" s="1" t="s">
        <v>1569</v>
      </c>
      <c r="B251" s="1" t="s">
        <v>1568</v>
      </c>
      <c r="C251" s="1" t="s">
        <v>1197</v>
      </c>
      <c r="D251" s="1">
        <v>1</v>
      </c>
      <c r="E251" s="1">
        <v>0</v>
      </c>
      <c r="F251" s="1" t="b">
        <v>0</v>
      </c>
      <c r="G251">
        <f>VLOOKUP(C251,Products!A:D,4,FALSE)</f>
        <v>2050</v>
      </c>
      <c r="H251" t="str">
        <f>VLOOKUP(C251,Products!A:D,3,FALSE)</f>
        <v>Apparel</v>
      </c>
      <c r="I251">
        <f t="shared" si="3"/>
        <v>2050</v>
      </c>
      <c r="J251" s="2">
        <f>VLOOKUP(B251,Orders!A:C,3,FALSE)</f>
        <v>45927</v>
      </c>
      <c r="K251" s="1" t="str">
        <f>VLOOKUP(B251,Orders!A:B,2,FALSE)</f>
        <v>C0048</v>
      </c>
    </row>
    <row r="252" spans="1:11" x14ac:dyDescent="0.3">
      <c r="A252" s="1" t="s">
        <v>1570</v>
      </c>
      <c r="B252" s="1" t="s">
        <v>1571</v>
      </c>
      <c r="C252" s="1" t="s">
        <v>1302</v>
      </c>
      <c r="D252" s="1">
        <v>4</v>
      </c>
      <c r="E252" s="1">
        <v>0</v>
      </c>
      <c r="F252" s="1" t="b">
        <v>0</v>
      </c>
      <c r="G252">
        <f>VLOOKUP(C252,Products!A:D,4,FALSE)</f>
        <v>1220</v>
      </c>
      <c r="H252" t="str">
        <f>VLOOKUP(C252,Products!A:D,3,FALSE)</f>
        <v>Home &amp; Kitchen</v>
      </c>
      <c r="I252">
        <f t="shared" si="3"/>
        <v>4880</v>
      </c>
      <c r="J252" s="2">
        <f>VLOOKUP(B252,Orders!A:C,3,FALSE)</f>
        <v>46209</v>
      </c>
      <c r="K252" s="1" t="str">
        <f>VLOOKUP(B252,Orders!A:B,2,FALSE)</f>
        <v>C0261</v>
      </c>
    </row>
    <row r="253" spans="1:11" x14ac:dyDescent="0.3">
      <c r="A253" s="1" t="s">
        <v>1572</v>
      </c>
      <c r="B253" s="1" t="s">
        <v>1573</v>
      </c>
      <c r="C253" s="1" t="s">
        <v>1290</v>
      </c>
      <c r="D253" s="1">
        <v>5</v>
      </c>
      <c r="E253" s="1">
        <v>0</v>
      </c>
      <c r="F253" s="1" t="b">
        <v>0</v>
      </c>
      <c r="G253">
        <f>VLOOKUP(C253,Products!A:D,4,FALSE)</f>
        <v>990</v>
      </c>
      <c r="H253" t="str">
        <f>VLOOKUP(C253,Products!A:D,3,FALSE)</f>
        <v>Books</v>
      </c>
      <c r="I253">
        <f t="shared" si="3"/>
        <v>4950</v>
      </c>
      <c r="J253" s="2">
        <f>VLOOKUP(B253,Orders!A:C,3,FALSE)</f>
        <v>46000</v>
      </c>
      <c r="K253" s="1" t="str">
        <f>VLOOKUP(B253,Orders!A:B,2,FALSE)</f>
        <v>C0159</v>
      </c>
    </row>
    <row r="254" spans="1:11" x14ac:dyDescent="0.3">
      <c r="A254" s="1" t="s">
        <v>1574</v>
      </c>
      <c r="B254" s="1" t="s">
        <v>1575</v>
      </c>
      <c r="C254" s="1" t="s">
        <v>1125</v>
      </c>
      <c r="D254" s="1">
        <v>5</v>
      </c>
      <c r="E254" s="1">
        <v>0.15</v>
      </c>
      <c r="F254" s="1" t="b">
        <v>0</v>
      </c>
      <c r="G254">
        <f>VLOOKUP(C254,Products!A:D,4,FALSE)</f>
        <v>99</v>
      </c>
      <c r="H254" t="str">
        <f>VLOOKUP(C254,Products!A:D,3,FALSE)</f>
        <v>Electronics</v>
      </c>
      <c r="I254">
        <f t="shared" si="3"/>
        <v>420.75</v>
      </c>
      <c r="J254" s="2">
        <f>VLOOKUP(B254,Orders!A:C,3,FALSE)</f>
        <v>45998</v>
      </c>
      <c r="K254" s="1" t="str">
        <f>VLOOKUP(B254,Orders!A:B,2,FALSE)</f>
        <v>C0175</v>
      </c>
    </row>
    <row r="255" spans="1:11" x14ac:dyDescent="0.3">
      <c r="A255" s="1" t="s">
        <v>1576</v>
      </c>
      <c r="B255" s="1" t="s">
        <v>1575</v>
      </c>
      <c r="C255" s="1" t="s">
        <v>1195</v>
      </c>
      <c r="D255" s="1">
        <v>3</v>
      </c>
      <c r="E255" s="1">
        <v>0</v>
      </c>
      <c r="F255" s="1" t="b">
        <v>0</v>
      </c>
      <c r="G255">
        <f>VLOOKUP(C255,Products!A:D,4,FALSE)</f>
        <v>3430</v>
      </c>
      <c r="H255" t="str">
        <f>VLOOKUP(C255,Products!A:D,3,FALSE)</f>
        <v>Books</v>
      </c>
      <c r="I255">
        <f t="shared" si="3"/>
        <v>10290</v>
      </c>
      <c r="J255" s="2">
        <f>VLOOKUP(B255,Orders!A:C,3,FALSE)</f>
        <v>45998</v>
      </c>
      <c r="K255" s="1" t="str">
        <f>VLOOKUP(B255,Orders!A:B,2,FALSE)</f>
        <v>C0175</v>
      </c>
    </row>
    <row r="256" spans="1:11" x14ac:dyDescent="0.3">
      <c r="A256" s="1" t="s">
        <v>1577</v>
      </c>
      <c r="B256" s="1" t="s">
        <v>1578</v>
      </c>
      <c r="C256" s="1" t="s">
        <v>1121</v>
      </c>
      <c r="D256" s="1">
        <v>4</v>
      </c>
      <c r="E256" s="1">
        <v>0.1</v>
      </c>
      <c r="F256" s="1" t="b">
        <v>0</v>
      </c>
      <c r="G256">
        <f>VLOOKUP(C256,Products!A:D,4,FALSE)</f>
        <v>1440</v>
      </c>
      <c r="H256" t="str">
        <f>VLOOKUP(C256,Products!A:D,3,FALSE)</f>
        <v>Sports</v>
      </c>
      <c r="I256">
        <f t="shared" ref="I256:I319" si="4">G256*D256*(1-E256)</f>
        <v>5184</v>
      </c>
      <c r="J256" s="2">
        <f>VLOOKUP(B256,Orders!A:C,3,FALSE)</f>
        <v>46065</v>
      </c>
      <c r="K256" s="1" t="str">
        <f>VLOOKUP(B256,Orders!A:B,2,FALSE)</f>
        <v>C0249</v>
      </c>
    </row>
    <row r="257" spans="1:11" x14ac:dyDescent="0.3">
      <c r="A257" s="1" t="s">
        <v>1579</v>
      </c>
      <c r="B257" s="1" t="s">
        <v>1578</v>
      </c>
      <c r="C257" s="1" t="s">
        <v>1320</v>
      </c>
      <c r="D257" s="1">
        <v>1</v>
      </c>
      <c r="E257" s="1">
        <v>0</v>
      </c>
      <c r="F257" s="1" t="b">
        <v>0</v>
      </c>
      <c r="G257">
        <f>VLOOKUP(C257,Products!A:D,4,FALSE)</f>
        <v>2790</v>
      </c>
      <c r="H257" t="str">
        <f>VLOOKUP(C257,Products!A:D,3,FALSE)</f>
        <v>Electronics</v>
      </c>
      <c r="I257">
        <f t="shared" si="4"/>
        <v>2790</v>
      </c>
      <c r="J257" s="2">
        <f>VLOOKUP(B257,Orders!A:C,3,FALSE)</f>
        <v>46065</v>
      </c>
      <c r="K257" s="1" t="str">
        <f>VLOOKUP(B257,Orders!A:B,2,FALSE)</f>
        <v>C0249</v>
      </c>
    </row>
    <row r="258" spans="1:11" x14ac:dyDescent="0.3">
      <c r="A258" s="1" t="s">
        <v>1580</v>
      </c>
      <c r="B258" s="1" t="s">
        <v>1581</v>
      </c>
      <c r="C258" s="1" t="s">
        <v>1330</v>
      </c>
      <c r="D258" s="1">
        <v>1</v>
      </c>
      <c r="E258" s="1">
        <v>0</v>
      </c>
      <c r="F258" s="1" t="b">
        <v>0</v>
      </c>
      <c r="G258">
        <f>VLOOKUP(C258,Products!A:D,4,FALSE)</f>
        <v>580</v>
      </c>
      <c r="H258" t="str">
        <f>VLOOKUP(C258,Products!A:D,3,FALSE)</f>
        <v>Books</v>
      </c>
      <c r="I258">
        <f t="shared" si="4"/>
        <v>580</v>
      </c>
      <c r="J258" s="2">
        <f>VLOOKUP(B258,Orders!A:C,3,FALSE)</f>
        <v>46009</v>
      </c>
      <c r="K258" s="1" t="str">
        <f>VLOOKUP(B258,Orders!A:B,2,FALSE)</f>
        <v>C0080</v>
      </c>
    </row>
    <row r="259" spans="1:11" x14ac:dyDescent="0.3">
      <c r="A259" s="1" t="s">
        <v>1582</v>
      </c>
      <c r="B259" s="1" t="s">
        <v>1583</v>
      </c>
      <c r="C259" s="1" t="s">
        <v>1113</v>
      </c>
      <c r="D259" s="1">
        <v>4</v>
      </c>
      <c r="E259" s="1">
        <v>0.2</v>
      </c>
      <c r="F259" s="1" t="b">
        <v>0</v>
      </c>
      <c r="G259">
        <f>VLOOKUP(C259,Products!A:D,4,FALSE)</f>
        <v>2780</v>
      </c>
      <c r="H259" t="str">
        <f>VLOOKUP(C259,Products!A:D,3,FALSE)</f>
        <v>Apparel</v>
      </c>
      <c r="I259">
        <f t="shared" si="4"/>
        <v>8896</v>
      </c>
      <c r="J259" s="2">
        <f>VLOOKUP(B259,Orders!A:C,3,FALSE)</f>
        <v>45810</v>
      </c>
      <c r="K259" s="1" t="str">
        <f>VLOOKUP(B259,Orders!A:B,2,FALSE)</f>
        <v>C0260</v>
      </c>
    </row>
    <row r="260" spans="1:11" x14ac:dyDescent="0.3">
      <c r="A260" s="1" t="s">
        <v>1584</v>
      </c>
      <c r="B260" s="1" t="s">
        <v>1585</v>
      </c>
      <c r="C260" s="1" t="s">
        <v>1219</v>
      </c>
      <c r="D260" s="1">
        <v>2</v>
      </c>
      <c r="E260" s="1">
        <v>0.05</v>
      </c>
      <c r="F260" s="1" t="b">
        <v>0</v>
      </c>
      <c r="G260">
        <f>VLOOKUP(C260,Products!A:D,4,FALSE)</f>
        <v>2090</v>
      </c>
      <c r="H260" t="str">
        <f>VLOOKUP(C260,Products!A:D,3,FALSE)</f>
        <v>Beauty</v>
      </c>
      <c r="I260">
        <f t="shared" si="4"/>
        <v>3971</v>
      </c>
      <c r="J260" s="2">
        <f>VLOOKUP(B260,Orders!A:C,3,FALSE)</f>
        <v>45824</v>
      </c>
      <c r="K260" s="1" t="str">
        <f>VLOOKUP(B260,Orders!A:B,2,FALSE)</f>
        <v>C0020</v>
      </c>
    </row>
    <row r="261" spans="1:11" x14ac:dyDescent="0.3">
      <c r="A261" s="1" t="s">
        <v>1586</v>
      </c>
      <c r="B261" s="1" t="s">
        <v>1587</v>
      </c>
      <c r="C261" s="1" t="s">
        <v>1391</v>
      </c>
      <c r="D261" s="1">
        <v>1</v>
      </c>
      <c r="E261" s="1">
        <v>0.2</v>
      </c>
      <c r="F261" s="1" t="b">
        <v>0</v>
      </c>
      <c r="G261">
        <f>VLOOKUP(C261,Products!A:D,4,FALSE)</f>
        <v>1900</v>
      </c>
      <c r="H261" t="str">
        <f>VLOOKUP(C261,Products!A:D,3,FALSE)</f>
        <v>Beauty</v>
      </c>
      <c r="I261">
        <f t="shared" si="4"/>
        <v>1520</v>
      </c>
      <c r="J261" s="2">
        <f>VLOOKUP(B261,Orders!A:C,3,FALSE)</f>
        <v>45776</v>
      </c>
      <c r="K261" s="1" t="str">
        <f>VLOOKUP(B261,Orders!A:B,2,FALSE)</f>
        <v>C0068</v>
      </c>
    </row>
    <row r="262" spans="1:11" x14ac:dyDescent="0.3">
      <c r="A262" s="1" t="s">
        <v>1588</v>
      </c>
      <c r="B262" s="1" t="s">
        <v>1587</v>
      </c>
      <c r="C262" s="1" t="s">
        <v>1143</v>
      </c>
      <c r="D262" s="1">
        <v>5</v>
      </c>
      <c r="E262" s="1">
        <v>0.2</v>
      </c>
      <c r="F262" s="1" t="b">
        <v>0</v>
      </c>
      <c r="G262">
        <f>VLOOKUP(C262,Products!A:D,4,FALSE)</f>
        <v>2230</v>
      </c>
      <c r="H262" t="str">
        <f>VLOOKUP(C262,Products!A:D,3,FALSE)</f>
        <v>Home &amp; Kitchen</v>
      </c>
      <c r="I262">
        <f t="shared" si="4"/>
        <v>8920</v>
      </c>
      <c r="J262" s="2">
        <f>VLOOKUP(B262,Orders!A:C,3,FALSE)</f>
        <v>45776</v>
      </c>
      <c r="K262" s="1" t="str">
        <f>VLOOKUP(B262,Orders!A:B,2,FALSE)</f>
        <v>C0068</v>
      </c>
    </row>
    <row r="263" spans="1:11" x14ac:dyDescent="0.3">
      <c r="A263" s="1" t="s">
        <v>1589</v>
      </c>
      <c r="B263" s="1" t="s">
        <v>1587</v>
      </c>
      <c r="C263" s="1" t="s">
        <v>1106</v>
      </c>
      <c r="D263" s="1">
        <v>1</v>
      </c>
      <c r="E263" s="1">
        <v>0.05</v>
      </c>
      <c r="F263" s="1" t="b">
        <v>0</v>
      </c>
      <c r="G263">
        <f>VLOOKUP(C263,Products!A:D,4,FALSE)</f>
        <v>1130</v>
      </c>
      <c r="H263" t="str">
        <f>VLOOKUP(C263,Products!A:D,3,FALSE)</f>
        <v>Books</v>
      </c>
      <c r="I263">
        <f t="shared" si="4"/>
        <v>1073.5</v>
      </c>
      <c r="J263" s="2">
        <f>VLOOKUP(B263,Orders!A:C,3,FALSE)</f>
        <v>45776</v>
      </c>
      <c r="K263" s="1" t="str">
        <f>VLOOKUP(B263,Orders!A:B,2,FALSE)</f>
        <v>C0068</v>
      </c>
    </row>
    <row r="264" spans="1:11" x14ac:dyDescent="0.3">
      <c r="A264" s="1" t="s">
        <v>1590</v>
      </c>
      <c r="B264" s="1" t="s">
        <v>1591</v>
      </c>
      <c r="C264" s="1" t="s">
        <v>1333</v>
      </c>
      <c r="D264" s="1">
        <v>5</v>
      </c>
      <c r="E264" s="1">
        <v>0.2</v>
      </c>
      <c r="F264" s="1" t="b">
        <v>0</v>
      </c>
      <c r="G264">
        <f>VLOOKUP(C264,Products!A:D,4,FALSE)</f>
        <v>1440</v>
      </c>
      <c r="H264" t="str">
        <f>VLOOKUP(C264,Products!A:D,3,FALSE)</f>
        <v>Home &amp; Kitchen</v>
      </c>
      <c r="I264">
        <f t="shared" si="4"/>
        <v>5760</v>
      </c>
      <c r="J264" s="2">
        <f>VLOOKUP(B264,Orders!A:C,3,FALSE)</f>
        <v>46086</v>
      </c>
      <c r="K264" s="1" t="str">
        <f>VLOOKUP(B264,Orders!A:B,2,FALSE)</f>
        <v>C0084</v>
      </c>
    </row>
    <row r="265" spans="1:11" x14ac:dyDescent="0.3">
      <c r="A265" s="1" t="s">
        <v>1592</v>
      </c>
      <c r="B265" s="1" t="s">
        <v>1591</v>
      </c>
      <c r="C265" s="1" t="s">
        <v>1130</v>
      </c>
      <c r="D265" s="1">
        <v>4</v>
      </c>
      <c r="E265" s="1">
        <v>0.1</v>
      </c>
      <c r="F265" s="1" t="b">
        <v>0</v>
      </c>
      <c r="G265">
        <f>VLOOKUP(C265,Products!A:D,4,FALSE)</f>
        <v>2400</v>
      </c>
      <c r="H265" t="str">
        <f>VLOOKUP(C265,Products!A:D,3,FALSE)</f>
        <v>Electronics</v>
      </c>
      <c r="I265">
        <f t="shared" si="4"/>
        <v>8640</v>
      </c>
      <c r="J265" s="2">
        <f>VLOOKUP(B265,Orders!A:C,3,FALSE)</f>
        <v>46086</v>
      </c>
      <c r="K265" s="1" t="str">
        <f>VLOOKUP(B265,Orders!A:B,2,FALSE)</f>
        <v>C0084</v>
      </c>
    </row>
    <row r="266" spans="1:11" x14ac:dyDescent="0.3">
      <c r="A266" s="1" t="s">
        <v>1593</v>
      </c>
      <c r="B266" s="1" t="s">
        <v>1594</v>
      </c>
      <c r="C266" s="1" t="s">
        <v>1157</v>
      </c>
      <c r="D266" s="1">
        <v>5</v>
      </c>
      <c r="E266" s="1">
        <v>0.05</v>
      </c>
      <c r="F266" s="1" t="b">
        <v>0</v>
      </c>
      <c r="G266">
        <f>VLOOKUP(C266,Products!A:D,4,FALSE)</f>
        <v>1520</v>
      </c>
      <c r="H266" t="str">
        <f>VLOOKUP(C266,Products!A:D,3,FALSE)</f>
        <v>Books</v>
      </c>
      <c r="I266">
        <f t="shared" si="4"/>
        <v>7220</v>
      </c>
      <c r="J266" s="2">
        <f>VLOOKUP(B266,Orders!A:C,3,FALSE)</f>
        <v>45849</v>
      </c>
      <c r="K266" s="1" t="str">
        <f>VLOOKUP(B266,Orders!A:B,2,FALSE)</f>
        <v>C0085</v>
      </c>
    </row>
    <row r="267" spans="1:11" x14ac:dyDescent="0.3">
      <c r="A267" s="1" t="s">
        <v>1595</v>
      </c>
      <c r="B267" s="1" t="s">
        <v>1596</v>
      </c>
      <c r="C267" s="1" t="s">
        <v>1209</v>
      </c>
      <c r="D267" s="1">
        <v>4</v>
      </c>
      <c r="E267" s="1">
        <v>0</v>
      </c>
      <c r="F267" s="1" t="b">
        <v>0</v>
      </c>
      <c r="G267">
        <f>VLOOKUP(C267,Products!A:D,4,FALSE)</f>
        <v>1580</v>
      </c>
      <c r="H267" t="str">
        <f>VLOOKUP(C267,Products!A:D,3,FALSE)</f>
        <v>Apparel</v>
      </c>
      <c r="I267">
        <f t="shared" si="4"/>
        <v>6320</v>
      </c>
      <c r="J267" s="2">
        <f>VLOOKUP(B267,Orders!A:C,3,FALSE)</f>
        <v>45836</v>
      </c>
      <c r="K267" s="1" t="str">
        <f>VLOOKUP(B267,Orders!A:B,2,FALSE)</f>
        <v>C0211</v>
      </c>
    </row>
    <row r="268" spans="1:11" x14ac:dyDescent="0.3">
      <c r="A268" s="1" t="s">
        <v>1597</v>
      </c>
      <c r="B268" s="1" t="s">
        <v>1598</v>
      </c>
      <c r="C268" s="1" t="s">
        <v>1564</v>
      </c>
      <c r="D268" s="1">
        <v>1</v>
      </c>
      <c r="E268" s="1">
        <v>0.05</v>
      </c>
      <c r="F268" s="1" t="b">
        <v>0</v>
      </c>
      <c r="G268">
        <f>VLOOKUP(C268,Products!A:D,4,FALSE)</f>
        <v>3680</v>
      </c>
      <c r="H268" t="str">
        <f>VLOOKUP(C268,Products!A:D,3,FALSE)</f>
        <v>Home &amp; Kitchen</v>
      </c>
      <c r="I268">
        <f t="shared" si="4"/>
        <v>3496</v>
      </c>
      <c r="J268" s="2">
        <f>VLOOKUP(B268,Orders!A:C,3,FALSE)</f>
        <v>45932</v>
      </c>
      <c r="K268" s="1" t="str">
        <f>VLOOKUP(B268,Orders!A:B,2,FALSE)</f>
        <v>C0228</v>
      </c>
    </row>
    <row r="269" spans="1:11" x14ac:dyDescent="0.3">
      <c r="A269" s="1" t="s">
        <v>1599</v>
      </c>
      <c r="B269" s="1" t="s">
        <v>1598</v>
      </c>
      <c r="C269" s="1" t="s">
        <v>1163</v>
      </c>
      <c r="D269" s="1">
        <v>3</v>
      </c>
      <c r="E269" s="1">
        <v>0.05</v>
      </c>
      <c r="F269" s="1" t="b">
        <v>0</v>
      </c>
      <c r="G269">
        <f>VLOOKUP(C269,Products!A:D,4,FALSE)</f>
        <v>2180</v>
      </c>
      <c r="H269" t="str">
        <f>VLOOKUP(C269,Products!A:D,3,FALSE)</f>
        <v>Electronics</v>
      </c>
      <c r="I269">
        <f t="shared" si="4"/>
        <v>6213</v>
      </c>
      <c r="J269" s="2">
        <f>VLOOKUP(B269,Orders!A:C,3,FALSE)</f>
        <v>45932</v>
      </c>
      <c r="K269" s="1" t="str">
        <f>VLOOKUP(B269,Orders!A:B,2,FALSE)</f>
        <v>C0228</v>
      </c>
    </row>
    <row r="270" spans="1:11" x14ac:dyDescent="0.3">
      <c r="A270" s="1" t="s">
        <v>1600</v>
      </c>
      <c r="B270" s="1" t="s">
        <v>1601</v>
      </c>
      <c r="C270" s="1" t="s">
        <v>1602</v>
      </c>
      <c r="D270" s="1">
        <v>3</v>
      </c>
      <c r="E270" s="1">
        <v>0.1</v>
      </c>
      <c r="F270" s="1" t="b">
        <v>0</v>
      </c>
      <c r="G270">
        <f>VLOOKUP(C270,Products!A:D,4,FALSE)</f>
        <v>1240</v>
      </c>
      <c r="H270" t="str">
        <f>VLOOKUP(C270,Products!A:D,3,FALSE)</f>
        <v>Apparel</v>
      </c>
      <c r="I270">
        <f t="shared" si="4"/>
        <v>3348</v>
      </c>
      <c r="J270" s="2">
        <f>VLOOKUP(B270,Orders!A:C,3,FALSE)</f>
        <v>46127</v>
      </c>
      <c r="K270" s="1" t="str">
        <f>VLOOKUP(B270,Orders!A:B,2,FALSE)</f>
        <v>C0120</v>
      </c>
    </row>
    <row r="271" spans="1:11" x14ac:dyDescent="0.3">
      <c r="A271" s="1" t="s">
        <v>1603</v>
      </c>
      <c r="B271" s="1" t="s">
        <v>1601</v>
      </c>
      <c r="C271" s="1" t="s">
        <v>1418</v>
      </c>
      <c r="D271" s="1">
        <v>4</v>
      </c>
      <c r="E271" s="1">
        <v>0</v>
      </c>
      <c r="F271" s="1" t="b">
        <v>0</v>
      </c>
      <c r="G271">
        <f>VLOOKUP(C271,Products!A:D,4,FALSE)</f>
        <v>1030</v>
      </c>
      <c r="H271" t="str">
        <f>VLOOKUP(C271,Products!A:D,3,FALSE)</f>
        <v>Beauty</v>
      </c>
      <c r="I271">
        <f t="shared" si="4"/>
        <v>4120</v>
      </c>
      <c r="J271" s="2">
        <f>VLOOKUP(B271,Orders!A:C,3,FALSE)</f>
        <v>46127</v>
      </c>
      <c r="K271" s="1" t="str">
        <f>VLOOKUP(B271,Orders!A:B,2,FALSE)</f>
        <v>C0120</v>
      </c>
    </row>
    <row r="272" spans="1:11" x14ac:dyDescent="0.3">
      <c r="A272" s="1" t="s">
        <v>1604</v>
      </c>
      <c r="B272" s="1" t="s">
        <v>1605</v>
      </c>
      <c r="C272" s="1" t="s">
        <v>1130</v>
      </c>
      <c r="D272" s="1">
        <v>5</v>
      </c>
      <c r="E272" s="1">
        <v>0.1</v>
      </c>
      <c r="F272" s="1" t="b">
        <v>0</v>
      </c>
      <c r="G272">
        <f>VLOOKUP(C272,Products!A:D,4,FALSE)</f>
        <v>2400</v>
      </c>
      <c r="H272" t="str">
        <f>VLOOKUP(C272,Products!A:D,3,FALSE)</f>
        <v>Electronics</v>
      </c>
      <c r="I272">
        <f t="shared" si="4"/>
        <v>10800</v>
      </c>
      <c r="J272" s="2">
        <f>VLOOKUP(B272,Orders!A:C,3,FALSE)</f>
        <v>45798</v>
      </c>
      <c r="K272" s="1" t="str">
        <f>VLOOKUP(B272,Orders!A:B,2,FALSE)</f>
        <v>C0241</v>
      </c>
    </row>
    <row r="273" spans="1:11" x14ac:dyDescent="0.3">
      <c r="A273" s="1" t="s">
        <v>1606</v>
      </c>
      <c r="B273" s="1" t="s">
        <v>1607</v>
      </c>
      <c r="C273" s="1" t="s">
        <v>1130</v>
      </c>
      <c r="D273" s="1">
        <v>4</v>
      </c>
      <c r="E273" s="1">
        <v>0.15</v>
      </c>
      <c r="F273" s="1" t="b">
        <v>0</v>
      </c>
      <c r="G273">
        <f>VLOOKUP(C273,Products!A:D,4,FALSE)</f>
        <v>2400</v>
      </c>
      <c r="H273" t="str">
        <f>VLOOKUP(C273,Products!A:D,3,FALSE)</f>
        <v>Electronics</v>
      </c>
      <c r="I273">
        <f t="shared" si="4"/>
        <v>8160</v>
      </c>
      <c r="J273" s="2">
        <f>VLOOKUP(B273,Orders!A:C,3,FALSE)</f>
        <v>45860</v>
      </c>
      <c r="K273" s="1" t="str">
        <f>VLOOKUP(B273,Orders!A:B,2,FALSE)</f>
        <v>C0189</v>
      </c>
    </row>
    <row r="274" spans="1:11" x14ac:dyDescent="0.3">
      <c r="A274" s="1" t="s">
        <v>1608</v>
      </c>
      <c r="B274" s="1" t="s">
        <v>1609</v>
      </c>
      <c r="C274" s="1" t="s">
        <v>1225</v>
      </c>
      <c r="D274" s="1">
        <v>4</v>
      </c>
      <c r="E274" s="1">
        <v>0</v>
      </c>
      <c r="F274" s="1" t="b">
        <v>0</v>
      </c>
      <c r="G274">
        <f>VLOOKUP(C274,Products!A:D,4,FALSE)</f>
        <v>2690</v>
      </c>
      <c r="H274" t="str">
        <f>VLOOKUP(C274,Products!A:D,3,FALSE)</f>
        <v>Beauty</v>
      </c>
      <c r="I274">
        <f t="shared" si="4"/>
        <v>10760</v>
      </c>
      <c r="J274" s="2">
        <f>VLOOKUP(B274,Orders!A:C,3,FALSE)</f>
        <v>46178</v>
      </c>
      <c r="K274" s="1" t="str">
        <f>VLOOKUP(B274,Orders!A:B,2,FALSE)</f>
        <v>C0226</v>
      </c>
    </row>
    <row r="275" spans="1:11" x14ac:dyDescent="0.3">
      <c r="A275" s="1" t="s">
        <v>1610</v>
      </c>
      <c r="B275" s="1" t="s">
        <v>1611</v>
      </c>
      <c r="C275" s="1" t="s">
        <v>1140</v>
      </c>
      <c r="D275" s="1">
        <v>5</v>
      </c>
      <c r="E275" s="1">
        <v>0</v>
      </c>
      <c r="F275" s="1" t="b">
        <v>0</v>
      </c>
      <c r="G275">
        <f>VLOOKUP(C275,Products!A:D,4,FALSE)</f>
        <v>3040</v>
      </c>
      <c r="H275" t="str">
        <f>VLOOKUP(C275,Products!A:D,3,FALSE)</f>
        <v>Electronics</v>
      </c>
      <c r="I275">
        <f t="shared" si="4"/>
        <v>15200</v>
      </c>
      <c r="J275" s="2">
        <f>VLOOKUP(B275,Orders!A:C,3,FALSE)</f>
        <v>46128</v>
      </c>
      <c r="K275" s="1" t="str">
        <f>VLOOKUP(B275,Orders!A:B,2,FALSE)</f>
        <v>C0196</v>
      </c>
    </row>
    <row r="276" spans="1:11" x14ac:dyDescent="0.3">
      <c r="A276" s="1" t="s">
        <v>1612</v>
      </c>
      <c r="B276" s="1" t="s">
        <v>1613</v>
      </c>
      <c r="C276" s="1" t="s">
        <v>1143</v>
      </c>
      <c r="D276" s="1">
        <v>4</v>
      </c>
      <c r="E276" s="1">
        <v>0.1</v>
      </c>
      <c r="F276" s="1" t="b">
        <v>0</v>
      </c>
      <c r="G276">
        <f>VLOOKUP(C276,Products!A:D,4,FALSE)</f>
        <v>2230</v>
      </c>
      <c r="H276" t="str">
        <f>VLOOKUP(C276,Products!A:D,3,FALSE)</f>
        <v>Home &amp; Kitchen</v>
      </c>
      <c r="I276">
        <f t="shared" si="4"/>
        <v>8028</v>
      </c>
      <c r="J276" s="2">
        <f>VLOOKUP(B276,Orders!A:C,3,FALSE)</f>
        <v>45997</v>
      </c>
      <c r="K276" s="1" t="str">
        <f>VLOOKUP(B276,Orders!A:B,2,FALSE)</f>
        <v>C0083</v>
      </c>
    </row>
    <row r="277" spans="1:11" x14ac:dyDescent="0.3">
      <c r="A277" s="1" t="s">
        <v>1614</v>
      </c>
      <c r="B277" s="1" t="s">
        <v>1615</v>
      </c>
      <c r="C277" s="1" t="s">
        <v>1278</v>
      </c>
      <c r="D277" s="1">
        <v>4</v>
      </c>
      <c r="E277" s="1">
        <v>0.2</v>
      </c>
      <c r="F277" s="1" t="b">
        <v>0</v>
      </c>
      <c r="G277">
        <f>VLOOKUP(C277,Products!A:D,4,FALSE)</f>
        <v>330</v>
      </c>
      <c r="H277" t="str">
        <f>VLOOKUP(C277,Products!A:D,3,FALSE)</f>
        <v>Books</v>
      </c>
      <c r="I277">
        <f t="shared" si="4"/>
        <v>1056</v>
      </c>
      <c r="J277" s="2">
        <f>VLOOKUP(B277,Orders!A:C,3,FALSE)</f>
        <v>45996</v>
      </c>
      <c r="K277" s="1" t="str">
        <f>VLOOKUP(B277,Orders!A:B,2,FALSE)</f>
        <v>C0071</v>
      </c>
    </row>
    <row r="278" spans="1:11" x14ac:dyDescent="0.3">
      <c r="A278" s="1" t="s">
        <v>1616</v>
      </c>
      <c r="B278" s="1" t="s">
        <v>1617</v>
      </c>
      <c r="C278" s="1" t="s">
        <v>1184</v>
      </c>
      <c r="D278" s="1">
        <v>5</v>
      </c>
      <c r="E278" s="1">
        <v>0.05</v>
      </c>
      <c r="F278" s="1" t="b">
        <v>0</v>
      </c>
      <c r="G278">
        <f>VLOOKUP(C278,Products!A:D,4,FALSE)</f>
        <v>2230</v>
      </c>
      <c r="H278" t="str">
        <f>VLOOKUP(C278,Products!A:D,3,FALSE)</f>
        <v>Sports</v>
      </c>
      <c r="I278">
        <f t="shared" si="4"/>
        <v>10592.5</v>
      </c>
      <c r="J278" s="2">
        <f>VLOOKUP(B278,Orders!A:C,3,FALSE)</f>
        <v>45849</v>
      </c>
      <c r="K278" s="1" t="str">
        <f>VLOOKUP(B278,Orders!A:B,2,FALSE)</f>
        <v>C0247</v>
      </c>
    </row>
    <row r="279" spans="1:11" x14ac:dyDescent="0.3">
      <c r="A279" s="1" t="s">
        <v>1618</v>
      </c>
      <c r="B279" s="1" t="s">
        <v>1619</v>
      </c>
      <c r="C279" s="1" t="s">
        <v>1267</v>
      </c>
      <c r="D279" s="1">
        <v>5</v>
      </c>
      <c r="E279" s="1">
        <v>0.05</v>
      </c>
      <c r="F279" s="1" t="b">
        <v>0</v>
      </c>
      <c r="G279">
        <f>VLOOKUP(C279,Products!A:D,4,FALSE)</f>
        <v>3650</v>
      </c>
      <c r="H279" t="str">
        <f>VLOOKUP(C279,Products!A:D,3,FALSE)</f>
        <v>Books</v>
      </c>
      <c r="I279">
        <f t="shared" si="4"/>
        <v>17337.5</v>
      </c>
      <c r="J279" s="2">
        <f>VLOOKUP(B279,Orders!A:C,3,FALSE)</f>
        <v>45822</v>
      </c>
      <c r="K279" s="1" t="str">
        <f>VLOOKUP(B279,Orders!A:B,2,FALSE)</f>
        <v>C0053</v>
      </c>
    </row>
    <row r="280" spans="1:11" x14ac:dyDescent="0.3">
      <c r="A280" s="1" t="s">
        <v>1620</v>
      </c>
      <c r="B280" s="1" t="s">
        <v>1621</v>
      </c>
      <c r="C280" s="1" t="s">
        <v>1468</v>
      </c>
      <c r="D280" s="1">
        <v>5</v>
      </c>
      <c r="E280" s="1">
        <v>0</v>
      </c>
      <c r="F280" s="1" t="b">
        <v>0</v>
      </c>
      <c r="G280">
        <f>VLOOKUP(C280,Products!A:D,4,FALSE)</f>
        <v>2040</v>
      </c>
      <c r="H280" t="str">
        <f>VLOOKUP(C280,Products!A:D,3,FALSE)</f>
        <v>Books</v>
      </c>
      <c r="I280">
        <f t="shared" si="4"/>
        <v>10200</v>
      </c>
      <c r="J280" s="2">
        <f>VLOOKUP(B280,Orders!A:C,3,FALSE)</f>
        <v>46190</v>
      </c>
      <c r="K280" s="1" t="str">
        <f>VLOOKUP(B280,Orders!A:B,2,FALSE)</f>
        <v>C0265</v>
      </c>
    </row>
    <row r="281" spans="1:11" x14ac:dyDescent="0.3">
      <c r="A281" s="1" t="s">
        <v>1622</v>
      </c>
      <c r="B281" s="1" t="s">
        <v>1623</v>
      </c>
      <c r="C281" s="1" t="s">
        <v>1315</v>
      </c>
      <c r="D281" s="1">
        <v>2</v>
      </c>
      <c r="E281" s="1">
        <v>0.2</v>
      </c>
      <c r="F281" s="1" t="b">
        <v>0</v>
      </c>
      <c r="G281">
        <f>VLOOKUP(C281,Products!A:D,4,FALSE)</f>
        <v>2190</v>
      </c>
      <c r="H281" t="str">
        <f>VLOOKUP(C281,Products!A:D,3,FALSE)</f>
        <v>Electronics</v>
      </c>
      <c r="I281">
        <f t="shared" si="4"/>
        <v>3504</v>
      </c>
      <c r="J281" s="2">
        <f>VLOOKUP(B281,Orders!A:C,3,FALSE)</f>
        <v>45746</v>
      </c>
      <c r="K281" s="1" t="str">
        <f>VLOOKUP(B281,Orders!A:B,2,FALSE)</f>
        <v>C0043</v>
      </c>
    </row>
    <row r="282" spans="1:11" x14ac:dyDescent="0.3">
      <c r="A282" s="1" t="s">
        <v>1624</v>
      </c>
      <c r="B282" s="1" t="s">
        <v>1623</v>
      </c>
      <c r="C282" s="1" t="s">
        <v>1106</v>
      </c>
      <c r="D282" s="1">
        <v>2</v>
      </c>
      <c r="E282" s="1">
        <v>0.05</v>
      </c>
      <c r="F282" s="1" t="b">
        <v>0</v>
      </c>
      <c r="G282">
        <f>VLOOKUP(C282,Products!A:D,4,FALSE)</f>
        <v>1130</v>
      </c>
      <c r="H282" t="str">
        <f>VLOOKUP(C282,Products!A:D,3,FALSE)</f>
        <v>Books</v>
      </c>
      <c r="I282">
        <f t="shared" si="4"/>
        <v>2147</v>
      </c>
      <c r="J282" s="2">
        <f>VLOOKUP(B282,Orders!A:C,3,FALSE)</f>
        <v>45746</v>
      </c>
      <c r="K282" s="1" t="str">
        <f>VLOOKUP(B282,Orders!A:B,2,FALSE)</f>
        <v>C0043</v>
      </c>
    </row>
    <row r="283" spans="1:11" x14ac:dyDescent="0.3">
      <c r="A283" s="1" t="s">
        <v>1625</v>
      </c>
      <c r="B283" s="1" t="s">
        <v>1626</v>
      </c>
      <c r="C283" s="1" t="s">
        <v>1270</v>
      </c>
      <c r="D283" s="1">
        <v>1</v>
      </c>
      <c r="E283" s="1">
        <v>0</v>
      </c>
      <c r="F283" s="1" t="b">
        <v>0</v>
      </c>
      <c r="G283">
        <f>VLOOKUP(C283,Products!A:D,4,FALSE)</f>
        <v>3560</v>
      </c>
      <c r="H283" t="str">
        <f>VLOOKUP(C283,Products!A:D,3,FALSE)</f>
        <v>Sports</v>
      </c>
      <c r="I283">
        <f t="shared" si="4"/>
        <v>3560</v>
      </c>
      <c r="J283" s="2">
        <f>VLOOKUP(B283,Orders!A:C,3,FALSE)</f>
        <v>45757</v>
      </c>
      <c r="K283" s="1" t="str">
        <f>VLOOKUP(B283,Orders!A:B,2,FALSE)</f>
        <v>C0231</v>
      </c>
    </row>
    <row r="284" spans="1:11" x14ac:dyDescent="0.3">
      <c r="A284" s="1" t="s">
        <v>1627</v>
      </c>
      <c r="B284" s="1" t="s">
        <v>1626</v>
      </c>
      <c r="C284" s="1" t="s">
        <v>1195</v>
      </c>
      <c r="D284" s="1">
        <v>4</v>
      </c>
      <c r="E284" s="1">
        <v>0.2</v>
      </c>
      <c r="F284" s="1" t="b">
        <v>0</v>
      </c>
      <c r="G284">
        <f>VLOOKUP(C284,Products!A:D,4,FALSE)</f>
        <v>3430</v>
      </c>
      <c r="H284" t="str">
        <f>VLOOKUP(C284,Products!A:D,3,FALSE)</f>
        <v>Books</v>
      </c>
      <c r="I284">
        <f t="shared" si="4"/>
        <v>10976</v>
      </c>
      <c r="J284" s="2">
        <f>VLOOKUP(B284,Orders!A:C,3,FALSE)</f>
        <v>45757</v>
      </c>
      <c r="K284" s="1" t="str">
        <f>VLOOKUP(B284,Orders!A:B,2,FALSE)</f>
        <v>C0231</v>
      </c>
    </row>
    <row r="285" spans="1:11" x14ac:dyDescent="0.3">
      <c r="A285" s="1" t="s">
        <v>1628</v>
      </c>
      <c r="B285" s="1" t="s">
        <v>1629</v>
      </c>
      <c r="C285" s="1" t="s">
        <v>1184</v>
      </c>
      <c r="D285" s="1">
        <v>5</v>
      </c>
      <c r="E285" s="1">
        <v>0.15</v>
      </c>
      <c r="F285" s="1" t="b">
        <v>0</v>
      </c>
      <c r="G285">
        <f>VLOOKUP(C285,Products!A:D,4,FALSE)</f>
        <v>2230</v>
      </c>
      <c r="H285" t="str">
        <f>VLOOKUP(C285,Products!A:D,3,FALSE)</f>
        <v>Sports</v>
      </c>
      <c r="I285">
        <f t="shared" si="4"/>
        <v>9477.5</v>
      </c>
      <c r="J285" s="2">
        <f>VLOOKUP(B285,Orders!A:C,3,FALSE)</f>
        <v>46048</v>
      </c>
      <c r="K285" s="1" t="str">
        <f>VLOOKUP(B285,Orders!A:B,2,FALSE)</f>
        <v>C0224</v>
      </c>
    </row>
    <row r="286" spans="1:11" x14ac:dyDescent="0.3">
      <c r="A286" s="1" t="s">
        <v>1630</v>
      </c>
      <c r="B286" s="1" t="s">
        <v>1631</v>
      </c>
      <c r="C286" s="1" t="s">
        <v>1118</v>
      </c>
      <c r="D286" s="1">
        <v>2</v>
      </c>
      <c r="E286" s="1">
        <v>0.05</v>
      </c>
      <c r="F286" s="1" t="b">
        <v>0</v>
      </c>
      <c r="G286">
        <f>VLOOKUP(C286,Products!A:D,4,FALSE)</f>
        <v>5550</v>
      </c>
      <c r="H286" t="str">
        <f>VLOOKUP(C286,Products!A:D,3,FALSE)</f>
        <v>Home &amp; Kitchen</v>
      </c>
      <c r="I286">
        <f t="shared" si="4"/>
        <v>10545</v>
      </c>
      <c r="J286" s="2">
        <f>VLOOKUP(B286,Orders!A:C,3,FALSE)</f>
        <v>45822</v>
      </c>
      <c r="K286" s="1" t="str">
        <f>VLOOKUP(B286,Orders!A:B,2,FALSE)</f>
        <v>C0231</v>
      </c>
    </row>
    <row r="287" spans="1:11" x14ac:dyDescent="0.3">
      <c r="A287" s="1" t="s">
        <v>1632</v>
      </c>
      <c r="B287" s="1" t="s">
        <v>1631</v>
      </c>
      <c r="C287" s="1" t="s">
        <v>1130</v>
      </c>
      <c r="D287" s="1">
        <v>1</v>
      </c>
      <c r="E287" s="1">
        <v>0.2</v>
      </c>
      <c r="F287" s="1" t="b">
        <v>0</v>
      </c>
      <c r="G287">
        <f>VLOOKUP(C287,Products!A:D,4,FALSE)</f>
        <v>2400</v>
      </c>
      <c r="H287" t="str">
        <f>VLOOKUP(C287,Products!A:D,3,FALSE)</f>
        <v>Electronics</v>
      </c>
      <c r="I287">
        <f t="shared" si="4"/>
        <v>1920</v>
      </c>
      <c r="J287" s="2">
        <f>VLOOKUP(B287,Orders!A:C,3,FALSE)</f>
        <v>45822</v>
      </c>
      <c r="K287" s="1" t="str">
        <f>VLOOKUP(B287,Orders!A:B,2,FALSE)</f>
        <v>C0231</v>
      </c>
    </row>
    <row r="288" spans="1:11" x14ac:dyDescent="0.3">
      <c r="A288" s="1" t="s">
        <v>1633</v>
      </c>
      <c r="B288" s="1" t="s">
        <v>1634</v>
      </c>
      <c r="C288" s="1" t="s">
        <v>1391</v>
      </c>
      <c r="D288" s="1">
        <v>4</v>
      </c>
      <c r="E288" s="1">
        <v>0</v>
      </c>
      <c r="F288" s="1" t="b">
        <v>0</v>
      </c>
      <c r="G288">
        <f>VLOOKUP(C288,Products!A:D,4,FALSE)</f>
        <v>1900</v>
      </c>
      <c r="H288" t="str">
        <f>VLOOKUP(C288,Products!A:D,3,FALSE)</f>
        <v>Beauty</v>
      </c>
      <c r="I288">
        <f t="shared" si="4"/>
        <v>7600</v>
      </c>
      <c r="J288" s="2">
        <f>VLOOKUP(B288,Orders!A:C,3,FALSE)</f>
        <v>46078</v>
      </c>
      <c r="K288" s="1" t="str">
        <f>VLOOKUP(B288,Orders!A:B,2,FALSE)</f>
        <v>C0213</v>
      </c>
    </row>
    <row r="289" spans="1:11" x14ac:dyDescent="0.3">
      <c r="A289" s="1" t="s">
        <v>1635</v>
      </c>
      <c r="B289" s="1" t="s">
        <v>1636</v>
      </c>
      <c r="C289" s="1" t="s">
        <v>1299</v>
      </c>
      <c r="D289" s="1">
        <v>3</v>
      </c>
      <c r="E289" s="1">
        <v>0</v>
      </c>
      <c r="F289" s="1" t="b">
        <v>0</v>
      </c>
      <c r="G289">
        <f>VLOOKUP(C289,Products!A:D,4,FALSE)</f>
        <v>1080</v>
      </c>
      <c r="H289" t="str">
        <f>VLOOKUP(C289,Products!A:D,3,FALSE)</f>
        <v>Beauty</v>
      </c>
      <c r="I289">
        <f t="shared" si="4"/>
        <v>3240</v>
      </c>
      <c r="J289" s="2">
        <f>VLOOKUP(B289,Orders!A:C,3,FALSE)</f>
        <v>45755</v>
      </c>
      <c r="K289" s="1" t="str">
        <f>VLOOKUP(B289,Orders!A:B,2,FALSE)</f>
        <v>C0192</v>
      </c>
    </row>
    <row r="290" spans="1:11" x14ac:dyDescent="0.3">
      <c r="A290" s="1" t="s">
        <v>1637</v>
      </c>
      <c r="B290" s="1" t="s">
        <v>1638</v>
      </c>
      <c r="C290" s="1" t="s">
        <v>1265</v>
      </c>
      <c r="D290" s="1">
        <v>4</v>
      </c>
      <c r="E290" s="1">
        <v>0.1</v>
      </c>
      <c r="F290" s="1" t="b">
        <v>0</v>
      </c>
      <c r="G290">
        <f>VLOOKUP(C290,Products!A:D,4,FALSE)</f>
        <v>99</v>
      </c>
      <c r="H290" t="str">
        <f>VLOOKUP(C290,Products!A:D,3,FALSE)</f>
        <v>Beauty</v>
      </c>
      <c r="I290">
        <f t="shared" si="4"/>
        <v>356.40000000000003</v>
      </c>
      <c r="J290" s="2">
        <f>VLOOKUP(B290,Orders!A:C,3,FALSE)</f>
        <v>46047</v>
      </c>
      <c r="K290" s="1" t="str">
        <f>VLOOKUP(B290,Orders!A:B,2,FALSE)</f>
        <v>C0192</v>
      </c>
    </row>
    <row r="291" spans="1:11" x14ac:dyDescent="0.3">
      <c r="A291" s="1" t="s">
        <v>1639</v>
      </c>
      <c r="B291" s="1" t="s">
        <v>1638</v>
      </c>
      <c r="C291" s="1" t="s">
        <v>1160</v>
      </c>
      <c r="D291" s="1">
        <v>3</v>
      </c>
      <c r="E291" s="1">
        <v>0.15</v>
      </c>
      <c r="F291" s="1" t="b">
        <v>0</v>
      </c>
      <c r="G291">
        <f>VLOOKUP(C291,Products!A:D,4,FALSE)</f>
        <v>1710</v>
      </c>
      <c r="H291" t="str">
        <f>VLOOKUP(C291,Products!A:D,3,FALSE)</f>
        <v>Home &amp; Kitchen</v>
      </c>
      <c r="I291">
        <f t="shared" si="4"/>
        <v>4360.5</v>
      </c>
      <c r="J291" s="2">
        <f>VLOOKUP(B291,Orders!A:C,3,FALSE)</f>
        <v>46047</v>
      </c>
      <c r="K291" s="1" t="str">
        <f>VLOOKUP(B291,Orders!A:B,2,FALSE)</f>
        <v>C0192</v>
      </c>
    </row>
    <row r="292" spans="1:11" x14ac:dyDescent="0.3">
      <c r="A292" s="1" t="s">
        <v>1640</v>
      </c>
      <c r="B292" s="1" t="s">
        <v>1641</v>
      </c>
      <c r="C292" s="1" t="s">
        <v>1242</v>
      </c>
      <c r="D292" s="1">
        <v>2</v>
      </c>
      <c r="E292" s="1">
        <v>0.15</v>
      </c>
      <c r="F292" s="1" t="b">
        <v>0</v>
      </c>
      <c r="G292">
        <f>VLOOKUP(C292,Products!A:D,4,FALSE)</f>
        <v>2720</v>
      </c>
      <c r="H292" t="str">
        <f>VLOOKUP(C292,Products!A:D,3,FALSE)</f>
        <v>Beauty</v>
      </c>
      <c r="I292">
        <f t="shared" si="4"/>
        <v>4624</v>
      </c>
      <c r="J292" s="2">
        <f>VLOOKUP(B292,Orders!A:C,3,FALSE)</f>
        <v>45764</v>
      </c>
      <c r="K292" s="1" t="str">
        <f>VLOOKUP(B292,Orders!A:B,2,FALSE)</f>
        <v>C0051</v>
      </c>
    </row>
    <row r="293" spans="1:11" x14ac:dyDescent="0.3">
      <c r="A293" s="1" t="s">
        <v>1642</v>
      </c>
      <c r="B293" s="1" t="s">
        <v>1641</v>
      </c>
      <c r="C293" s="1" t="s">
        <v>1273</v>
      </c>
      <c r="D293" s="1">
        <v>4</v>
      </c>
      <c r="E293" s="1">
        <v>0</v>
      </c>
      <c r="F293" s="1" t="b">
        <v>0</v>
      </c>
      <c r="G293">
        <f>VLOOKUP(C293,Products!A:D,4,FALSE)</f>
        <v>360</v>
      </c>
      <c r="H293" t="str">
        <f>VLOOKUP(C293,Products!A:D,3,FALSE)</f>
        <v>Beauty</v>
      </c>
      <c r="I293">
        <f t="shared" si="4"/>
        <v>1440</v>
      </c>
      <c r="J293" s="2">
        <f>VLOOKUP(B293,Orders!A:C,3,FALSE)</f>
        <v>45764</v>
      </c>
      <c r="K293" s="1" t="str">
        <f>VLOOKUP(B293,Orders!A:B,2,FALSE)</f>
        <v>C0051</v>
      </c>
    </row>
    <row r="294" spans="1:11" x14ac:dyDescent="0.3">
      <c r="A294" s="1" t="s">
        <v>1643</v>
      </c>
      <c r="B294" s="1" t="s">
        <v>1641</v>
      </c>
      <c r="C294" s="1" t="s">
        <v>1644</v>
      </c>
      <c r="D294" s="1">
        <v>5</v>
      </c>
      <c r="E294" s="1">
        <v>0</v>
      </c>
      <c r="F294" s="1" t="b">
        <v>0</v>
      </c>
      <c r="G294">
        <f>VLOOKUP(C294,Products!A:D,4,FALSE)</f>
        <v>1930</v>
      </c>
      <c r="H294" t="str">
        <f>VLOOKUP(C294,Products!A:D,3,FALSE)</f>
        <v>Home &amp; Kitchen</v>
      </c>
      <c r="I294">
        <f t="shared" si="4"/>
        <v>9650</v>
      </c>
      <c r="J294" s="2">
        <f>VLOOKUP(B294,Orders!A:C,3,FALSE)</f>
        <v>45764</v>
      </c>
      <c r="K294" s="1" t="str">
        <f>VLOOKUP(B294,Orders!A:B,2,FALSE)</f>
        <v>C0051</v>
      </c>
    </row>
    <row r="295" spans="1:11" x14ac:dyDescent="0.3">
      <c r="A295" s="1" t="s">
        <v>1645</v>
      </c>
      <c r="B295" s="1" t="s">
        <v>1641</v>
      </c>
      <c r="C295" s="1" t="s">
        <v>1149</v>
      </c>
      <c r="D295" s="1">
        <v>1</v>
      </c>
      <c r="E295" s="1">
        <v>0.2</v>
      </c>
      <c r="F295" s="1" t="b">
        <v>0</v>
      </c>
      <c r="G295">
        <f>VLOOKUP(C295,Products!A:D,4,FALSE)</f>
        <v>1150</v>
      </c>
      <c r="H295" t="str">
        <f>VLOOKUP(C295,Products!A:D,3,FALSE)</f>
        <v>Apparel</v>
      </c>
      <c r="I295">
        <f t="shared" si="4"/>
        <v>920</v>
      </c>
      <c r="J295" s="2">
        <f>VLOOKUP(B295,Orders!A:C,3,FALSE)</f>
        <v>45764</v>
      </c>
      <c r="K295" s="1" t="str">
        <f>VLOOKUP(B295,Orders!A:B,2,FALSE)</f>
        <v>C0051</v>
      </c>
    </row>
    <row r="296" spans="1:11" x14ac:dyDescent="0.3">
      <c r="A296" s="1" t="s">
        <v>1646</v>
      </c>
      <c r="B296" s="1" t="s">
        <v>1647</v>
      </c>
      <c r="C296" s="1" t="s">
        <v>1160</v>
      </c>
      <c r="D296" s="1">
        <v>2</v>
      </c>
      <c r="E296" s="1">
        <v>0.1</v>
      </c>
      <c r="F296" s="1" t="b">
        <v>0</v>
      </c>
      <c r="G296">
        <f>VLOOKUP(C296,Products!A:D,4,FALSE)</f>
        <v>1710</v>
      </c>
      <c r="H296" t="str">
        <f>VLOOKUP(C296,Products!A:D,3,FALSE)</f>
        <v>Home &amp; Kitchen</v>
      </c>
      <c r="I296">
        <f t="shared" si="4"/>
        <v>3078</v>
      </c>
      <c r="J296" s="2">
        <f>VLOOKUP(B296,Orders!A:C,3,FALSE)</f>
        <v>45875</v>
      </c>
      <c r="K296" s="1" t="str">
        <f>VLOOKUP(B296,Orders!A:B,2,FALSE)</f>
        <v>C0075</v>
      </c>
    </row>
    <row r="297" spans="1:11" x14ac:dyDescent="0.3">
      <c r="A297" s="1" t="s">
        <v>1648</v>
      </c>
      <c r="B297" s="1" t="s">
        <v>1647</v>
      </c>
      <c r="C297" s="1" t="s">
        <v>1230</v>
      </c>
      <c r="D297" s="1">
        <v>1</v>
      </c>
      <c r="E297" s="1">
        <v>0</v>
      </c>
      <c r="F297" s="1" t="b">
        <v>0</v>
      </c>
      <c r="G297">
        <f>VLOOKUP(C297,Products!A:D,4,FALSE)</f>
        <v>1530</v>
      </c>
      <c r="H297" t="str">
        <f>VLOOKUP(C297,Products!A:D,3,FALSE)</f>
        <v>Beauty</v>
      </c>
      <c r="I297">
        <f t="shared" si="4"/>
        <v>1530</v>
      </c>
      <c r="J297" s="2">
        <f>VLOOKUP(B297,Orders!A:C,3,FALSE)</f>
        <v>45875</v>
      </c>
      <c r="K297" s="1" t="str">
        <f>VLOOKUP(B297,Orders!A:B,2,FALSE)</f>
        <v>C0075</v>
      </c>
    </row>
    <row r="298" spans="1:11" x14ac:dyDescent="0.3">
      <c r="A298" s="1" t="s">
        <v>1649</v>
      </c>
      <c r="B298" s="1" t="s">
        <v>1650</v>
      </c>
      <c r="C298" s="1" t="s">
        <v>1130</v>
      </c>
      <c r="D298" s="1">
        <v>2</v>
      </c>
      <c r="E298" s="1">
        <v>0</v>
      </c>
      <c r="F298" s="1" t="b">
        <v>0</v>
      </c>
      <c r="G298">
        <f>VLOOKUP(C298,Products!A:D,4,FALSE)</f>
        <v>2400</v>
      </c>
      <c r="H298" t="str">
        <f>VLOOKUP(C298,Products!A:D,3,FALSE)</f>
        <v>Electronics</v>
      </c>
      <c r="I298">
        <f t="shared" si="4"/>
        <v>4800</v>
      </c>
      <c r="J298" s="2">
        <f>VLOOKUP(B298,Orders!A:C,3,FALSE)</f>
        <v>45832</v>
      </c>
      <c r="K298" s="1" t="str">
        <f>VLOOKUP(B298,Orders!A:B,2,FALSE)</f>
        <v>C0242</v>
      </c>
    </row>
    <row r="299" spans="1:11" x14ac:dyDescent="0.3">
      <c r="A299" s="1" t="s">
        <v>1651</v>
      </c>
      <c r="B299" s="1" t="s">
        <v>1652</v>
      </c>
      <c r="C299" s="1" t="s">
        <v>1403</v>
      </c>
      <c r="D299" s="1">
        <v>3</v>
      </c>
      <c r="E299" s="1">
        <v>0.15</v>
      </c>
      <c r="F299" s="1" t="b">
        <v>0</v>
      </c>
      <c r="G299">
        <f>VLOOKUP(C299,Products!A:D,4,FALSE)</f>
        <v>1340</v>
      </c>
      <c r="H299" t="str">
        <f>VLOOKUP(C299,Products!A:D,3,FALSE)</f>
        <v>Electronics</v>
      </c>
      <c r="I299">
        <f t="shared" si="4"/>
        <v>3417</v>
      </c>
      <c r="J299" s="2">
        <f>VLOOKUP(B299,Orders!A:C,3,FALSE)</f>
        <v>46259</v>
      </c>
      <c r="K299" s="1" t="str">
        <f>VLOOKUP(B299,Orders!A:B,2,FALSE)</f>
        <v>C0241</v>
      </c>
    </row>
    <row r="300" spans="1:11" x14ac:dyDescent="0.3">
      <c r="A300" s="1" t="s">
        <v>1653</v>
      </c>
      <c r="B300" s="1" t="s">
        <v>1652</v>
      </c>
      <c r="C300" s="1" t="s">
        <v>1315</v>
      </c>
      <c r="D300" s="1">
        <v>3</v>
      </c>
      <c r="E300" s="1">
        <v>0.1</v>
      </c>
      <c r="F300" s="1" t="b">
        <v>1</v>
      </c>
      <c r="G300">
        <f>VLOOKUP(C300,Products!A:D,4,FALSE)</f>
        <v>2190</v>
      </c>
      <c r="H300" t="str">
        <f>VLOOKUP(C300,Products!A:D,3,FALSE)</f>
        <v>Electronics</v>
      </c>
      <c r="I300">
        <f t="shared" si="4"/>
        <v>5913</v>
      </c>
      <c r="J300" s="2">
        <f>VLOOKUP(B300,Orders!A:C,3,FALSE)</f>
        <v>46259</v>
      </c>
      <c r="K300" s="1" t="str">
        <f>VLOOKUP(B300,Orders!A:B,2,FALSE)</f>
        <v>C0241</v>
      </c>
    </row>
    <row r="301" spans="1:11" x14ac:dyDescent="0.3">
      <c r="A301" s="1" t="s">
        <v>1654</v>
      </c>
      <c r="B301" s="1" t="s">
        <v>1652</v>
      </c>
      <c r="C301" s="1" t="s">
        <v>1644</v>
      </c>
      <c r="D301" s="1">
        <v>5</v>
      </c>
      <c r="E301" s="1">
        <v>0</v>
      </c>
      <c r="F301" s="1" t="b">
        <v>0</v>
      </c>
      <c r="G301">
        <f>VLOOKUP(C301,Products!A:D,4,FALSE)</f>
        <v>1930</v>
      </c>
      <c r="H301" t="str">
        <f>VLOOKUP(C301,Products!A:D,3,FALSE)</f>
        <v>Home &amp; Kitchen</v>
      </c>
      <c r="I301">
        <f t="shared" si="4"/>
        <v>9650</v>
      </c>
      <c r="J301" s="2">
        <f>VLOOKUP(B301,Orders!A:C,3,FALSE)</f>
        <v>46259</v>
      </c>
      <c r="K301" s="1" t="str">
        <f>VLOOKUP(B301,Orders!A:B,2,FALSE)</f>
        <v>C0241</v>
      </c>
    </row>
    <row r="302" spans="1:11" x14ac:dyDescent="0.3">
      <c r="A302" s="1" t="s">
        <v>1655</v>
      </c>
      <c r="B302" s="1" t="s">
        <v>1652</v>
      </c>
      <c r="C302" s="1" t="s">
        <v>1656</v>
      </c>
      <c r="D302" s="1">
        <v>1</v>
      </c>
      <c r="E302" s="1">
        <v>0.1</v>
      </c>
      <c r="F302" s="1" t="b">
        <v>0</v>
      </c>
      <c r="G302">
        <f>VLOOKUP(C302,Products!A:D,4,FALSE)</f>
        <v>1240</v>
      </c>
      <c r="H302" t="str">
        <f>VLOOKUP(C302,Products!A:D,3,FALSE)</f>
        <v>Beauty</v>
      </c>
      <c r="I302">
        <f t="shared" si="4"/>
        <v>1116</v>
      </c>
      <c r="J302" s="2">
        <f>VLOOKUP(B302,Orders!A:C,3,FALSE)</f>
        <v>46259</v>
      </c>
      <c r="K302" s="1" t="str">
        <f>VLOOKUP(B302,Orders!A:B,2,FALSE)</f>
        <v>C0241</v>
      </c>
    </row>
    <row r="303" spans="1:11" x14ac:dyDescent="0.3">
      <c r="A303" s="1" t="s">
        <v>1657</v>
      </c>
      <c r="B303" s="1" t="s">
        <v>1658</v>
      </c>
      <c r="C303" s="1" t="s">
        <v>1267</v>
      </c>
      <c r="D303" s="1">
        <v>5</v>
      </c>
      <c r="E303" s="1">
        <v>0</v>
      </c>
      <c r="F303" s="1" t="b">
        <v>0</v>
      </c>
      <c r="G303">
        <f>VLOOKUP(C303,Products!A:D,4,FALSE)</f>
        <v>3650</v>
      </c>
      <c r="H303" t="str">
        <f>VLOOKUP(C303,Products!A:D,3,FALSE)</f>
        <v>Books</v>
      </c>
      <c r="I303">
        <f t="shared" si="4"/>
        <v>18250</v>
      </c>
      <c r="J303" s="2">
        <f>VLOOKUP(B303,Orders!A:C,3,FALSE)</f>
        <v>46062</v>
      </c>
      <c r="K303" s="1" t="str">
        <f>VLOOKUP(B303,Orders!A:B,2,FALSE)</f>
        <v>C0041</v>
      </c>
    </row>
    <row r="304" spans="1:11" x14ac:dyDescent="0.3">
      <c r="A304" s="1" t="s">
        <v>1659</v>
      </c>
      <c r="B304" s="1" t="s">
        <v>1660</v>
      </c>
      <c r="C304" s="1" t="s">
        <v>1278</v>
      </c>
      <c r="D304" s="1">
        <v>2</v>
      </c>
      <c r="E304" s="1">
        <v>0.1</v>
      </c>
      <c r="F304" s="1" t="b">
        <v>0</v>
      </c>
      <c r="G304">
        <f>VLOOKUP(C304,Products!A:D,4,FALSE)</f>
        <v>330</v>
      </c>
      <c r="H304" t="str">
        <f>VLOOKUP(C304,Products!A:D,3,FALSE)</f>
        <v>Books</v>
      </c>
      <c r="I304">
        <f t="shared" si="4"/>
        <v>594</v>
      </c>
      <c r="J304" s="2">
        <f>VLOOKUP(B304,Orders!A:C,3,FALSE)</f>
        <v>46042</v>
      </c>
      <c r="K304" s="1" t="str">
        <f>VLOOKUP(B304,Orders!A:B,2,FALSE)</f>
        <v>C0077</v>
      </c>
    </row>
    <row r="305" spans="1:11" x14ac:dyDescent="0.3">
      <c r="A305" s="1" t="s">
        <v>1661</v>
      </c>
      <c r="B305" s="1" t="s">
        <v>1662</v>
      </c>
      <c r="C305" s="1" t="s">
        <v>1123</v>
      </c>
      <c r="D305" s="1">
        <v>4</v>
      </c>
      <c r="E305" s="1">
        <v>0.1</v>
      </c>
      <c r="F305" s="1" t="b">
        <v>0</v>
      </c>
      <c r="G305">
        <f>VLOOKUP(C305,Products!A:D,4,FALSE)</f>
        <v>2200</v>
      </c>
      <c r="H305" t="str">
        <f>VLOOKUP(C305,Products!A:D,3,FALSE)</f>
        <v>Electronics</v>
      </c>
      <c r="I305">
        <f t="shared" si="4"/>
        <v>7920</v>
      </c>
      <c r="J305" s="2">
        <f>VLOOKUP(B305,Orders!A:C,3,FALSE)</f>
        <v>45744</v>
      </c>
      <c r="K305" s="1" t="str">
        <f>VLOOKUP(B305,Orders!A:B,2,FALSE)</f>
        <v>C0271</v>
      </c>
    </row>
    <row r="306" spans="1:11" x14ac:dyDescent="0.3">
      <c r="A306" s="1" t="s">
        <v>1663</v>
      </c>
      <c r="B306" s="1" t="s">
        <v>1662</v>
      </c>
      <c r="C306" s="1" t="s">
        <v>1130</v>
      </c>
      <c r="D306" s="1">
        <v>3</v>
      </c>
      <c r="E306" s="1">
        <v>0</v>
      </c>
      <c r="F306" s="1" t="b">
        <v>0</v>
      </c>
      <c r="G306">
        <f>VLOOKUP(C306,Products!A:D,4,FALSE)</f>
        <v>2400</v>
      </c>
      <c r="H306" t="str">
        <f>VLOOKUP(C306,Products!A:D,3,FALSE)</f>
        <v>Electronics</v>
      </c>
      <c r="I306">
        <f t="shared" si="4"/>
        <v>7200</v>
      </c>
      <c r="J306" s="2">
        <f>VLOOKUP(B306,Orders!A:C,3,FALSE)</f>
        <v>45744</v>
      </c>
      <c r="K306" s="1" t="str">
        <f>VLOOKUP(B306,Orders!A:B,2,FALSE)</f>
        <v>C0271</v>
      </c>
    </row>
    <row r="307" spans="1:11" x14ac:dyDescent="0.3">
      <c r="A307" s="1" t="s">
        <v>1664</v>
      </c>
      <c r="B307" s="1" t="s">
        <v>1662</v>
      </c>
      <c r="C307" s="1" t="s">
        <v>1290</v>
      </c>
      <c r="D307" s="1">
        <v>5</v>
      </c>
      <c r="E307" s="1">
        <v>0</v>
      </c>
      <c r="F307" s="1" t="b">
        <v>0</v>
      </c>
      <c r="G307">
        <f>VLOOKUP(C307,Products!A:D,4,FALSE)</f>
        <v>990</v>
      </c>
      <c r="H307" t="str">
        <f>VLOOKUP(C307,Products!A:D,3,FALSE)</f>
        <v>Books</v>
      </c>
      <c r="I307">
        <f t="shared" si="4"/>
        <v>4950</v>
      </c>
      <c r="J307" s="2">
        <f>VLOOKUP(B307,Orders!A:C,3,FALSE)</f>
        <v>45744</v>
      </c>
      <c r="K307" s="1" t="str">
        <f>VLOOKUP(B307,Orders!A:B,2,FALSE)</f>
        <v>C0271</v>
      </c>
    </row>
    <row r="308" spans="1:11" x14ac:dyDescent="0.3">
      <c r="A308" s="1" t="s">
        <v>1665</v>
      </c>
      <c r="B308" s="1" t="s">
        <v>1662</v>
      </c>
      <c r="C308" s="1" t="s">
        <v>1267</v>
      </c>
      <c r="D308" s="1">
        <v>1</v>
      </c>
      <c r="E308" s="1">
        <v>0.1</v>
      </c>
      <c r="F308" s="1" t="b">
        <v>0</v>
      </c>
      <c r="G308">
        <f>VLOOKUP(C308,Products!A:D,4,FALSE)</f>
        <v>3650</v>
      </c>
      <c r="H308" t="str">
        <f>VLOOKUP(C308,Products!A:D,3,FALSE)</f>
        <v>Books</v>
      </c>
      <c r="I308">
        <f t="shared" si="4"/>
        <v>3285</v>
      </c>
      <c r="J308" s="2">
        <f>VLOOKUP(B308,Orders!A:C,3,FALSE)</f>
        <v>45744</v>
      </c>
      <c r="K308" s="1" t="str">
        <f>VLOOKUP(B308,Orders!A:B,2,FALSE)</f>
        <v>C0271</v>
      </c>
    </row>
    <row r="309" spans="1:11" x14ac:dyDescent="0.3">
      <c r="A309" s="1" t="s">
        <v>1666</v>
      </c>
      <c r="B309" s="1" t="s">
        <v>1667</v>
      </c>
      <c r="C309" s="1" t="s">
        <v>1213</v>
      </c>
      <c r="D309" s="1">
        <v>5</v>
      </c>
      <c r="E309" s="1">
        <v>0</v>
      </c>
      <c r="F309" s="1" t="b">
        <v>0</v>
      </c>
      <c r="G309">
        <f>VLOOKUP(C309,Products!A:D,4,FALSE)</f>
        <v>1765</v>
      </c>
      <c r="H309" t="str">
        <f>VLOOKUP(C309,Products!A:D,3,FALSE)</f>
        <v>Beauty</v>
      </c>
      <c r="I309">
        <f t="shared" si="4"/>
        <v>8825</v>
      </c>
      <c r="J309" s="2">
        <f>VLOOKUP(B309,Orders!A:C,3,FALSE)</f>
        <v>46128</v>
      </c>
      <c r="K309" s="1" t="str">
        <f>VLOOKUP(B309,Orders!A:B,2,FALSE)</f>
        <v>C0122</v>
      </c>
    </row>
    <row r="310" spans="1:11" x14ac:dyDescent="0.3">
      <c r="A310" s="1" t="s">
        <v>1668</v>
      </c>
      <c r="B310" s="1" t="s">
        <v>1669</v>
      </c>
      <c r="C310" s="1" t="s">
        <v>1564</v>
      </c>
      <c r="D310" s="1">
        <v>3</v>
      </c>
      <c r="E310" s="1">
        <v>0.15</v>
      </c>
      <c r="F310" s="1" t="b">
        <v>0</v>
      </c>
      <c r="G310">
        <f>VLOOKUP(C310,Products!A:D,4,FALSE)</f>
        <v>3680</v>
      </c>
      <c r="H310" t="str">
        <f>VLOOKUP(C310,Products!A:D,3,FALSE)</f>
        <v>Home &amp; Kitchen</v>
      </c>
      <c r="I310">
        <f t="shared" si="4"/>
        <v>9384</v>
      </c>
      <c r="J310" s="2">
        <f>VLOOKUP(B310,Orders!A:C,3,FALSE)</f>
        <v>46096</v>
      </c>
      <c r="K310" s="1" t="str">
        <f>VLOOKUP(B310,Orders!A:B,2,FALSE)</f>
        <v>C0123</v>
      </c>
    </row>
    <row r="311" spans="1:11" x14ac:dyDescent="0.3">
      <c r="A311" s="1" t="s">
        <v>1670</v>
      </c>
      <c r="B311" s="1" t="s">
        <v>1669</v>
      </c>
      <c r="C311" s="1" t="s">
        <v>1182</v>
      </c>
      <c r="D311" s="1">
        <v>4</v>
      </c>
      <c r="E311" s="1">
        <v>0.1</v>
      </c>
      <c r="F311" s="1" t="b">
        <v>0</v>
      </c>
      <c r="G311">
        <f>VLOOKUP(C311,Products!A:D,4,FALSE)</f>
        <v>790</v>
      </c>
      <c r="H311" t="str">
        <f>VLOOKUP(C311,Products!A:D,3,FALSE)</f>
        <v>Sports</v>
      </c>
      <c r="I311">
        <f t="shared" si="4"/>
        <v>2844</v>
      </c>
      <c r="J311" s="2">
        <f>VLOOKUP(B311,Orders!A:C,3,FALSE)</f>
        <v>46096</v>
      </c>
      <c r="K311" s="1" t="str">
        <f>VLOOKUP(B311,Orders!A:B,2,FALSE)</f>
        <v>C0123</v>
      </c>
    </row>
    <row r="312" spans="1:11" x14ac:dyDescent="0.3">
      <c r="A312" s="1" t="s">
        <v>1671</v>
      </c>
      <c r="B312" s="1" t="s">
        <v>1669</v>
      </c>
      <c r="C312" s="1" t="s">
        <v>1209</v>
      </c>
      <c r="D312" s="1">
        <v>2</v>
      </c>
      <c r="E312" s="1">
        <v>0.2</v>
      </c>
      <c r="F312" s="1" t="b">
        <v>0</v>
      </c>
      <c r="G312">
        <f>VLOOKUP(C312,Products!A:D,4,FALSE)</f>
        <v>1580</v>
      </c>
      <c r="H312" t="str">
        <f>VLOOKUP(C312,Products!A:D,3,FALSE)</f>
        <v>Apparel</v>
      </c>
      <c r="I312">
        <f t="shared" si="4"/>
        <v>2528</v>
      </c>
      <c r="J312" s="2">
        <f>VLOOKUP(B312,Orders!A:C,3,FALSE)</f>
        <v>46096</v>
      </c>
      <c r="K312" s="1" t="str">
        <f>VLOOKUP(B312,Orders!A:B,2,FALSE)</f>
        <v>C0123</v>
      </c>
    </row>
    <row r="313" spans="1:11" x14ac:dyDescent="0.3">
      <c r="A313" s="1" t="s">
        <v>1672</v>
      </c>
      <c r="B313" s="1" t="s">
        <v>1673</v>
      </c>
      <c r="C313" s="1" t="s">
        <v>1123</v>
      </c>
      <c r="D313" s="1">
        <v>4</v>
      </c>
      <c r="E313" s="1">
        <v>0.1</v>
      </c>
      <c r="F313" s="1" t="b">
        <v>0</v>
      </c>
      <c r="G313">
        <f>VLOOKUP(C313,Products!A:D,4,FALSE)</f>
        <v>2200</v>
      </c>
      <c r="H313" t="str">
        <f>VLOOKUP(C313,Products!A:D,3,FALSE)</f>
        <v>Electronics</v>
      </c>
      <c r="I313">
        <f t="shared" si="4"/>
        <v>7920</v>
      </c>
      <c r="J313" s="2">
        <f>VLOOKUP(B313,Orders!A:C,3,FALSE)</f>
        <v>45889</v>
      </c>
      <c r="K313" s="1" t="str">
        <f>VLOOKUP(B313,Orders!A:B,2,FALSE)</f>
        <v>C0235</v>
      </c>
    </row>
    <row r="314" spans="1:11" x14ac:dyDescent="0.3">
      <c r="A314" s="1" t="s">
        <v>1674</v>
      </c>
      <c r="B314" s="1" t="s">
        <v>1675</v>
      </c>
      <c r="C314" s="1" t="s">
        <v>1209</v>
      </c>
      <c r="D314" s="1">
        <v>1</v>
      </c>
      <c r="E314" s="1">
        <v>0</v>
      </c>
      <c r="F314" s="1" t="b">
        <v>0</v>
      </c>
      <c r="G314">
        <f>VLOOKUP(C314,Products!A:D,4,FALSE)</f>
        <v>1580</v>
      </c>
      <c r="H314" t="str">
        <f>VLOOKUP(C314,Products!A:D,3,FALSE)</f>
        <v>Apparel</v>
      </c>
      <c r="I314">
        <f t="shared" si="4"/>
        <v>1580</v>
      </c>
      <c r="J314" s="2">
        <f>VLOOKUP(B314,Orders!A:C,3,FALSE)</f>
        <v>45780</v>
      </c>
      <c r="K314" s="1" t="str">
        <f>VLOOKUP(B314,Orders!A:B,2,FALSE)</f>
        <v>C0256</v>
      </c>
    </row>
    <row r="315" spans="1:11" x14ac:dyDescent="0.3">
      <c r="A315" s="1" t="s">
        <v>1676</v>
      </c>
      <c r="B315" s="1" t="s">
        <v>1675</v>
      </c>
      <c r="C315" s="1" t="s">
        <v>1656</v>
      </c>
      <c r="D315" s="1">
        <v>4</v>
      </c>
      <c r="E315" s="1">
        <v>0.15</v>
      </c>
      <c r="F315" s="1" t="b">
        <v>0</v>
      </c>
      <c r="G315">
        <f>VLOOKUP(C315,Products!A:D,4,FALSE)</f>
        <v>1240</v>
      </c>
      <c r="H315" t="str">
        <f>VLOOKUP(C315,Products!A:D,3,FALSE)</f>
        <v>Beauty</v>
      </c>
      <c r="I315">
        <f t="shared" si="4"/>
        <v>4216</v>
      </c>
      <c r="J315" s="2">
        <f>VLOOKUP(B315,Orders!A:C,3,FALSE)</f>
        <v>45780</v>
      </c>
      <c r="K315" s="1" t="str">
        <f>VLOOKUP(B315,Orders!A:B,2,FALSE)</f>
        <v>C0256</v>
      </c>
    </row>
    <row r="316" spans="1:11" x14ac:dyDescent="0.3">
      <c r="A316" s="1" t="s">
        <v>1677</v>
      </c>
      <c r="B316" s="1" t="s">
        <v>1675</v>
      </c>
      <c r="C316" s="1" t="s">
        <v>1299</v>
      </c>
      <c r="D316" s="1">
        <v>2</v>
      </c>
      <c r="E316" s="1">
        <v>0.2</v>
      </c>
      <c r="F316" s="1" t="b">
        <v>0</v>
      </c>
      <c r="G316">
        <f>VLOOKUP(C316,Products!A:D,4,FALSE)</f>
        <v>1080</v>
      </c>
      <c r="H316" t="str">
        <f>VLOOKUP(C316,Products!A:D,3,FALSE)</f>
        <v>Beauty</v>
      </c>
      <c r="I316">
        <f t="shared" si="4"/>
        <v>1728</v>
      </c>
      <c r="J316" s="2">
        <f>VLOOKUP(B316,Orders!A:C,3,FALSE)</f>
        <v>45780</v>
      </c>
      <c r="K316" s="1" t="str">
        <f>VLOOKUP(B316,Orders!A:B,2,FALSE)</f>
        <v>C0256</v>
      </c>
    </row>
    <row r="317" spans="1:11" x14ac:dyDescent="0.3">
      <c r="A317" s="1" t="s">
        <v>1678</v>
      </c>
      <c r="B317" s="1" t="s">
        <v>1679</v>
      </c>
      <c r="C317" s="1" t="s">
        <v>1204</v>
      </c>
      <c r="D317" s="1">
        <v>5</v>
      </c>
      <c r="E317" s="1">
        <v>0.1</v>
      </c>
      <c r="F317" s="1" t="b">
        <v>0</v>
      </c>
      <c r="G317">
        <f>VLOOKUP(C317,Products!A:D,4,FALSE)</f>
        <v>940</v>
      </c>
      <c r="H317" t="str">
        <f>VLOOKUP(C317,Products!A:D,3,FALSE)</f>
        <v>Apparel</v>
      </c>
      <c r="I317">
        <f t="shared" si="4"/>
        <v>4230</v>
      </c>
      <c r="J317" s="2">
        <f>VLOOKUP(B317,Orders!A:C,3,FALSE)</f>
        <v>45980</v>
      </c>
      <c r="K317" s="1" t="str">
        <f>VLOOKUP(B317,Orders!A:B,2,FALSE)</f>
        <v>C0264</v>
      </c>
    </row>
    <row r="318" spans="1:11" x14ac:dyDescent="0.3">
      <c r="A318" s="1" t="s">
        <v>1680</v>
      </c>
      <c r="B318" s="1" t="s">
        <v>1681</v>
      </c>
      <c r="C318" s="1" t="s">
        <v>1202</v>
      </c>
      <c r="D318" s="1">
        <v>2</v>
      </c>
      <c r="E318" s="1">
        <v>0</v>
      </c>
      <c r="F318" s="1" t="b">
        <v>0</v>
      </c>
      <c r="G318">
        <f>VLOOKUP(C318,Products!A:D,4,FALSE)</f>
        <v>530</v>
      </c>
      <c r="H318" t="str">
        <f>VLOOKUP(C318,Products!A:D,3,FALSE)</f>
        <v>Beauty</v>
      </c>
      <c r="I318">
        <f t="shared" si="4"/>
        <v>1060</v>
      </c>
      <c r="J318" s="2">
        <f>VLOOKUP(B318,Orders!A:C,3,FALSE)</f>
        <v>46278</v>
      </c>
      <c r="K318" s="1" t="str">
        <f>VLOOKUP(B318,Orders!A:B,2,FALSE)</f>
        <v>C0150</v>
      </c>
    </row>
    <row r="319" spans="1:11" x14ac:dyDescent="0.3">
      <c r="A319" s="1" t="s">
        <v>1682</v>
      </c>
      <c r="B319" s="1" t="s">
        <v>1683</v>
      </c>
      <c r="C319" s="1" t="s">
        <v>1121</v>
      </c>
      <c r="D319" s="1">
        <v>1</v>
      </c>
      <c r="E319" s="1">
        <v>0.1</v>
      </c>
      <c r="F319" s="1" t="b">
        <v>0</v>
      </c>
      <c r="G319">
        <f>VLOOKUP(C319,Products!A:D,4,FALSE)</f>
        <v>1440</v>
      </c>
      <c r="H319" t="str">
        <f>VLOOKUP(C319,Products!A:D,3,FALSE)</f>
        <v>Sports</v>
      </c>
      <c r="I319">
        <f t="shared" si="4"/>
        <v>1296</v>
      </c>
      <c r="J319" s="2">
        <f>VLOOKUP(B319,Orders!A:C,3,FALSE)</f>
        <v>46209</v>
      </c>
      <c r="K319" s="1" t="str">
        <f>VLOOKUP(B319,Orders!A:B,2,FALSE)</f>
        <v>C0181</v>
      </c>
    </row>
    <row r="320" spans="1:11" x14ac:dyDescent="0.3">
      <c r="A320" s="1" t="s">
        <v>1684</v>
      </c>
      <c r="B320" s="1" t="s">
        <v>1685</v>
      </c>
      <c r="C320" s="1" t="s">
        <v>1302</v>
      </c>
      <c r="D320" s="1">
        <v>3</v>
      </c>
      <c r="E320" s="1">
        <v>0</v>
      </c>
      <c r="F320" s="1" t="b">
        <v>0</v>
      </c>
      <c r="G320">
        <f>VLOOKUP(C320,Products!A:D,4,FALSE)</f>
        <v>1220</v>
      </c>
      <c r="H320" t="str">
        <f>VLOOKUP(C320,Products!A:D,3,FALSE)</f>
        <v>Home &amp; Kitchen</v>
      </c>
      <c r="I320">
        <f t="shared" ref="I320:I383" si="5">G320*D320*(1-E320)</f>
        <v>3660</v>
      </c>
      <c r="J320" s="2">
        <f>VLOOKUP(B320,Orders!A:C,3,FALSE)</f>
        <v>45827</v>
      </c>
      <c r="K320" s="1" t="str">
        <f>VLOOKUP(B320,Orders!A:B,2,FALSE)</f>
        <v>C0096</v>
      </c>
    </row>
    <row r="321" spans="1:11" x14ac:dyDescent="0.3">
      <c r="A321" s="1" t="s">
        <v>1686</v>
      </c>
      <c r="B321" s="1" t="s">
        <v>1685</v>
      </c>
      <c r="C321" s="1" t="s">
        <v>1171</v>
      </c>
      <c r="D321" s="1">
        <v>5</v>
      </c>
      <c r="E321" s="1">
        <v>0</v>
      </c>
      <c r="F321" s="1" t="b">
        <v>0</v>
      </c>
      <c r="G321">
        <f>VLOOKUP(C321,Products!A:D,4,FALSE)</f>
        <v>2250</v>
      </c>
      <c r="H321" t="str">
        <f>VLOOKUP(C321,Products!A:D,3,FALSE)</f>
        <v>Home &amp; Kitchen</v>
      </c>
      <c r="I321">
        <f t="shared" si="5"/>
        <v>11250</v>
      </c>
      <c r="J321" s="2">
        <f>VLOOKUP(B321,Orders!A:C,3,FALSE)</f>
        <v>45827</v>
      </c>
      <c r="K321" s="1" t="str">
        <f>VLOOKUP(B321,Orders!A:B,2,FALSE)</f>
        <v>C0096</v>
      </c>
    </row>
    <row r="322" spans="1:11" x14ac:dyDescent="0.3">
      <c r="A322" s="1" t="s">
        <v>1687</v>
      </c>
      <c r="B322" s="1" t="s">
        <v>1685</v>
      </c>
      <c r="C322" s="1" t="s">
        <v>1125</v>
      </c>
      <c r="D322" s="1">
        <v>2</v>
      </c>
      <c r="E322" s="1">
        <v>0.05</v>
      </c>
      <c r="F322" s="1" t="b">
        <v>0</v>
      </c>
      <c r="G322">
        <f>VLOOKUP(C322,Products!A:D,4,FALSE)</f>
        <v>99</v>
      </c>
      <c r="H322" t="str">
        <f>VLOOKUP(C322,Products!A:D,3,FALSE)</f>
        <v>Electronics</v>
      </c>
      <c r="I322">
        <f t="shared" si="5"/>
        <v>188.1</v>
      </c>
      <c r="J322" s="2">
        <f>VLOOKUP(B322,Orders!A:C,3,FALSE)</f>
        <v>45827</v>
      </c>
      <c r="K322" s="1" t="str">
        <f>VLOOKUP(B322,Orders!A:B,2,FALSE)</f>
        <v>C0096</v>
      </c>
    </row>
    <row r="323" spans="1:11" x14ac:dyDescent="0.3">
      <c r="A323" s="1" t="s">
        <v>1688</v>
      </c>
      <c r="B323" s="1" t="s">
        <v>1689</v>
      </c>
      <c r="C323" s="1" t="s">
        <v>1484</v>
      </c>
      <c r="D323" s="1">
        <v>2</v>
      </c>
      <c r="E323" s="1">
        <v>0.2</v>
      </c>
      <c r="F323" s="1" t="b">
        <v>0</v>
      </c>
      <c r="G323">
        <f>VLOOKUP(C323,Products!A:D,4,FALSE)</f>
        <v>1080</v>
      </c>
      <c r="H323" t="str">
        <f>VLOOKUP(C323,Products!A:D,3,FALSE)</f>
        <v>Home &amp; Kitchen</v>
      </c>
      <c r="I323">
        <f t="shared" si="5"/>
        <v>1728</v>
      </c>
      <c r="J323" s="2">
        <f>VLOOKUP(B323,Orders!A:C,3,FALSE)</f>
        <v>46189</v>
      </c>
      <c r="K323" s="1" t="str">
        <f>VLOOKUP(B323,Orders!A:B,2,FALSE)</f>
        <v>C0269</v>
      </c>
    </row>
    <row r="324" spans="1:11" x14ac:dyDescent="0.3">
      <c r="A324" s="1" t="s">
        <v>1690</v>
      </c>
      <c r="B324" s="1" t="s">
        <v>1689</v>
      </c>
      <c r="C324" s="1" t="s">
        <v>1202</v>
      </c>
      <c r="D324" s="1">
        <v>2</v>
      </c>
      <c r="E324" s="1">
        <v>0</v>
      </c>
      <c r="F324" s="1" t="b">
        <v>0</v>
      </c>
      <c r="G324">
        <f>VLOOKUP(C324,Products!A:D,4,FALSE)</f>
        <v>530</v>
      </c>
      <c r="H324" t="str">
        <f>VLOOKUP(C324,Products!A:D,3,FALSE)</f>
        <v>Beauty</v>
      </c>
      <c r="I324">
        <f t="shared" si="5"/>
        <v>1060</v>
      </c>
      <c r="J324" s="2">
        <f>VLOOKUP(B324,Orders!A:C,3,FALSE)</f>
        <v>46189</v>
      </c>
      <c r="K324" s="1" t="str">
        <f>VLOOKUP(B324,Orders!A:B,2,FALSE)</f>
        <v>C0269</v>
      </c>
    </row>
    <row r="325" spans="1:11" x14ac:dyDescent="0.3">
      <c r="A325" s="1" t="s">
        <v>1691</v>
      </c>
      <c r="B325" s="1" t="s">
        <v>1692</v>
      </c>
      <c r="C325" s="1" t="s">
        <v>1262</v>
      </c>
      <c r="D325" s="1">
        <v>5</v>
      </c>
      <c r="E325" s="1">
        <v>0</v>
      </c>
      <c r="F325" s="1" t="b">
        <v>0</v>
      </c>
      <c r="G325">
        <f>VLOOKUP(C325,Products!A:D,4,FALSE)</f>
        <v>4020</v>
      </c>
      <c r="H325" t="str">
        <f>VLOOKUP(C325,Products!A:D,3,FALSE)</f>
        <v>Sports</v>
      </c>
      <c r="I325">
        <f t="shared" si="5"/>
        <v>20100</v>
      </c>
      <c r="J325" s="2">
        <f>VLOOKUP(B325,Orders!A:C,3,FALSE)</f>
        <v>46063</v>
      </c>
      <c r="K325" s="1" t="str">
        <f>VLOOKUP(B325,Orders!A:B,2,FALSE)</f>
        <v>C0270</v>
      </c>
    </row>
    <row r="326" spans="1:11" x14ac:dyDescent="0.3">
      <c r="A326" s="1" t="s">
        <v>1693</v>
      </c>
      <c r="B326" s="1" t="s">
        <v>1694</v>
      </c>
      <c r="C326" s="1" t="s">
        <v>1199</v>
      </c>
      <c r="D326" s="1">
        <v>1</v>
      </c>
      <c r="E326" s="1">
        <v>0</v>
      </c>
      <c r="F326" s="1" t="b">
        <v>0</v>
      </c>
      <c r="G326">
        <f>VLOOKUP(C326,Products!A:D,4,FALSE)</f>
        <v>99</v>
      </c>
      <c r="H326" t="str">
        <f>VLOOKUP(C326,Products!A:D,3,FALSE)</f>
        <v>Electronics</v>
      </c>
      <c r="I326">
        <f t="shared" si="5"/>
        <v>99</v>
      </c>
      <c r="J326" s="2">
        <f>VLOOKUP(B326,Orders!A:C,3,FALSE)</f>
        <v>46169</v>
      </c>
      <c r="K326" s="1" t="str">
        <f>VLOOKUP(B326,Orders!A:B,2,FALSE)</f>
        <v>C0284</v>
      </c>
    </row>
    <row r="327" spans="1:11" x14ac:dyDescent="0.3">
      <c r="A327" s="1" t="s">
        <v>1695</v>
      </c>
      <c r="B327" s="1" t="s">
        <v>1696</v>
      </c>
      <c r="C327" s="1" t="s">
        <v>1273</v>
      </c>
      <c r="D327" s="1">
        <v>5</v>
      </c>
      <c r="E327" s="1">
        <v>0</v>
      </c>
      <c r="F327" s="1" t="b">
        <v>0</v>
      </c>
      <c r="G327">
        <f>VLOOKUP(C327,Products!A:D,4,FALSE)</f>
        <v>360</v>
      </c>
      <c r="H327" t="str">
        <f>VLOOKUP(C327,Products!A:D,3,FALSE)</f>
        <v>Beauty</v>
      </c>
      <c r="I327">
        <f t="shared" si="5"/>
        <v>1800</v>
      </c>
      <c r="J327" s="2">
        <f>VLOOKUP(B327,Orders!A:C,3,FALSE)</f>
        <v>46183</v>
      </c>
      <c r="K327" s="1" t="str">
        <f>VLOOKUP(B327,Orders!A:B,2,FALSE)</f>
        <v>C0023</v>
      </c>
    </row>
    <row r="328" spans="1:11" x14ac:dyDescent="0.3">
      <c r="A328" s="1" t="s">
        <v>1697</v>
      </c>
      <c r="B328" s="1" t="s">
        <v>1696</v>
      </c>
      <c r="C328" s="1" t="s">
        <v>1418</v>
      </c>
      <c r="D328" s="1">
        <v>1</v>
      </c>
      <c r="E328" s="1">
        <v>0.2</v>
      </c>
      <c r="F328" s="1" t="b">
        <v>0</v>
      </c>
      <c r="G328">
        <f>VLOOKUP(C328,Products!A:D,4,FALSE)</f>
        <v>1030</v>
      </c>
      <c r="H328" t="str">
        <f>VLOOKUP(C328,Products!A:D,3,FALSE)</f>
        <v>Beauty</v>
      </c>
      <c r="I328">
        <f t="shared" si="5"/>
        <v>824</v>
      </c>
      <c r="J328" s="2">
        <f>VLOOKUP(B328,Orders!A:C,3,FALSE)</f>
        <v>46183</v>
      </c>
      <c r="K328" s="1" t="str">
        <f>VLOOKUP(B328,Orders!A:B,2,FALSE)</f>
        <v>C0023</v>
      </c>
    </row>
    <row r="329" spans="1:11" x14ac:dyDescent="0.3">
      <c r="A329" s="1" t="s">
        <v>1698</v>
      </c>
      <c r="B329" s="1" t="s">
        <v>1699</v>
      </c>
      <c r="C329" s="1" t="s">
        <v>1191</v>
      </c>
      <c r="D329" s="1">
        <v>3</v>
      </c>
      <c r="E329" s="1">
        <v>0.05</v>
      </c>
      <c r="F329" s="1" t="b">
        <v>0</v>
      </c>
      <c r="G329">
        <f>VLOOKUP(C329,Products!A:D,4,FALSE)</f>
        <v>99</v>
      </c>
      <c r="H329" t="str">
        <f>VLOOKUP(C329,Products!A:D,3,FALSE)</f>
        <v>Sports</v>
      </c>
      <c r="I329">
        <f t="shared" si="5"/>
        <v>282.14999999999998</v>
      </c>
      <c r="J329" s="2">
        <f>VLOOKUP(B329,Orders!A:C,3,FALSE)</f>
        <v>45833</v>
      </c>
      <c r="K329" s="1" t="str">
        <f>VLOOKUP(B329,Orders!A:B,2,FALSE)</f>
        <v>C0130</v>
      </c>
    </row>
    <row r="330" spans="1:11" x14ac:dyDescent="0.3">
      <c r="A330" s="1" t="s">
        <v>1700</v>
      </c>
      <c r="B330" s="1" t="s">
        <v>1701</v>
      </c>
      <c r="C330" s="1" t="s">
        <v>1564</v>
      </c>
      <c r="D330" s="1">
        <v>3</v>
      </c>
      <c r="E330" s="1">
        <v>0.05</v>
      </c>
      <c r="F330" s="1" t="b">
        <v>0</v>
      </c>
      <c r="G330">
        <f>VLOOKUP(C330,Products!A:D,4,FALSE)</f>
        <v>3680</v>
      </c>
      <c r="H330" t="str">
        <f>VLOOKUP(C330,Products!A:D,3,FALSE)</f>
        <v>Home &amp; Kitchen</v>
      </c>
      <c r="I330">
        <f t="shared" si="5"/>
        <v>10488</v>
      </c>
      <c r="J330" s="2">
        <f>VLOOKUP(B330,Orders!A:C,3,FALSE)</f>
        <v>46095</v>
      </c>
      <c r="K330" s="1" t="str">
        <f>VLOOKUP(B330,Orders!A:B,2,FALSE)</f>
        <v>C0035</v>
      </c>
    </row>
    <row r="331" spans="1:11" x14ac:dyDescent="0.3">
      <c r="A331" s="1" t="s">
        <v>1702</v>
      </c>
      <c r="B331" s="1" t="s">
        <v>1701</v>
      </c>
      <c r="C331" s="1" t="s">
        <v>1125</v>
      </c>
      <c r="D331" s="1">
        <v>5</v>
      </c>
      <c r="E331" s="1">
        <v>0</v>
      </c>
      <c r="F331" s="1" t="b">
        <v>0</v>
      </c>
      <c r="G331">
        <f>VLOOKUP(C331,Products!A:D,4,FALSE)</f>
        <v>99</v>
      </c>
      <c r="H331" t="str">
        <f>VLOOKUP(C331,Products!A:D,3,FALSE)</f>
        <v>Electronics</v>
      </c>
      <c r="I331">
        <f t="shared" si="5"/>
        <v>495</v>
      </c>
      <c r="J331" s="2">
        <f>VLOOKUP(B331,Orders!A:C,3,FALSE)</f>
        <v>46095</v>
      </c>
      <c r="K331" s="1" t="str">
        <f>VLOOKUP(B331,Orders!A:B,2,FALSE)</f>
        <v>C0035</v>
      </c>
    </row>
    <row r="332" spans="1:11" x14ac:dyDescent="0.3">
      <c r="A332" s="1" t="s">
        <v>1703</v>
      </c>
      <c r="B332" s="1" t="s">
        <v>1701</v>
      </c>
      <c r="C332" s="1" t="s">
        <v>1315</v>
      </c>
      <c r="D332" s="1">
        <v>2</v>
      </c>
      <c r="E332" s="1">
        <v>0.2</v>
      </c>
      <c r="F332" s="1" t="b">
        <v>0</v>
      </c>
      <c r="G332">
        <f>VLOOKUP(C332,Products!A:D,4,FALSE)</f>
        <v>2190</v>
      </c>
      <c r="H332" t="str">
        <f>VLOOKUP(C332,Products!A:D,3,FALSE)</f>
        <v>Electronics</v>
      </c>
      <c r="I332">
        <f t="shared" si="5"/>
        <v>3504</v>
      </c>
      <c r="J332" s="2">
        <f>VLOOKUP(B332,Orders!A:C,3,FALSE)</f>
        <v>46095</v>
      </c>
      <c r="K332" s="1" t="str">
        <f>VLOOKUP(B332,Orders!A:B,2,FALSE)</f>
        <v>C0035</v>
      </c>
    </row>
    <row r="333" spans="1:11" x14ac:dyDescent="0.3">
      <c r="A333" s="1" t="s">
        <v>1704</v>
      </c>
      <c r="B333" s="1" t="s">
        <v>1705</v>
      </c>
      <c r="C333" s="1" t="s">
        <v>1118</v>
      </c>
      <c r="D333" s="1">
        <v>5</v>
      </c>
      <c r="E333" s="1">
        <v>0.2</v>
      </c>
      <c r="F333" s="1" t="b">
        <v>0</v>
      </c>
      <c r="G333">
        <f>VLOOKUP(C333,Products!A:D,4,FALSE)</f>
        <v>5550</v>
      </c>
      <c r="H333" t="str">
        <f>VLOOKUP(C333,Products!A:D,3,FALSE)</f>
        <v>Home &amp; Kitchen</v>
      </c>
      <c r="I333">
        <f t="shared" si="5"/>
        <v>22200</v>
      </c>
      <c r="J333" s="2">
        <f>VLOOKUP(B333,Orders!A:C,3,FALSE)</f>
        <v>45878</v>
      </c>
      <c r="K333" s="1" t="str">
        <f>VLOOKUP(B333,Orders!A:B,2,FALSE)</f>
        <v>C0298</v>
      </c>
    </row>
    <row r="334" spans="1:11" x14ac:dyDescent="0.3">
      <c r="A334" s="1" t="s">
        <v>1706</v>
      </c>
      <c r="B334" s="1" t="s">
        <v>1705</v>
      </c>
      <c r="C334" s="1" t="s">
        <v>1140</v>
      </c>
      <c r="D334" s="1">
        <v>4</v>
      </c>
      <c r="E334" s="1">
        <v>0.1</v>
      </c>
      <c r="F334" s="1" t="b">
        <v>0</v>
      </c>
      <c r="G334">
        <f>VLOOKUP(C334,Products!A:D,4,FALSE)</f>
        <v>3040</v>
      </c>
      <c r="H334" t="str">
        <f>VLOOKUP(C334,Products!A:D,3,FALSE)</f>
        <v>Electronics</v>
      </c>
      <c r="I334">
        <f t="shared" si="5"/>
        <v>10944</v>
      </c>
      <c r="J334" s="2">
        <f>VLOOKUP(B334,Orders!A:C,3,FALSE)</f>
        <v>45878</v>
      </c>
      <c r="K334" s="1" t="str">
        <f>VLOOKUP(B334,Orders!A:B,2,FALSE)</f>
        <v>C0298</v>
      </c>
    </row>
    <row r="335" spans="1:11" x14ac:dyDescent="0.3">
      <c r="A335" s="1" t="s">
        <v>1707</v>
      </c>
      <c r="B335" s="1" t="s">
        <v>1708</v>
      </c>
      <c r="C335" s="1" t="s">
        <v>1152</v>
      </c>
      <c r="D335" s="1">
        <v>4</v>
      </c>
      <c r="E335" s="1">
        <v>0.2</v>
      </c>
      <c r="F335" s="1" t="b">
        <v>0</v>
      </c>
      <c r="G335">
        <f>VLOOKUP(C335,Products!A:D,4,FALSE)</f>
        <v>2250</v>
      </c>
      <c r="H335" t="str">
        <f>VLOOKUP(C335,Products!A:D,3,FALSE)</f>
        <v>Home &amp; Kitchen</v>
      </c>
      <c r="I335">
        <f t="shared" si="5"/>
        <v>7200</v>
      </c>
      <c r="J335" s="2">
        <f>VLOOKUP(B335,Orders!A:C,3,FALSE)</f>
        <v>46130</v>
      </c>
      <c r="K335" s="1" t="str">
        <f>VLOOKUP(B335,Orders!A:B,2,FALSE)</f>
        <v>C0069</v>
      </c>
    </row>
    <row r="336" spans="1:11" x14ac:dyDescent="0.3">
      <c r="A336" s="1" t="s">
        <v>1709</v>
      </c>
      <c r="B336" s="1" t="s">
        <v>1710</v>
      </c>
      <c r="C336" s="1" t="s">
        <v>1328</v>
      </c>
      <c r="D336" s="1">
        <v>4</v>
      </c>
      <c r="E336" s="1">
        <v>0</v>
      </c>
      <c r="F336" s="1" t="b">
        <v>0</v>
      </c>
      <c r="G336">
        <f>VLOOKUP(C336,Products!A:D,4,FALSE)</f>
        <v>1880</v>
      </c>
      <c r="H336" t="str">
        <f>VLOOKUP(C336,Products!A:D,3,FALSE)</f>
        <v>Apparel</v>
      </c>
      <c r="I336">
        <f t="shared" si="5"/>
        <v>7520</v>
      </c>
      <c r="J336" s="2">
        <f>VLOOKUP(B336,Orders!A:C,3,FALSE)</f>
        <v>45921</v>
      </c>
      <c r="K336" s="1" t="str">
        <f>VLOOKUP(B336,Orders!A:B,2,FALSE)</f>
        <v>C0174</v>
      </c>
    </row>
    <row r="337" spans="1:11" x14ac:dyDescent="0.3">
      <c r="A337" s="1" t="s">
        <v>1711</v>
      </c>
      <c r="B337" s="1" t="s">
        <v>1710</v>
      </c>
      <c r="C337" s="1" t="s">
        <v>1160</v>
      </c>
      <c r="D337" s="1">
        <v>4</v>
      </c>
      <c r="E337" s="1">
        <v>0</v>
      </c>
      <c r="F337" s="1" t="b">
        <v>0</v>
      </c>
      <c r="G337">
        <f>VLOOKUP(C337,Products!A:D,4,FALSE)</f>
        <v>1710</v>
      </c>
      <c r="H337" t="str">
        <f>VLOOKUP(C337,Products!A:D,3,FALSE)</f>
        <v>Home &amp; Kitchen</v>
      </c>
      <c r="I337">
        <f t="shared" si="5"/>
        <v>6840</v>
      </c>
      <c r="J337" s="2">
        <f>VLOOKUP(B337,Orders!A:C,3,FALSE)</f>
        <v>45921</v>
      </c>
      <c r="K337" s="1" t="str">
        <f>VLOOKUP(B337,Orders!A:B,2,FALSE)</f>
        <v>C0174</v>
      </c>
    </row>
    <row r="338" spans="1:11" x14ac:dyDescent="0.3">
      <c r="A338" s="1" t="s">
        <v>1712</v>
      </c>
      <c r="B338" s="1" t="s">
        <v>1713</v>
      </c>
      <c r="C338" s="1" t="s">
        <v>1146</v>
      </c>
      <c r="D338" s="1">
        <v>2</v>
      </c>
      <c r="E338" s="1">
        <v>0.05</v>
      </c>
      <c r="F338" s="1" t="b">
        <v>0</v>
      </c>
      <c r="G338">
        <f>VLOOKUP(C338,Products!A:D,4,FALSE)</f>
        <v>1630</v>
      </c>
      <c r="H338" t="str">
        <f>VLOOKUP(C338,Products!A:D,3,FALSE)</f>
        <v>Beauty</v>
      </c>
      <c r="I338">
        <f t="shared" si="5"/>
        <v>3097</v>
      </c>
      <c r="J338" s="2">
        <f>VLOOKUP(B338,Orders!A:C,3,FALSE)</f>
        <v>45982</v>
      </c>
      <c r="K338" s="1" t="str">
        <f>VLOOKUP(B338,Orders!A:B,2,FALSE)</f>
        <v>C0238</v>
      </c>
    </row>
    <row r="339" spans="1:11" x14ac:dyDescent="0.3">
      <c r="A339" s="1" t="s">
        <v>1714</v>
      </c>
      <c r="B339" s="1" t="s">
        <v>1713</v>
      </c>
      <c r="C339" s="1" t="s">
        <v>1109</v>
      </c>
      <c r="D339" s="1">
        <v>1</v>
      </c>
      <c r="E339" s="1">
        <v>0</v>
      </c>
      <c r="F339" s="1" t="b">
        <v>0</v>
      </c>
      <c r="G339">
        <f>VLOOKUP(C339,Products!A:D,4,FALSE)</f>
        <v>1475</v>
      </c>
      <c r="H339" t="str">
        <f>VLOOKUP(C339,Products!A:D,3,FALSE)</f>
        <v>Books</v>
      </c>
      <c r="I339">
        <f t="shared" si="5"/>
        <v>1475</v>
      </c>
      <c r="J339" s="2">
        <f>VLOOKUP(B339,Orders!A:C,3,FALSE)</f>
        <v>45982</v>
      </c>
      <c r="K339" s="1" t="str">
        <f>VLOOKUP(B339,Orders!A:B,2,FALSE)</f>
        <v>C0238</v>
      </c>
    </row>
    <row r="340" spans="1:11" x14ac:dyDescent="0.3">
      <c r="A340" s="1" t="s">
        <v>1715</v>
      </c>
      <c r="B340" s="1" t="s">
        <v>1716</v>
      </c>
      <c r="C340" s="1" t="s">
        <v>1202</v>
      </c>
      <c r="D340" s="1">
        <v>2</v>
      </c>
      <c r="E340" s="1">
        <v>0.1</v>
      </c>
      <c r="F340" s="1" t="b">
        <v>0</v>
      </c>
      <c r="G340">
        <f>VLOOKUP(C340,Products!A:D,4,FALSE)</f>
        <v>530</v>
      </c>
      <c r="H340" t="str">
        <f>VLOOKUP(C340,Products!A:D,3,FALSE)</f>
        <v>Beauty</v>
      </c>
      <c r="I340">
        <f t="shared" si="5"/>
        <v>954</v>
      </c>
      <c r="J340" s="2">
        <f>VLOOKUP(B340,Orders!A:C,3,FALSE)</f>
        <v>46057</v>
      </c>
      <c r="K340" s="1" t="str">
        <f>VLOOKUP(B340,Orders!A:B,2,FALSE)</f>
        <v>C0094</v>
      </c>
    </row>
    <row r="341" spans="1:11" x14ac:dyDescent="0.3">
      <c r="A341" s="1" t="s">
        <v>1717</v>
      </c>
      <c r="B341" s="1" t="s">
        <v>1718</v>
      </c>
      <c r="C341" s="1" t="s">
        <v>1719</v>
      </c>
      <c r="D341" s="1">
        <v>4</v>
      </c>
      <c r="E341" s="1">
        <v>0.1</v>
      </c>
      <c r="F341" s="1" t="b">
        <v>0</v>
      </c>
      <c r="G341">
        <f>VLOOKUP(C341,Products!A:D,4,FALSE)</f>
        <v>2790</v>
      </c>
      <c r="H341" t="str">
        <f>VLOOKUP(C341,Products!A:D,3,FALSE)</f>
        <v>Sports</v>
      </c>
      <c r="I341">
        <f t="shared" si="5"/>
        <v>10044</v>
      </c>
      <c r="J341" s="2">
        <f>VLOOKUP(B341,Orders!A:C,3,FALSE)</f>
        <v>45859</v>
      </c>
      <c r="K341" s="1" t="str">
        <f>VLOOKUP(B341,Orders!A:B,2,FALSE)</f>
        <v>C0235</v>
      </c>
    </row>
    <row r="342" spans="1:11" x14ac:dyDescent="0.3">
      <c r="A342" s="1" t="s">
        <v>1720</v>
      </c>
      <c r="B342" s="1" t="s">
        <v>1721</v>
      </c>
      <c r="C342" s="1" t="s">
        <v>1125</v>
      </c>
      <c r="D342" s="1">
        <v>4</v>
      </c>
      <c r="E342" s="1">
        <v>0.05</v>
      </c>
      <c r="F342" s="1" t="b">
        <v>0</v>
      </c>
      <c r="G342">
        <f>VLOOKUP(C342,Products!A:D,4,FALSE)</f>
        <v>99</v>
      </c>
      <c r="H342" t="str">
        <f>VLOOKUP(C342,Products!A:D,3,FALSE)</f>
        <v>Electronics</v>
      </c>
      <c r="I342">
        <f t="shared" si="5"/>
        <v>376.2</v>
      </c>
      <c r="J342" s="2">
        <f>VLOOKUP(B342,Orders!A:C,3,FALSE)</f>
        <v>45945</v>
      </c>
      <c r="K342" s="1" t="str">
        <f>VLOOKUP(B342,Orders!A:B,2,FALSE)</f>
        <v>C0023</v>
      </c>
    </row>
    <row r="343" spans="1:11" x14ac:dyDescent="0.3">
      <c r="A343" s="1" t="s">
        <v>1722</v>
      </c>
      <c r="B343" s="1" t="s">
        <v>1723</v>
      </c>
      <c r="C343" s="1" t="s">
        <v>1462</v>
      </c>
      <c r="D343" s="1">
        <v>3</v>
      </c>
      <c r="E343" s="1">
        <v>0.2</v>
      </c>
      <c r="F343" s="1" t="b">
        <v>0</v>
      </c>
      <c r="G343">
        <f>VLOOKUP(C343,Products!A:D,4,FALSE)</f>
        <v>3070</v>
      </c>
      <c r="H343" t="str">
        <f>VLOOKUP(C343,Products!A:D,3,FALSE)</f>
        <v>Apparel</v>
      </c>
      <c r="I343">
        <f t="shared" si="5"/>
        <v>7368</v>
      </c>
      <c r="J343" s="2">
        <f>VLOOKUP(B343,Orders!A:C,3,FALSE)</f>
        <v>45793</v>
      </c>
      <c r="K343" s="1" t="str">
        <f>VLOOKUP(B343,Orders!A:B,2,FALSE)</f>
        <v>C0022</v>
      </c>
    </row>
    <row r="344" spans="1:11" x14ac:dyDescent="0.3">
      <c r="A344" s="1" t="s">
        <v>1724</v>
      </c>
      <c r="B344" s="1" t="s">
        <v>1725</v>
      </c>
      <c r="C344" s="1" t="s">
        <v>1412</v>
      </c>
      <c r="D344" s="1">
        <v>2</v>
      </c>
      <c r="E344" s="1">
        <v>0.1</v>
      </c>
      <c r="F344" s="1" t="b">
        <v>0</v>
      </c>
      <c r="G344">
        <f>VLOOKUP(C344,Products!A:D,4,FALSE)</f>
        <v>1430</v>
      </c>
      <c r="H344" t="str">
        <f>VLOOKUP(C344,Products!A:D,3,FALSE)</f>
        <v>Books</v>
      </c>
      <c r="I344">
        <f t="shared" si="5"/>
        <v>2574</v>
      </c>
      <c r="J344" s="2">
        <f>VLOOKUP(B344,Orders!A:C,3,FALSE)</f>
        <v>45844</v>
      </c>
      <c r="K344" s="1" t="str">
        <f>VLOOKUP(B344,Orders!A:B,2,FALSE)</f>
        <v>C0264</v>
      </c>
    </row>
    <row r="345" spans="1:11" x14ac:dyDescent="0.3">
      <c r="A345" s="1" t="s">
        <v>1726</v>
      </c>
      <c r="B345" s="1" t="s">
        <v>1727</v>
      </c>
      <c r="C345" s="1" t="s">
        <v>1564</v>
      </c>
      <c r="D345" s="1">
        <v>2</v>
      </c>
      <c r="E345" s="1">
        <v>0.2</v>
      </c>
      <c r="F345" s="1" t="b">
        <v>0</v>
      </c>
      <c r="G345">
        <f>VLOOKUP(C345,Products!A:D,4,FALSE)</f>
        <v>3680</v>
      </c>
      <c r="H345" t="str">
        <f>VLOOKUP(C345,Products!A:D,3,FALSE)</f>
        <v>Home &amp; Kitchen</v>
      </c>
      <c r="I345">
        <f t="shared" si="5"/>
        <v>5888</v>
      </c>
      <c r="J345" s="2">
        <f>VLOOKUP(B345,Orders!A:C,3,FALSE)</f>
        <v>46205</v>
      </c>
      <c r="K345" s="1" t="str">
        <f>VLOOKUP(B345,Orders!A:B,2,FALSE)</f>
        <v>C0243</v>
      </c>
    </row>
    <row r="346" spans="1:11" x14ac:dyDescent="0.3">
      <c r="A346" s="1" t="s">
        <v>1728</v>
      </c>
      <c r="B346" s="1" t="s">
        <v>1729</v>
      </c>
      <c r="C346" s="1" t="s">
        <v>1719</v>
      </c>
      <c r="D346" s="1">
        <v>2</v>
      </c>
      <c r="E346" s="1">
        <v>0.1</v>
      </c>
      <c r="F346" s="1" t="b">
        <v>0</v>
      </c>
      <c r="G346">
        <f>VLOOKUP(C346,Products!A:D,4,FALSE)</f>
        <v>2790</v>
      </c>
      <c r="H346" t="str">
        <f>VLOOKUP(C346,Products!A:D,3,FALSE)</f>
        <v>Sports</v>
      </c>
      <c r="I346">
        <f t="shared" si="5"/>
        <v>5022</v>
      </c>
      <c r="J346" s="2">
        <f>VLOOKUP(B346,Orders!A:C,3,FALSE)</f>
        <v>46010</v>
      </c>
      <c r="K346" s="1" t="str">
        <f>VLOOKUP(B346,Orders!A:B,2,FALSE)</f>
        <v>C0147</v>
      </c>
    </row>
    <row r="347" spans="1:11" x14ac:dyDescent="0.3">
      <c r="A347" s="1" t="s">
        <v>1730</v>
      </c>
      <c r="B347" s="1" t="s">
        <v>1731</v>
      </c>
      <c r="C347" s="1" t="s">
        <v>1247</v>
      </c>
      <c r="D347" s="1">
        <v>2</v>
      </c>
      <c r="E347" s="1">
        <v>0</v>
      </c>
      <c r="F347" s="1" t="b">
        <v>0</v>
      </c>
      <c r="G347">
        <f>VLOOKUP(C347,Products!A:D,4,FALSE)</f>
        <v>2210</v>
      </c>
      <c r="H347" t="str">
        <f>VLOOKUP(C347,Products!A:D,3,FALSE)</f>
        <v>Beauty</v>
      </c>
      <c r="I347">
        <f t="shared" si="5"/>
        <v>4420</v>
      </c>
      <c r="J347" s="2">
        <f>VLOOKUP(B347,Orders!A:C,3,FALSE)</f>
        <v>45964</v>
      </c>
      <c r="K347" s="1" t="str">
        <f>VLOOKUP(B347,Orders!A:B,2,FALSE)</f>
        <v>C0170</v>
      </c>
    </row>
    <row r="348" spans="1:11" x14ac:dyDescent="0.3">
      <c r="A348" s="1" t="s">
        <v>1732</v>
      </c>
      <c r="B348" s="1" t="s">
        <v>1733</v>
      </c>
      <c r="C348" s="1" t="s">
        <v>1433</v>
      </c>
      <c r="D348" s="1">
        <v>4</v>
      </c>
      <c r="E348" s="1">
        <v>0.2</v>
      </c>
      <c r="F348" s="1" t="b">
        <v>0</v>
      </c>
      <c r="G348">
        <f>VLOOKUP(C348,Products!A:D,4,FALSE)</f>
        <v>110</v>
      </c>
      <c r="H348" t="str">
        <f>VLOOKUP(C348,Products!A:D,3,FALSE)</f>
        <v>Home &amp; Kitchen</v>
      </c>
      <c r="I348">
        <f t="shared" si="5"/>
        <v>352</v>
      </c>
      <c r="J348" s="2">
        <f>VLOOKUP(B348,Orders!A:C,3,FALSE)</f>
        <v>45815</v>
      </c>
      <c r="K348" s="1" t="str">
        <f>VLOOKUP(B348,Orders!A:B,2,FALSE)</f>
        <v>C0224</v>
      </c>
    </row>
    <row r="349" spans="1:11" x14ac:dyDescent="0.3">
      <c r="A349" s="1" t="s">
        <v>1734</v>
      </c>
      <c r="B349" s="1" t="s">
        <v>1733</v>
      </c>
      <c r="C349" s="1" t="s">
        <v>1146</v>
      </c>
      <c r="D349" s="1">
        <v>2</v>
      </c>
      <c r="E349" s="1">
        <v>0.05</v>
      </c>
      <c r="F349" s="1" t="b">
        <v>0</v>
      </c>
      <c r="G349">
        <f>VLOOKUP(C349,Products!A:D,4,FALSE)</f>
        <v>1630</v>
      </c>
      <c r="H349" t="str">
        <f>VLOOKUP(C349,Products!A:D,3,FALSE)</f>
        <v>Beauty</v>
      </c>
      <c r="I349">
        <f t="shared" si="5"/>
        <v>3097</v>
      </c>
      <c r="J349" s="2">
        <f>VLOOKUP(B349,Orders!A:C,3,FALSE)</f>
        <v>45815</v>
      </c>
      <c r="K349" s="1" t="str">
        <f>VLOOKUP(B349,Orders!A:B,2,FALSE)</f>
        <v>C0224</v>
      </c>
    </row>
    <row r="350" spans="1:11" x14ac:dyDescent="0.3">
      <c r="A350" s="1" t="s">
        <v>1735</v>
      </c>
      <c r="B350" s="1" t="s">
        <v>1733</v>
      </c>
      <c r="C350" s="1" t="s">
        <v>1273</v>
      </c>
      <c r="D350" s="1">
        <v>3</v>
      </c>
      <c r="E350" s="1">
        <v>0.2</v>
      </c>
      <c r="F350" s="1" t="b">
        <v>1</v>
      </c>
      <c r="G350">
        <f>VLOOKUP(C350,Products!A:D,4,FALSE)</f>
        <v>360</v>
      </c>
      <c r="H350" t="str">
        <f>VLOOKUP(C350,Products!A:D,3,FALSE)</f>
        <v>Beauty</v>
      </c>
      <c r="I350">
        <f t="shared" si="5"/>
        <v>864</v>
      </c>
      <c r="J350" s="2">
        <f>VLOOKUP(B350,Orders!A:C,3,FALSE)</f>
        <v>45815</v>
      </c>
      <c r="K350" s="1" t="str">
        <f>VLOOKUP(B350,Orders!A:B,2,FALSE)</f>
        <v>C0224</v>
      </c>
    </row>
    <row r="351" spans="1:11" x14ac:dyDescent="0.3">
      <c r="A351" s="1" t="s">
        <v>1736</v>
      </c>
      <c r="B351" s="1" t="s">
        <v>1737</v>
      </c>
      <c r="C351" s="1" t="s">
        <v>1143</v>
      </c>
      <c r="D351" s="1">
        <v>3</v>
      </c>
      <c r="E351" s="1">
        <v>0.2</v>
      </c>
      <c r="F351" s="1" t="b">
        <v>0</v>
      </c>
      <c r="G351">
        <f>VLOOKUP(C351,Products!A:D,4,FALSE)</f>
        <v>2230</v>
      </c>
      <c r="H351" t="str">
        <f>VLOOKUP(C351,Products!A:D,3,FALSE)</f>
        <v>Home &amp; Kitchen</v>
      </c>
      <c r="I351">
        <f t="shared" si="5"/>
        <v>5352</v>
      </c>
      <c r="J351" s="2">
        <f>VLOOKUP(B351,Orders!A:C,3,FALSE)</f>
        <v>45786</v>
      </c>
      <c r="K351" s="1" t="str">
        <f>VLOOKUP(B351,Orders!A:B,2,FALSE)</f>
        <v>C0198</v>
      </c>
    </row>
    <row r="352" spans="1:11" x14ac:dyDescent="0.3">
      <c r="A352" s="1" t="s">
        <v>1738</v>
      </c>
      <c r="B352" s="1" t="s">
        <v>1737</v>
      </c>
      <c r="C352" s="1" t="s">
        <v>1135</v>
      </c>
      <c r="D352" s="1">
        <v>3</v>
      </c>
      <c r="E352" s="1">
        <v>0</v>
      </c>
      <c r="F352" s="1" t="b">
        <v>0</v>
      </c>
      <c r="G352">
        <f>VLOOKUP(C352,Products!A:D,4,FALSE)</f>
        <v>470</v>
      </c>
      <c r="H352" t="str">
        <f>VLOOKUP(C352,Products!A:D,3,FALSE)</f>
        <v>Apparel</v>
      </c>
      <c r="I352">
        <f t="shared" si="5"/>
        <v>1410</v>
      </c>
      <c r="J352" s="2">
        <f>VLOOKUP(B352,Orders!A:C,3,FALSE)</f>
        <v>45786</v>
      </c>
      <c r="K352" s="1" t="str">
        <f>VLOOKUP(B352,Orders!A:B,2,FALSE)</f>
        <v>C0198</v>
      </c>
    </row>
    <row r="353" spans="1:11" x14ac:dyDescent="0.3">
      <c r="A353" s="1" t="s">
        <v>1739</v>
      </c>
      <c r="B353" s="1" t="s">
        <v>1740</v>
      </c>
      <c r="C353" s="1" t="s">
        <v>1257</v>
      </c>
      <c r="D353" s="1">
        <v>1</v>
      </c>
      <c r="E353" s="1">
        <v>0.05</v>
      </c>
      <c r="F353" s="1" t="b">
        <v>0</v>
      </c>
      <c r="G353">
        <f>VLOOKUP(C353,Products!A:D,4,FALSE)</f>
        <v>1760</v>
      </c>
      <c r="H353" t="str">
        <f>VLOOKUP(C353,Products!A:D,3,FALSE)</f>
        <v>Books</v>
      </c>
      <c r="I353">
        <f t="shared" si="5"/>
        <v>1672</v>
      </c>
      <c r="J353" s="2">
        <f>VLOOKUP(B353,Orders!A:C,3,FALSE)</f>
        <v>45994</v>
      </c>
      <c r="K353" s="1" t="str">
        <f>VLOOKUP(B353,Orders!A:B,2,FALSE)</f>
        <v>C0255</v>
      </c>
    </row>
    <row r="354" spans="1:11" x14ac:dyDescent="0.3">
      <c r="A354" s="1" t="s">
        <v>1741</v>
      </c>
      <c r="B354" s="1" t="s">
        <v>1740</v>
      </c>
      <c r="C354" s="1" t="s">
        <v>1219</v>
      </c>
      <c r="D354" s="1">
        <v>2</v>
      </c>
      <c r="E354" s="1">
        <v>0</v>
      </c>
      <c r="F354" s="1" t="b">
        <v>0</v>
      </c>
      <c r="G354">
        <f>VLOOKUP(C354,Products!A:D,4,FALSE)</f>
        <v>2090</v>
      </c>
      <c r="H354" t="str">
        <f>VLOOKUP(C354,Products!A:D,3,FALSE)</f>
        <v>Beauty</v>
      </c>
      <c r="I354">
        <f t="shared" si="5"/>
        <v>4180</v>
      </c>
      <c r="J354" s="2">
        <f>VLOOKUP(B354,Orders!A:C,3,FALSE)</f>
        <v>45994</v>
      </c>
      <c r="K354" s="1" t="str">
        <f>VLOOKUP(B354,Orders!A:B,2,FALSE)</f>
        <v>C0255</v>
      </c>
    </row>
    <row r="355" spans="1:11" x14ac:dyDescent="0.3">
      <c r="A355" s="1" t="s">
        <v>1742</v>
      </c>
      <c r="B355" s="1" t="s">
        <v>1743</v>
      </c>
      <c r="C355" s="1" t="s">
        <v>1176</v>
      </c>
      <c r="D355" s="1">
        <v>4</v>
      </c>
      <c r="E355" s="1">
        <v>0.2</v>
      </c>
      <c r="F355" s="1" t="b">
        <v>0</v>
      </c>
      <c r="G355">
        <f>VLOOKUP(C355,Products!A:D,4,FALSE)</f>
        <v>2670</v>
      </c>
      <c r="H355" t="str">
        <f>VLOOKUP(C355,Products!A:D,3,FALSE)</f>
        <v>Beauty</v>
      </c>
      <c r="I355">
        <f t="shared" si="5"/>
        <v>8544</v>
      </c>
      <c r="J355" s="2">
        <f>VLOOKUP(B355,Orders!A:C,3,FALSE)</f>
        <v>46070</v>
      </c>
      <c r="K355" s="1" t="str">
        <f>VLOOKUP(B355,Orders!A:B,2,FALSE)</f>
        <v>C0266</v>
      </c>
    </row>
    <row r="356" spans="1:11" x14ac:dyDescent="0.3">
      <c r="A356" s="1" t="s">
        <v>1744</v>
      </c>
      <c r="B356" s="1" t="s">
        <v>1745</v>
      </c>
      <c r="C356" s="1" t="s">
        <v>1412</v>
      </c>
      <c r="D356" s="1">
        <v>3</v>
      </c>
      <c r="E356" s="1">
        <v>0</v>
      </c>
      <c r="F356" s="1" t="b">
        <v>0</v>
      </c>
      <c r="G356">
        <f>VLOOKUP(C356,Products!A:D,4,FALSE)</f>
        <v>1430</v>
      </c>
      <c r="H356" t="str">
        <f>VLOOKUP(C356,Products!A:D,3,FALSE)</f>
        <v>Books</v>
      </c>
      <c r="I356">
        <f t="shared" si="5"/>
        <v>4290</v>
      </c>
      <c r="J356" s="2">
        <f>VLOOKUP(B356,Orders!A:C,3,FALSE)</f>
        <v>45755</v>
      </c>
      <c r="K356" s="1" t="str">
        <f>VLOOKUP(B356,Orders!A:B,2,FALSE)</f>
        <v>C0218</v>
      </c>
    </row>
    <row r="357" spans="1:11" x14ac:dyDescent="0.3">
      <c r="A357" s="1" t="s">
        <v>1746</v>
      </c>
      <c r="B357" s="1" t="s">
        <v>1745</v>
      </c>
      <c r="C357" s="1" t="s">
        <v>1174</v>
      </c>
      <c r="D357" s="1">
        <v>3</v>
      </c>
      <c r="E357" s="1">
        <v>0.1</v>
      </c>
      <c r="F357" s="1" t="b">
        <v>0</v>
      </c>
      <c r="G357">
        <f>VLOOKUP(C357,Products!A:D,4,FALSE)</f>
        <v>1250</v>
      </c>
      <c r="H357" t="str">
        <f>VLOOKUP(C357,Products!A:D,3,FALSE)</f>
        <v>Sports</v>
      </c>
      <c r="I357">
        <f t="shared" si="5"/>
        <v>3375</v>
      </c>
      <c r="J357" s="2">
        <f>VLOOKUP(B357,Orders!A:C,3,FALSE)</f>
        <v>45755</v>
      </c>
      <c r="K357" s="1" t="str">
        <f>VLOOKUP(B357,Orders!A:B,2,FALSE)</f>
        <v>C0218</v>
      </c>
    </row>
    <row r="358" spans="1:11" x14ac:dyDescent="0.3">
      <c r="A358" s="1" t="s">
        <v>1747</v>
      </c>
      <c r="B358" s="1" t="s">
        <v>1748</v>
      </c>
      <c r="C358" s="1" t="s">
        <v>1176</v>
      </c>
      <c r="D358" s="1">
        <v>3</v>
      </c>
      <c r="E358" s="1">
        <v>0</v>
      </c>
      <c r="F358" s="1" t="b">
        <v>0</v>
      </c>
      <c r="G358">
        <f>VLOOKUP(C358,Products!A:D,4,FALSE)</f>
        <v>2670</v>
      </c>
      <c r="H358" t="str">
        <f>VLOOKUP(C358,Products!A:D,3,FALSE)</f>
        <v>Beauty</v>
      </c>
      <c r="I358">
        <f t="shared" si="5"/>
        <v>8010</v>
      </c>
      <c r="J358" s="2">
        <f>VLOOKUP(B358,Orders!A:C,3,FALSE)</f>
        <v>46163</v>
      </c>
      <c r="K358" s="1" t="str">
        <f>VLOOKUP(B358,Orders!A:B,2,FALSE)</f>
        <v>C0093</v>
      </c>
    </row>
    <row r="359" spans="1:11" x14ac:dyDescent="0.3">
      <c r="A359" s="1" t="s">
        <v>1749</v>
      </c>
      <c r="B359" s="1" t="s">
        <v>1748</v>
      </c>
      <c r="C359" s="1" t="s">
        <v>1290</v>
      </c>
      <c r="D359" s="1">
        <v>1</v>
      </c>
      <c r="E359" s="1">
        <v>0</v>
      </c>
      <c r="F359" s="1" t="b">
        <v>0</v>
      </c>
      <c r="G359">
        <f>VLOOKUP(C359,Products!A:D,4,FALSE)</f>
        <v>990</v>
      </c>
      <c r="H359" t="str">
        <f>VLOOKUP(C359,Products!A:D,3,FALSE)</f>
        <v>Books</v>
      </c>
      <c r="I359">
        <f t="shared" si="5"/>
        <v>990</v>
      </c>
      <c r="J359" s="2">
        <f>VLOOKUP(B359,Orders!A:C,3,FALSE)</f>
        <v>46163</v>
      </c>
      <c r="K359" s="1" t="str">
        <f>VLOOKUP(B359,Orders!A:B,2,FALSE)</f>
        <v>C0093</v>
      </c>
    </row>
    <row r="360" spans="1:11" x14ac:dyDescent="0.3">
      <c r="A360" s="1" t="s">
        <v>1750</v>
      </c>
      <c r="B360" s="1" t="s">
        <v>1751</v>
      </c>
      <c r="C360" s="1" t="s">
        <v>1333</v>
      </c>
      <c r="D360" s="1">
        <v>2</v>
      </c>
      <c r="E360" s="1">
        <v>0.1</v>
      </c>
      <c r="F360" s="1" t="b">
        <v>0</v>
      </c>
      <c r="G360">
        <f>VLOOKUP(C360,Products!A:D,4,FALSE)</f>
        <v>1440</v>
      </c>
      <c r="H360" t="str">
        <f>VLOOKUP(C360,Products!A:D,3,FALSE)</f>
        <v>Home &amp; Kitchen</v>
      </c>
      <c r="I360">
        <f t="shared" si="5"/>
        <v>2592</v>
      </c>
      <c r="J360" s="2">
        <f>VLOOKUP(B360,Orders!A:C,3,FALSE)</f>
        <v>46009</v>
      </c>
      <c r="K360" s="1" t="str">
        <f>VLOOKUP(B360,Orders!A:B,2,FALSE)</f>
        <v>C0053</v>
      </c>
    </row>
    <row r="361" spans="1:11" x14ac:dyDescent="0.3">
      <c r="A361" s="1" t="s">
        <v>1752</v>
      </c>
      <c r="B361" s="1" t="s">
        <v>1751</v>
      </c>
      <c r="C361" s="1" t="s">
        <v>1564</v>
      </c>
      <c r="D361" s="1">
        <v>5</v>
      </c>
      <c r="E361" s="1">
        <v>0</v>
      </c>
      <c r="F361" s="1" t="b">
        <v>0</v>
      </c>
      <c r="G361">
        <f>VLOOKUP(C361,Products!A:D,4,FALSE)</f>
        <v>3680</v>
      </c>
      <c r="H361" t="str">
        <f>VLOOKUP(C361,Products!A:D,3,FALSE)</f>
        <v>Home &amp; Kitchen</v>
      </c>
      <c r="I361">
        <f t="shared" si="5"/>
        <v>18400</v>
      </c>
      <c r="J361" s="2">
        <f>VLOOKUP(B361,Orders!A:C,3,FALSE)</f>
        <v>46009</v>
      </c>
      <c r="K361" s="1" t="str">
        <f>VLOOKUP(B361,Orders!A:B,2,FALSE)</f>
        <v>C0053</v>
      </c>
    </row>
    <row r="362" spans="1:11" x14ac:dyDescent="0.3">
      <c r="A362" s="1" t="s">
        <v>1753</v>
      </c>
      <c r="B362" s="1" t="s">
        <v>1751</v>
      </c>
      <c r="C362" s="1" t="s">
        <v>1197</v>
      </c>
      <c r="D362" s="1">
        <v>3</v>
      </c>
      <c r="E362" s="1">
        <v>0</v>
      </c>
      <c r="F362" s="1" t="b">
        <v>0</v>
      </c>
      <c r="G362">
        <f>VLOOKUP(C362,Products!A:D,4,FALSE)</f>
        <v>2050</v>
      </c>
      <c r="H362" t="str">
        <f>VLOOKUP(C362,Products!A:D,3,FALSE)</f>
        <v>Apparel</v>
      </c>
      <c r="I362">
        <f t="shared" si="5"/>
        <v>6150</v>
      </c>
      <c r="J362" s="2">
        <f>VLOOKUP(B362,Orders!A:C,3,FALSE)</f>
        <v>46009</v>
      </c>
      <c r="K362" s="1" t="str">
        <f>VLOOKUP(B362,Orders!A:B,2,FALSE)</f>
        <v>C0053</v>
      </c>
    </row>
    <row r="363" spans="1:11" x14ac:dyDescent="0.3">
      <c r="A363" s="1" t="s">
        <v>1754</v>
      </c>
      <c r="B363" s="1" t="s">
        <v>1755</v>
      </c>
      <c r="C363" s="1" t="s">
        <v>1135</v>
      </c>
      <c r="D363" s="1">
        <v>4</v>
      </c>
      <c r="E363" s="1">
        <v>0</v>
      </c>
      <c r="F363" s="1" t="b">
        <v>0</v>
      </c>
      <c r="G363">
        <f>VLOOKUP(C363,Products!A:D,4,FALSE)</f>
        <v>470</v>
      </c>
      <c r="H363" t="str">
        <f>VLOOKUP(C363,Products!A:D,3,FALSE)</f>
        <v>Apparel</v>
      </c>
      <c r="I363">
        <f t="shared" si="5"/>
        <v>1880</v>
      </c>
      <c r="J363" s="2">
        <f>VLOOKUP(B363,Orders!A:C,3,FALSE)</f>
        <v>45798</v>
      </c>
      <c r="K363" s="1" t="str">
        <f>VLOOKUP(B363,Orders!A:B,2,FALSE)</f>
        <v>C0157</v>
      </c>
    </row>
    <row r="364" spans="1:11" x14ac:dyDescent="0.3">
      <c r="A364" s="1" t="s">
        <v>1756</v>
      </c>
      <c r="B364" s="1" t="s">
        <v>1755</v>
      </c>
      <c r="C364" s="1" t="s">
        <v>1247</v>
      </c>
      <c r="D364" s="1">
        <v>5</v>
      </c>
      <c r="E364" s="1">
        <v>0</v>
      </c>
      <c r="F364" s="1" t="b">
        <v>0</v>
      </c>
      <c r="G364">
        <f>VLOOKUP(C364,Products!A:D,4,FALSE)</f>
        <v>2210</v>
      </c>
      <c r="H364" t="str">
        <f>VLOOKUP(C364,Products!A:D,3,FALSE)</f>
        <v>Beauty</v>
      </c>
      <c r="I364">
        <f t="shared" si="5"/>
        <v>11050</v>
      </c>
      <c r="J364" s="2">
        <f>VLOOKUP(B364,Orders!A:C,3,FALSE)</f>
        <v>45798</v>
      </c>
      <c r="K364" s="1" t="str">
        <f>VLOOKUP(B364,Orders!A:B,2,FALSE)</f>
        <v>C0157</v>
      </c>
    </row>
    <row r="365" spans="1:11" x14ac:dyDescent="0.3">
      <c r="A365" s="1" t="s">
        <v>1757</v>
      </c>
      <c r="B365" s="1" t="s">
        <v>1758</v>
      </c>
      <c r="C365" s="1" t="s">
        <v>1459</v>
      </c>
      <c r="D365" s="1">
        <v>2</v>
      </c>
      <c r="E365" s="1">
        <v>0.15</v>
      </c>
      <c r="F365" s="1" t="b">
        <v>0</v>
      </c>
      <c r="G365">
        <f>VLOOKUP(C365,Products!A:D,4,FALSE)</f>
        <v>710</v>
      </c>
      <c r="H365" t="str">
        <f>VLOOKUP(C365,Products!A:D,3,FALSE)</f>
        <v>Sports</v>
      </c>
      <c r="I365">
        <f t="shared" si="5"/>
        <v>1207</v>
      </c>
      <c r="J365" s="2">
        <f>VLOOKUP(B365,Orders!A:C,3,FALSE)</f>
        <v>45998</v>
      </c>
      <c r="K365" s="1" t="str">
        <f>VLOOKUP(B365,Orders!A:B,2,FALSE)</f>
        <v>C0086</v>
      </c>
    </row>
    <row r="366" spans="1:11" x14ac:dyDescent="0.3">
      <c r="A366" s="1" t="s">
        <v>1759</v>
      </c>
      <c r="B366" s="1" t="s">
        <v>1760</v>
      </c>
      <c r="C366" s="1" t="s">
        <v>1121</v>
      </c>
      <c r="D366" s="1">
        <v>4</v>
      </c>
      <c r="E366" s="1">
        <v>0.15</v>
      </c>
      <c r="F366" s="1" t="b">
        <v>0</v>
      </c>
      <c r="G366">
        <f>VLOOKUP(C366,Products!A:D,4,FALSE)</f>
        <v>1440</v>
      </c>
      <c r="H366" t="str">
        <f>VLOOKUP(C366,Products!A:D,3,FALSE)</f>
        <v>Sports</v>
      </c>
      <c r="I366">
        <f t="shared" si="5"/>
        <v>4896</v>
      </c>
      <c r="J366" s="2">
        <f>VLOOKUP(B366,Orders!A:C,3,FALSE)</f>
        <v>45805</v>
      </c>
      <c r="K366" s="1" t="str">
        <f>VLOOKUP(B366,Orders!A:B,2,FALSE)</f>
        <v>C0229</v>
      </c>
    </row>
    <row r="367" spans="1:11" x14ac:dyDescent="0.3">
      <c r="A367" s="1" t="s">
        <v>1761</v>
      </c>
      <c r="B367" s="1" t="s">
        <v>1760</v>
      </c>
      <c r="C367" s="1" t="s">
        <v>1137</v>
      </c>
      <c r="D367" s="1">
        <v>5</v>
      </c>
      <c r="E367" s="1">
        <v>0.05</v>
      </c>
      <c r="F367" s="1" t="b">
        <v>0</v>
      </c>
      <c r="G367">
        <f>VLOOKUP(C367,Products!A:D,4,FALSE)</f>
        <v>1910</v>
      </c>
      <c r="H367" t="str">
        <f>VLOOKUP(C367,Products!A:D,3,FALSE)</f>
        <v>Apparel</v>
      </c>
      <c r="I367">
        <f t="shared" si="5"/>
        <v>9072.5</v>
      </c>
      <c r="J367" s="2">
        <f>VLOOKUP(B367,Orders!A:C,3,FALSE)</f>
        <v>45805</v>
      </c>
      <c r="K367" s="1" t="str">
        <f>VLOOKUP(B367,Orders!A:B,2,FALSE)</f>
        <v>C0229</v>
      </c>
    </row>
    <row r="368" spans="1:11" x14ac:dyDescent="0.3">
      <c r="A368" s="1" t="s">
        <v>1762</v>
      </c>
      <c r="B368" s="1" t="s">
        <v>1760</v>
      </c>
      <c r="C368" s="1" t="s">
        <v>1111</v>
      </c>
      <c r="D368" s="1">
        <v>1</v>
      </c>
      <c r="E368" s="1">
        <v>0</v>
      </c>
      <c r="F368" s="1" t="b">
        <v>0</v>
      </c>
      <c r="G368">
        <f>VLOOKUP(C368,Products!A:D,4,FALSE)</f>
        <v>2450</v>
      </c>
      <c r="H368" t="str">
        <f>VLOOKUP(C368,Products!A:D,3,FALSE)</f>
        <v>Sports</v>
      </c>
      <c r="I368">
        <f t="shared" si="5"/>
        <v>2450</v>
      </c>
      <c r="J368" s="2">
        <f>VLOOKUP(B368,Orders!A:C,3,FALSE)</f>
        <v>45805</v>
      </c>
      <c r="K368" s="1" t="str">
        <f>VLOOKUP(B368,Orders!A:B,2,FALSE)</f>
        <v>C0229</v>
      </c>
    </row>
    <row r="369" spans="1:11" x14ac:dyDescent="0.3">
      <c r="A369" s="1" t="s">
        <v>1763</v>
      </c>
      <c r="B369" s="1" t="s">
        <v>1764</v>
      </c>
      <c r="C369" s="1" t="s">
        <v>1225</v>
      </c>
      <c r="D369" s="1">
        <v>3</v>
      </c>
      <c r="E369" s="1">
        <v>0.15</v>
      </c>
      <c r="F369" s="1" t="b">
        <v>0</v>
      </c>
      <c r="G369">
        <f>VLOOKUP(C369,Products!A:D,4,FALSE)</f>
        <v>2690</v>
      </c>
      <c r="H369" t="str">
        <f>VLOOKUP(C369,Products!A:D,3,FALSE)</f>
        <v>Beauty</v>
      </c>
      <c r="I369">
        <f t="shared" si="5"/>
        <v>6859.5</v>
      </c>
      <c r="J369" s="2">
        <f>VLOOKUP(B369,Orders!A:C,3,FALSE)</f>
        <v>46064</v>
      </c>
      <c r="K369" s="1" t="str">
        <f>VLOOKUP(B369,Orders!A:B,2,FALSE)</f>
        <v>C0223</v>
      </c>
    </row>
    <row r="370" spans="1:11" x14ac:dyDescent="0.3">
      <c r="A370" s="1" t="s">
        <v>1765</v>
      </c>
      <c r="B370" s="1" t="s">
        <v>1766</v>
      </c>
      <c r="C370" s="1" t="s">
        <v>1719</v>
      </c>
      <c r="D370" s="1">
        <v>5</v>
      </c>
      <c r="E370" s="1">
        <v>0.15</v>
      </c>
      <c r="F370" s="1" t="b">
        <v>0</v>
      </c>
      <c r="G370">
        <f>VLOOKUP(C370,Products!A:D,4,FALSE)</f>
        <v>2790</v>
      </c>
      <c r="H370" t="str">
        <f>VLOOKUP(C370,Products!A:D,3,FALSE)</f>
        <v>Sports</v>
      </c>
      <c r="I370">
        <f t="shared" si="5"/>
        <v>11857.5</v>
      </c>
      <c r="J370" s="2">
        <f>VLOOKUP(B370,Orders!A:C,3,FALSE)</f>
        <v>46187</v>
      </c>
      <c r="K370" s="1" t="str">
        <f>VLOOKUP(B370,Orders!A:B,2,FALSE)</f>
        <v>C0039</v>
      </c>
    </row>
    <row r="371" spans="1:11" x14ac:dyDescent="0.3">
      <c r="A371" s="1" t="s">
        <v>1767</v>
      </c>
      <c r="B371" s="1" t="s">
        <v>1768</v>
      </c>
      <c r="C371" s="1" t="s">
        <v>1182</v>
      </c>
      <c r="D371" s="1">
        <v>3</v>
      </c>
      <c r="E371" s="1">
        <v>0.15</v>
      </c>
      <c r="F371" s="1" t="b">
        <v>0</v>
      </c>
      <c r="G371">
        <f>VLOOKUP(C371,Products!A:D,4,FALSE)</f>
        <v>790</v>
      </c>
      <c r="H371" t="str">
        <f>VLOOKUP(C371,Products!A:D,3,FALSE)</f>
        <v>Sports</v>
      </c>
      <c r="I371">
        <f t="shared" si="5"/>
        <v>2014.5</v>
      </c>
      <c r="J371" s="2">
        <f>VLOOKUP(B371,Orders!A:C,3,FALSE)</f>
        <v>46225</v>
      </c>
      <c r="K371" s="1" t="str">
        <f>VLOOKUP(B371,Orders!A:B,2,FALSE)</f>
        <v>C0187</v>
      </c>
    </row>
    <row r="372" spans="1:11" x14ac:dyDescent="0.3">
      <c r="A372" s="1" t="s">
        <v>1769</v>
      </c>
      <c r="B372" s="1" t="s">
        <v>1770</v>
      </c>
      <c r="C372" s="1" t="s">
        <v>1412</v>
      </c>
      <c r="D372" s="1">
        <v>4</v>
      </c>
      <c r="E372" s="1">
        <v>0</v>
      </c>
      <c r="F372" s="1" t="b">
        <v>0</v>
      </c>
      <c r="G372">
        <f>VLOOKUP(C372,Products!A:D,4,FALSE)</f>
        <v>1430</v>
      </c>
      <c r="H372" t="str">
        <f>VLOOKUP(C372,Products!A:D,3,FALSE)</f>
        <v>Books</v>
      </c>
      <c r="I372">
        <f t="shared" si="5"/>
        <v>5720</v>
      </c>
      <c r="J372" s="2">
        <f>VLOOKUP(B372,Orders!A:C,3,FALSE)</f>
        <v>46158</v>
      </c>
      <c r="K372" s="1" t="str">
        <f>VLOOKUP(B372,Orders!A:B,2,FALSE)</f>
        <v>C0082</v>
      </c>
    </row>
    <row r="373" spans="1:11" x14ac:dyDescent="0.3">
      <c r="A373" s="1" t="s">
        <v>1771</v>
      </c>
      <c r="B373" s="1" t="s">
        <v>1770</v>
      </c>
      <c r="C373" s="1" t="s">
        <v>1125</v>
      </c>
      <c r="D373" s="1">
        <v>1</v>
      </c>
      <c r="E373" s="1">
        <v>0</v>
      </c>
      <c r="F373" s="1" t="b">
        <v>0</v>
      </c>
      <c r="G373">
        <f>VLOOKUP(C373,Products!A:D,4,FALSE)</f>
        <v>99</v>
      </c>
      <c r="H373" t="str">
        <f>VLOOKUP(C373,Products!A:D,3,FALSE)</f>
        <v>Electronics</v>
      </c>
      <c r="I373">
        <f t="shared" si="5"/>
        <v>99</v>
      </c>
      <c r="J373" s="2">
        <f>VLOOKUP(B373,Orders!A:C,3,FALSE)</f>
        <v>46158</v>
      </c>
      <c r="K373" s="1" t="str">
        <f>VLOOKUP(B373,Orders!A:B,2,FALSE)</f>
        <v>C0082</v>
      </c>
    </row>
    <row r="374" spans="1:11" x14ac:dyDescent="0.3">
      <c r="A374" s="1" t="s">
        <v>1772</v>
      </c>
      <c r="B374" s="1" t="s">
        <v>1773</v>
      </c>
      <c r="C374" s="1" t="s">
        <v>1176</v>
      </c>
      <c r="D374" s="1">
        <v>1</v>
      </c>
      <c r="E374" s="1">
        <v>0</v>
      </c>
      <c r="F374" s="1" t="b">
        <v>0</v>
      </c>
      <c r="G374">
        <f>VLOOKUP(C374,Products!A:D,4,FALSE)</f>
        <v>2670</v>
      </c>
      <c r="H374" t="str">
        <f>VLOOKUP(C374,Products!A:D,3,FALSE)</f>
        <v>Beauty</v>
      </c>
      <c r="I374">
        <f t="shared" si="5"/>
        <v>2670</v>
      </c>
      <c r="J374" s="2">
        <f>VLOOKUP(B374,Orders!A:C,3,FALSE)</f>
        <v>46089</v>
      </c>
      <c r="K374" s="1" t="str">
        <f>VLOOKUP(B374,Orders!A:B,2,FALSE)</f>
        <v>C0225</v>
      </c>
    </row>
    <row r="375" spans="1:11" x14ac:dyDescent="0.3">
      <c r="A375" s="1" t="s">
        <v>1774</v>
      </c>
      <c r="B375" s="1" t="s">
        <v>1773</v>
      </c>
      <c r="C375" s="1" t="s">
        <v>1230</v>
      </c>
      <c r="D375" s="1">
        <v>4</v>
      </c>
      <c r="E375" s="1">
        <v>0</v>
      </c>
      <c r="F375" s="1" t="b">
        <v>0</v>
      </c>
      <c r="G375">
        <f>VLOOKUP(C375,Products!A:D,4,FALSE)</f>
        <v>1530</v>
      </c>
      <c r="H375" t="str">
        <f>VLOOKUP(C375,Products!A:D,3,FALSE)</f>
        <v>Beauty</v>
      </c>
      <c r="I375">
        <f t="shared" si="5"/>
        <v>6120</v>
      </c>
      <c r="J375" s="2">
        <f>VLOOKUP(B375,Orders!A:C,3,FALSE)</f>
        <v>46089</v>
      </c>
      <c r="K375" s="1" t="str">
        <f>VLOOKUP(B375,Orders!A:B,2,FALSE)</f>
        <v>C0225</v>
      </c>
    </row>
    <row r="376" spans="1:11" x14ac:dyDescent="0.3">
      <c r="A376" s="1" t="s">
        <v>1775</v>
      </c>
      <c r="B376" s="1" t="s">
        <v>1776</v>
      </c>
      <c r="C376" s="1" t="s">
        <v>1302</v>
      </c>
      <c r="D376" s="1">
        <v>5</v>
      </c>
      <c r="E376" s="1">
        <v>0</v>
      </c>
      <c r="F376" s="1" t="b">
        <v>0</v>
      </c>
      <c r="G376">
        <f>VLOOKUP(C376,Products!A:D,4,FALSE)</f>
        <v>1220</v>
      </c>
      <c r="H376" t="str">
        <f>VLOOKUP(C376,Products!A:D,3,FALSE)</f>
        <v>Home &amp; Kitchen</v>
      </c>
      <c r="I376">
        <f t="shared" si="5"/>
        <v>6100</v>
      </c>
      <c r="J376" s="2">
        <f>VLOOKUP(B376,Orders!A:C,3,FALSE)</f>
        <v>46020</v>
      </c>
      <c r="K376" s="1" t="str">
        <f>VLOOKUP(B376,Orders!A:B,2,FALSE)</f>
        <v>C0121</v>
      </c>
    </row>
    <row r="377" spans="1:11" x14ac:dyDescent="0.3">
      <c r="A377" s="1" t="s">
        <v>1777</v>
      </c>
      <c r="B377" s="1" t="s">
        <v>1778</v>
      </c>
      <c r="C377" s="1" t="s">
        <v>1315</v>
      </c>
      <c r="D377" s="1">
        <v>5</v>
      </c>
      <c r="E377" s="1">
        <v>0.2</v>
      </c>
      <c r="F377" s="1" t="b">
        <v>0</v>
      </c>
      <c r="G377">
        <f>VLOOKUP(C377,Products!A:D,4,FALSE)</f>
        <v>2190</v>
      </c>
      <c r="H377" t="str">
        <f>VLOOKUP(C377,Products!A:D,3,FALSE)</f>
        <v>Electronics</v>
      </c>
      <c r="I377">
        <f t="shared" si="5"/>
        <v>8760</v>
      </c>
      <c r="J377" s="2">
        <f>VLOOKUP(B377,Orders!A:C,3,FALSE)</f>
        <v>45936</v>
      </c>
      <c r="K377" s="1" t="str">
        <f>VLOOKUP(B377,Orders!A:B,2,FALSE)</f>
        <v>C0186</v>
      </c>
    </row>
    <row r="378" spans="1:11" x14ac:dyDescent="0.3">
      <c r="A378" s="1" t="s">
        <v>1779</v>
      </c>
      <c r="B378" s="1" t="s">
        <v>1780</v>
      </c>
      <c r="C378" s="1" t="s">
        <v>1199</v>
      </c>
      <c r="D378" s="1">
        <v>3</v>
      </c>
      <c r="E378" s="1">
        <v>0.1</v>
      </c>
      <c r="F378" s="1" t="b">
        <v>0</v>
      </c>
      <c r="G378">
        <f>VLOOKUP(C378,Products!A:D,4,FALSE)</f>
        <v>99</v>
      </c>
      <c r="H378" t="str">
        <f>VLOOKUP(C378,Products!A:D,3,FALSE)</f>
        <v>Electronics</v>
      </c>
      <c r="I378">
        <f t="shared" si="5"/>
        <v>267.3</v>
      </c>
      <c r="J378" s="2">
        <f>VLOOKUP(B378,Orders!A:C,3,FALSE)</f>
        <v>45757</v>
      </c>
      <c r="K378" s="1" t="str">
        <f>VLOOKUP(B378,Orders!A:B,2,FALSE)</f>
        <v>C0017</v>
      </c>
    </row>
    <row r="379" spans="1:11" x14ac:dyDescent="0.3">
      <c r="A379" s="1" t="s">
        <v>1781</v>
      </c>
      <c r="B379" s="1" t="s">
        <v>1780</v>
      </c>
      <c r="C379" s="1" t="s">
        <v>1433</v>
      </c>
      <c r="D379" s="1">
        <v>1</v>
      </c>
      <c r="E379" s="1">
        <v>0.15</v>
      </c>
      <c r="F379" s="1" t="b">
        <v>0</v>
      </c>
      <c r="G379">
        <f>VLOOKUP(C379,Products!A:D,4,FALSE)</f>
        <v>110</v>
      </c>
      <c r="H379" t="str">
        <f>VLOOKUP(C379,Products!A:D,3,FALSE)</f>
        <v>Home &amp; Kitchen</v>
      </c>
      <c r="I379">
        <f t="shared" si="5"/>
        <v>93.5</v>
      </c>
      <c r="J379" s="2">
        <f>VLOOKUP(B379,Orders!A:C,3,FALSE)</f>
        <v>45757</v>
      </c>
      <c r="K379" s="1" t="str">
        <f>VLOOKUP(B379,Orders!A:B,2,FALSE)</f>
        <v>C0017</v>
      </c>
    </row>
    <row r="380" spans="1:11" x14ac:dyDescent="0.3">
      <c r="A380" s="1" t="s">
        <v>1782</v>
      </c>
      <c r="B380" s="1" t="s">
        <v>1780</v>
      </c>
      <c r="C380" s="1" t="s">
        <v>1265</v>
      </c>
      <c r="D380" s="1">
        <v>3</v>
      </c>
      <c r="E380" s="1">
        <v>0</v>
      </c>
      <c r="F380" s="1" t="b">
        <v>0</v>
      </c>
      <c r="G380">
        <f>VLOOKUP(C380,Products!A:D,4,FALSE)</f>
        <v>99</v>
      </c>
      <c r="H380" t="str">
        <f>VLOOKUP(C380,Products!A:D,3,FALSE)</f>
        <v>Beauty</v>
      </c>
      <c r="I380">
        <f t="shared" si="5"/>
        <v>297</v>
      </c>
      <c r="J380" s="2">
        <f>VLOOKUP(B380,Orders!A:C,3,FALSE)</f>
        <v>45757</v>
      </c>
      <c r="K380" s="1" t="str">
        <f>VLOOKUP(B380,Orders!A:B,2,FALSE)</f>
        <v>C0017</v>
      </c>
    </row>
    <row r="381" spans="1:11" x14ac:dyDescent="0.3">
      <c r="A381" s="1" t="s">
        <v>1783</v>
      </c>
      <c r="B381" s="1" t="s">
        <v>1780</v>
      </c>
      <c r="C381" s="1" t="s">
        <v>1262</v>
      </c>
      <c r="D381" s="1">
        <v>3</v>
      </c>
      <c r="E381" s="1">
        <v>0.05</v>
      </c>
      <c r="F381" s="1" t="b">
        <v>0</v>
      </c>
      <c r="G381">
        <f>VLOOKUP(C381,Products!A:D,4,FALSE)</f>
        <v>4020</v>
      </c>
      <c r="H381" t="str">
        <f>VLOOKUP(C381,Products!A:D,3,FALSE)</f>
        <v>Sports</v>
      </c>
      <c r="I381">
        <f t="shared" si="5"/>
        <v>11457</v>
      </c>
      <c r="J381" s="2">
        <f>VLOOKUP(B381,Orders!A:C,3,FALSE)</f>
        <v>45757</v>
      </c>
      <c r="K381" s="1" t="str">
        <f>VLOOKUP(B381,Orders!A:B,2,FALSE)</f>
        <v>C0017</v>
      </c>
    </row>
    <row r="382" spans="1:11" x14ac:dyDescent="0.3">
      <c r="A382" s="1" t="s">
        <v>1784</v>
      </c>
      <c r="B382" s="1" t="s">
        <v>1785</v>
      </c>
      <c r="C382" s="1" t="s">
        <v>1330</v>
      </c>
      <c r="D382" s="1">
        <v>5</v>
      </c>
      <c r="E382" s="1">
        <v>0.2</v>
      </c>
      <c r="F382" s="1" t="b">
        <v>0</v>
      </c>
      <c r="G382">
        <f>VLOOKUP(C382,Products!A:D,4,FALSE)</f>
        <v>580</v>
      </c>
      <c r="H382" t="str">
        <f>VLOOKUP(C382,Products!A:D,3,FALSE)</f>
        <v>Books</v>
      </c>
      <c r="I382">
        <f t="shared" si="5"/>
        <v>2320</v>
      </c>
      <c r="J382" s="2">
        <f>VLOOKUP(B382,Orders!A:C,3,FALSE)</f>
        <v>46024</v>
      </c>
      <c r="K382" s="1" t="str">
        <f>VLOOKUP(B382,Orders!A:B,2,FALSE)</f>
        <v>C0190</v>
      </c>
    </row>
    <row r="383" spans="1:11" x14ac:dyDescent="0.3">
      <c r="A383" s="1" t="s">
        <v>1786</v>
      </c>
      <c r="B383" s="1" t="s">
        <v>1785</v>
      </c>
      <c r="C383" s="1" t="s">
        <v>1230</v>
      </c>
      <c r="D383" s="1">
        <v>1</v>
      </c>
      <c r="E383" s="1">
        <v>0</v>
      </c>
      <c r="F383" s="1" t="b">
        <v>0</v>
      </c>
      <c r="G383">
        <f>VLOOKUP(C383,Products!A:D,4,FALSE)</f>
        <v>1530</v>
      </c>
      <c r="H383" t="str">
        <f>VLOOKUP(C383,Products!A:D,3,FALSE)</f>
        <v>Beauty</v>
      </c>
      <c r="I383">
        <f t="shared" si="5"/>
        <v>1530</v>
      </c>
      <c r="J383" s="2">
        <f>VLOOKUP(B383,Orders!A:C,3,FALSE)</f>
        <v>46024</v>
      </c>
      <c r="K383" s="1" t="str">
        <f>VLOOKUP(B383,Orders!A:B,2,FALSE)</f>
        <v>C0190</v>
      </c>
    </row>
    <row r="384" spans="1:11" x14ac:dyDescent="0.3">
      <c r="A384" s="1" t="s">
        <v>1787</v>
      </c>
      <c r="B384" s="1" t="s">
        <v>1788</v>
      </c>
      <c r="C384" s="1" t="s">
        <v>1276</v>
      </c>
      <c r="D384" s="1">
        <v>4</v>
      </c>
      <c r="E384" s="1">
        <v>0.05</v>
      </c>
      <c r="F384" s="1" t="b">
        <v>0</v>
      </c>
      <c r="G384">
        <f>VLOOKUP(C384,Products!A:D,4,FALSE)</f>
        <v>2010</v>
      </c>
      <c r="H384" t="str">
        <f>VLOOKUP(C384,Products!A:D,3,FALSE)</f>
        <v>Beauty</v>
      </c>
      <c r="I384">
        <f t="shared" ref="I384:I447" si="6">G384*D384*(1-E384)</f>
        <v>7638</v>
      </c>
      <c r="J384" s="2">
        <f>VLOOKUP(B384,Orders!A:C,3,FALSE)</f>
        <v>45859</v>
      </c>
      <c r="K384" s="1" t="str">
        <f>VLOOKUP(B384,Orders!A:B,2,FALSE)</f>
        <v>C0294</v>
      </c>
    </row>
    <row r="385" spans="1:11" x14ac:dyDescent="0.3">
      <c r="A385" s="1" t="s">
        <v>1789</v>
      </c>
      <c r="B385" s="1" t="s">
        <v>1788</v>
      </c>
      <c r="C385" s="1" t="s">
        <v>1418</v>
      </c>
      <c r="D385" s="1">
        <v>3</v>
      </c>
      <c r="E385" s="1">
        <v>0.1</v>
      </c>
      <c r="F385" s="1" t="b">
        <v>0</v>
      </c>
      <c r="G385">
        <f>VLOOKUP(C385,Products!A:D,4,FALSE)</f>
        <v>1030</v>
      </c>
      <c r="H385" t="str">
        <f>VLOOKUP(C385,Products!A:D,3,FALSE)</f>
        <v>Beauty</v>
      </c>
      <c r="I385">
        <f t="shared" si="6"/>
        <v>2781</v>
      </c>
      <c r="J385" s="2">
        <f>VLOOKUP(B385,Orders!A:C,3,FALSE)</f>
        <v>45859</v>
      </c>
      <c r="K385" s="1" t="str">
        <f>VLOOKUP(B385,Orders!A:B,2,FALSE)</f>
        <v>C0294</v>
      </c>
    </row>
    <row r="386" spans="1:11" x14ac:dyDescent="0.3">
      <c r="A386" s="1" t="s">
        <v>1790</v>
      </c>
      <c r="B386" s="1" t="s">
        <v>1791</v>
      </c>
      <c r="C386" s="1" t="s">
        <v>1418</v>
      </c>
      <c r="D386" s="1">
        <v>2</v>
      </c>
      <c r="E386" s="1">
        <v>0.1</v>
      </c>
      <c r="F386" s="1" t="b">
        <v>0</v>
      </c>
      <c r="G386">
        <f>VLOOKUP(C386,Products!A:D,4,FALSE)</f>
        <v>1030</v>
      </c>
      <c r="H386" t="str">
        <f>VLOOKUP(C386,Products!A:D,3,FALSE)</f>
        <v>Beauty</v>
      </c>
      <c r="I386">
        <f t="shared" si="6"/>
        <v>1854</v>
      </c>
      <c r="J386" s="2">
        <f>VLOOKUP(B386,Orders!A:C,3,FALSE)</f>
        <v>46173</v>
      </c>
      <c r="K386" s="1" t="str">
        <f>VLOOKUP(B386,Orders!A:B,2,FALSE)</f>
        <v>C0204</v>
      </c>
    </row>
    <row r="387" spans="1:11" x14ac:dyDescent="0.3">
      <c r="A387" s="1" t="s">
        <v>1792</v>
      </c>
      <c r="B387" s="1" t="s">
        <v>1793</v>
      </c>
      <c r="C387" s="1" t="s">
        <v>1393</v>
      </c>
      <c r="D387" s="1">
        <v>5</v>
      </c>
      <c r="E387" s="1">
        <v>0.05</v>
      </c>
      <c r="F387" s="1" t="b">
        <v>0</v>
      </c>
      <c r="G387">
        <f>VLOOKUP(C387,Products!A:D,4,FALSE)</f>
        <v>1520</v>
      </c>
      <c r="H387" t="str">
        <f>VLOOKUP(C387,Products!A:D,3,FALSE)</f>
        <v>Electronics</v>
      </c>
      <c r="I387">
        <f t="shared" si="6"/>
        <v>7220</v>
      </c>
      <c r="J387" s="2">
        <f>VLOOKUP(B387,Orders!A:C,3,FALSE)</f>
        <v>46166</v>
      </c>
      <c r="K387" s="1" t="str">
        <f>VLOOKUP(B387,Orders!A:B,2,FALSE)</f>
        <v>C0128</v>
      </c>
    </row>
    <row r="388" spans="1:11" x14ac:dyDescent="0.3">
      <c r="A388" s="1" t="s">
        <v>1794</v>
      </c>
      <c r="B388" s="1" t="s">
        <v>1793</v>
      </c>
      <c r="C388" s="1" t="s">
        <v>1116</v>
      </c>
      <c r="D388" s="1">
        <v>5</v>
      </c>
      <c r="E388" s="1">
        <v>0</v>
      </c>
      <c r="F388" s="1" t="b">
        <v>0</v>
      </c>
      <c r="G388">
        <f>VLOOKUP(C388,Products!A:D,4,FALSE)</f>
        <v>3000</v>
      </c>
      <c r="H388" t="str">
        <f>VLOOKUP(C388,Products!A:D,3,FALSE)</f>
        <v>Home &amp; Kitchen</v>
      </c>
      <c r="I388">
        <f t="shared" si="6"/>
        <v>15000</v>
      </c>
      <c r="J388" s="2">
        <f>VLOOKUP(B388,Orders!A:C,3,FALSE)</f>
        <v>46166</v>
      </c>
      <c r="K388" s="1" t="str">
        <f>VLOOKUP(B388,Orders!A:B,2,FALSE)</f>
        <v>C0128</v>
      </c>
    </row>
    <row r="389" spans="1:11" x14ac:dyDescent="0.3">
      <c r="A389" s="1" t="s">
        <v>1795</v>
      </c>
      <c r="B389" s="1" t="s">
        <v>1796</v>
      </c>
      <c r="C389" s="1" t="s">
        <v>1209</v>
      </c>
      <c r="D389" s="1">
        <v>5</v>
      </c>
      <c r="E389" s="1">
        <v>0</v>
      </c>
      <c r="F389" s="1" t="b">
        <v>0</v>
      </c>
      <c r="G389">
        <f>VLOOKUP(C389,Products!A:D,4,FALSE)</f>
        <v>1580</v>
      </c>
      <c r="H389" t="str">
        <f>VLOOKUP(C389,Products!A:D,3,FALSE)</f>
        <v>Apparel</v>
      </c>
      <c r="I389">
        <f t="shared" si="6"/>
        <v>7900</v>
      </c>
      <c r="J389" s="2">
        <f>VLOOKUP(B389,Orders!A:C,3,FALSE)</f>
        <v>45942</v>
      </c>
      <c r="K389" s="1" t="str">
        <f>VLOOKUP(B389,Orders!A:B,2,FALSE)</f>
        <v>C0096</v>
      </c>
    </row>
    <row r="390" spans="1:11" x14ac:dyDescent="0.3">
      <c r="A390" s="1" t="s">
        <v>1797</v>
      </c>
      <c r="B390" s="1" t="s">
        <v>1796</v>
      </c>
      <c r="C390" s="1" t="s">
        <v>1216</v>
      </c>
      <c r="D390" s="1">
        <v>4</v>
      </c>
      <c r="E390" s="1">
        <v>0</v>
      </c>
      <c r="F390" s="1" t="b">
        <v>0</v>
      </c>
      <c r="G390">
        <f>VLOOKUP(C390,Products!A:D,4,FALSE)</f>
        <v>1240</v>
      </c>
      <c r="H390" t="str">
        <f>VLOOKUP(C390,Products!A:D,3,FALSE)</f>
        <v>Apparel</v>
      </c>
      <c r="I390">
        <f t="shared" si="6"/>
        <v>4960</v>
      </c>
      <c r="J390" s="2">
        <f>VLOOKUP(B390,Orders!A:C,3,FALSE)</f>
        <v>45942</v>
      </c>
      <c r="K390" s="1" t="str">
        <f>VLOOKUP(B390,Orders!A:B,2,FALSE)</f>
        <v>C0096</v>
      </c>
    </row>
    <row r="391" spans="1:11" x14ac:dyDescent="0.3">
      <c r="A391" s="1" t="s">
        <v>1798</v>
      </c>
      <c r="B391" s="1" t="s">
        <v>1796</v>
      </c>
      <c r="C391" s="1" t="s">
        <v>1174</v>
      </c>
      <c r="D391" s="1">
        <v>4</v>
      </c>
      <c r="E391" s="1">
        <v>0</v>
      </c>
      <c r="F391" s="1" t="b">
        <v>0</v>
      </c>
      <c r="G391">
        <f>VLOOKUP(C391,Products!A:D,4,FALSE)</f>
        <v>1250</v>
      </c>
      <c r="H391" t="str">
        <f>VLOOKUP(C391,Products!A:D,3,FALSE)</f>
        <v>Sports</v>
      </c>
      <c r="I391">
        <f t="shared" si="6"/>
        <v>5000</v>
      </c>
      <c r="J391" s="2">
        <f>VLOOKUP(B391,Orders!A:C,3,FALSE)</f>
        <v>45942</v>
      </c>
      <c r="K391" s="1" t="str">
        <f>VLOOKUP(B391,Orders!A:B,2,FALSE)</f>
        <v>C0096</v>
      </c>
    </row>
    <row r="392" spans="1:11" x14ac:dyDescent="0.3">
      <c r="A392" s="1" t="s">
        <v>1799</v>
      </c>
      <c r="B392" s="1" t="s">
        <v>1800</v>
      </c>
      <c r="C392" s="1" t="s">
        <v>1146</v>
      </c>
      <c r="D392" s="1">
        <v>1</v>
      </c>
      <c r="E392" s="1">
        <v>0.1</v>
      </c>
      <c r="F392" s="1" t="b">
        <v>0</v>
      </c>
      <c r="G392">
        <f>VLOOKUP(C392,Products!A:D,4,FALSE)</f>
        <v>1630</v>
      </c>
      <c r="H392" t="str">
        <f>VLOOKUP(C392,Products!A:D,3,FALSE)</f>
        <v>Beauty</v>
      </c>
      <c r="I392">
        <f t="shared" si="6"/>
        <v>1467</v>
      </c>
      <c r="J392" s="2">
        <f>VLOOKUP(B392,Orders!A:C,3,FALSE)</f>
        <v>46056</v>
      </c>
      <c r="K392" s="1" t="str">
        <f>VLOOKUP(B392,Orders!A:B,2,FALSE)</f>
        <v>C0288</v>
      </c>
    </row>
    <row r="393" spans="1:11" x14ac:dyDescent="0.3">
      <c r="A393" s="1" t="s">
        <v>1801</v>
      </c>
      <c r="B393" s="1" t="s">
        <v>1802</v>
      </c>
      <c r="C393" s="1" t="s">
        <v>1163</v>
      </c>
      <c r="D393" s="1">
        <v>3</v>
      </c>
      <c r="E393" s="1">
        <v>0</v>
      </c>
      <c r="F393" s="1" t="b">
        <v>0</v>
      </c>
      <c r="G393">
        <f>VLOOKUP(C393,Products!A:D,4,FALSE)</f>
        <v>2180</v>
      </c>
      <c r="H393" t="str">
        <f>VLOOKUP(C393,Products!A:D,3,FALSE)</f>
        <v>Electronics</v>
      </c>
      <c r="I393">
        <f t="shared" si="6"/>
        <v>6540</v>
      </c>
      <c r="J393" s="2">
        <f>VLOOKUP(B393,Orders!A:C,3,FALSE)</f>
        <v>46140</v>
      </c>
      <c r="K393" s="1" t="str">
        <f>VLOOKUP(B393,Orders!A:B,2,FALSE)</f>
        <v>C0229</v>
      </c>
    </row>
    <row r="394" spans="1:11" x14ac:dyDescent="0.3">
      <c r="A394" s="1" t="s">
        <v>1803</v>
      </c>
      <c r="B394" s="1" t="s">
        <v>1802</v>
      </c>
      <c r="C394" s="1" t="s">
        <v>1302</v>
      </c>
      <c r="D394" s="1">
        <v>5</v>
      </c>
      <c r="E394" s="1">
        <v>0</v>
      </c>
      <c r="F394" s="1" t="b">
        <v>0</v>
      </c>
      <c r="G394">
        <f>VLOOKUP(C394,Products!A:D,4,FALSE)</f>
        <v>1220</v>
      </c>
      <c r="H394" t="str">
        <f>VLOOKUP(C394,Products!A:D,3,FALSE)</f>
        <v>Home &amp; Kitchen</v>
      </c>
      <c r="I394">
        <f t="shared" si="6"/>
        <v>6100</v>
      </c>
      <c r="J394" s="2">
        <f>VLOOKUP(B394,Orders!A:C,3,FALSE)</f>
        <v>46140</v>
      </c>
      <c r="K394" s="1" t="str">
        <f>VLOOKUP(B394,Orders!A:B,2,FALSE)</f>
        <v>C0229</v>
      </c>
    </row>
    <row r="395" spans="1:11" x14ac:dyDescent="0.3">
      <c r="A395" s="1" t="s">
        <v>1804</v>
      </c>
      <c r="B395" s="1" t="s">
        <v>1802</v>
      </c>
      <c r="C395" s="1" t="s">
        <v>1135</v>
      </c>
      <c r="D395" s="1">
        <v>4</v>
      </c>
      <c r="E395" s="1">
        <v>0</v>
      </c>
      <c r="F395" s="1" t="b">
        <v>0</v>
      </c>
      <c r="G395">
        <f>VLOOKUP(C395,Products!A:D,4,FALSE)</f>
        <v>470</v>
      </c>
      <c r="H395" t="str">
        <f>VLOOKUP(C395,Products!A:D,3,FALSE)</f>
        <v>Apparel</v>
      </c>
      <c r="I395">
        <f t="shared" si="6"/>
        <v>1880</v>
      </c>
      <c r="J395" s="2">
        <f>VLOOKUP(B395,Orders!A:C,3,FALSE)</f>
        <v>46140</v>
      </c>
      <c r="K395" s="1" t="str">
        <f>VLOOKUP(B395,Orders!A:B,2,FALSE)</f>
        <v>C0229</v>
      </c>
    </row>
    <row r="396" spans="1:11" x14ac:dyDescent="0.3">
      <c r="A396" s="1" t="s">
        <v>1805</v>
      </c>
      <c r="B396" s="1" t="s">
        <v>1806</v>
      </c>
      <c r="C396" s="1" t="s">
        <v>1431</v>
      </c>
      <c r="D396" s="1">
        <v>3</v>
      </c>
      <c r="E396" s="1">
        <v>0.1</v>
      </c>
      <c r="F396" s="1" t="b">
        <v>0</v>
      </c>
      <c r="G396">
        <f>VLOOKUP(C396,Products!A:D,4,FALSE)</f>
        <v>2920</v>
      </c>
      <c r="H396" t="str">
        <f>VLOOKUP(C396,Products!A:D,3,FALSE)</f>
        <v>Home &amp; Kitchen</v>
      </c>
      <c r="I396">
        <f t="shared" si="6"/>
        <v>7884</v>
      </c>
      <c r="J396" s="2">
        <f>VLOOKUP(B396,Orders!A:C,3,FALSE)</f>
        <v>46151</v>
      </c>
      <c r="K396" s="1" t="str">
        <f>VLOOKUP(B396,Orders!A:B,2,FALSE)</f>
        <v>C0147</v>
      </c>
    </row>
    <row r="397" spans="1:11" x14ac:dyDescent="0.3">
      <c r="A397" s="1" t="s">
        <v>1807</v>
      </c>
      <c r="B397" s="1" t="s">
        <v>1808</v>
      </c>
      <c r="C397" s="1" t="s">
        <v>1130</v>
      </c>
      <c r="D397" s="1">
        <v>5</v>
      </c>
      <c r="E397" s="1">
        <v>0</v>
      </c>
      <c r="F397" s="1" t="b">
        <v>0</v>
      </c>
      <c r="G397">
        <f>VLOOKUP(C397,Products!A:D,4,FALSE)</f>
        <v>2400</v>
      </c>
      <c r="H397" t="str">
        <f>VLOOKUP(C397,Products!A:D,3,FALSE)</f>
        <v>Electronics</v>
      </c>
      <c r="I397">
        <f t="shared" si="6"/>
        <v>12000</v>
      </c>
      <c r="J397" s="2">
        <f>VLOOKUP(B397,Orders!A:C,3,FALSE)</f>
        <v>46115</v>
      </c>
      <c r="K397" s="1" t="str">
        <f>VLOOKUP(B397,Orders!A:B,2,FALSE)</f>
        <v>C0103</v>
      </c>
    </row>
    <row r="398" spans="1:11" x14ac:dyDescent="0.3">
      <c r="A398" s="1" t="s">
        <v>1809</v>
      </c>
      <c r="B398" s="1" t="s">
        <v>1810</v>
      </c>
      <c r="C398" s="1" t="s">
        <v>1267</v>
      </c>
      <c r="D398" s="1">
        <v>4</v>
      </c>
      <c r="E398" s="1">
        <v>0.05</v>
      </c>
      <c r="F398" s="1" t="b">
        <v>0</v>
      </c>
      <c r="G398">
        <f>VLOOKUP(C398,Products!A:D,4,FALSE)</f>
        <v>3650</v>
      </c>
      <c r="H398" t="str">
        <f>VLOOKUP(C398,Products!A:D,3,FALSE)</f>
        <v>Books</v>
      </c>
      <c r="I398">
        <f t="shared" si="6"/>
        <v>13870</v>
      </c>
      <c r="J398" s="2">
        <f>VLOOKUP(B398,Orders!A:C,3,FALSE)</f>
        <v>45787</v>
      </c>
      <c r="K398" s="1" t="str">
        <f>VLOOKUP(B398,Orders!A:B,2,FALSE)</f>
        <v>C0232</v>
      </c>
    </row>
    <row r="399" spans="1:11" x14ac:dyDescent="0.3">
      <c r="A399" s="1" t="s">
        <v>1811</v>
      </c>
      <c r="B399" s="1" t="s">
        <v>1812</v>
      </c>
      <c r="C399" s="1" t="s">
        <v>1265</v>
      </c>
      <c r="D399" s="1">
        <v>4</v>
      </c>
      <c r="E399" s="1">
        <v>0</v>
      </c>
      <c r="F399" s="1" t="b">
        <v>0</v>
      </c>
      <c r="G399">
        <f>VLOOKUP(C399,Products!A:D,4,FALSE)</f>
        <v>99</v>
      </c>
      <c r="H399" t="str">
        <f>VLOOKUP(C399,Products!A:D,3,FALSE)</f>
        <v>Beauty</v>
      </c>
      <c r="I399">
        <f t="shared" si="6"/>
        <v>396</v>
      </c>
      <c r="J399" s="2">
        <f>VLOOKUP(B399,Orders!A:C,3,FALSE)</f>
        <v>45807</v>
      </c>
      <c r="K399" s="1" t="str">
        <f>VLOOKUP(B399,Orders!A:B,2,FALSE)</f>
        <v>C0045</v>
      </c>
    </row>
    <row r="400" spans="1:11" x14ac:dyDescent="0.3">
      <c r="A400" s="1" t="s">
        <v>1813</v>
      </c>
      <c r="B400" s="1" t="s">
        <v>1814</v>
      </c>
      <c r="C400" s="1" t="s">
        <v>1140</v>
      </c>
      <c r="D400" s="1">
        <v>3</v>
      </c>
      <c r="E400" s="1">
        <v>0.1</v>
      </c>
      <c r="F400" s="1" t="b">
        <v>1</v>
      </c>
      <c r="G400">
        <f>VLOOKUP(C400,Products!A:D,4,FALSE)</f>
        <v>3040</v>
      </c>
      <c r="H400" t="str">
        <f>VLOOKUP(C400,Products!A:D,3,FALSE)</f>
        <v>Electronics</v>
      </c>
      <c r="I400">
        <f t="shared" si="6"/>
        <v>8208</v>
      </c>
      <c r="J400" s="2">
        <f>VLOOKUP(B400,Orders!A:C,3,FALSE)</f>
        <v>45995</v>
      </c>
      <c r="K400" s="1" t="str">
        <f>VLOOKUP(B400,Orders!A:B,2,FALSE)</f>
        <v>C0178</v>
      </c>
    </row>
    <row r="401" spans="1:11" x14ac:dyDescent="0.3">
      <c r="A401" s="1" t="s">
        <v>1815</v>
      </c>
      <c r="B401" s="1" t="s">
        <v>1816</v>
      </c>
      <c r="C401" s="1" t="s">
        <v>1137</v>
      </c>
      <c r="D401" s="1">
        <v>3</v>
      </c>
      <c r="E401" s="1">
        <v>0</v>
      </c>
      <c r="F401" s="1" t="b">
        <v>0</v>
      </c>
      <c r="G401">
        <f>VLOOKUP(C401,Products!A:D,4,FALSE)</f>
        <v>1910</v>
      </c>
      <c r="H401" t="str">
        <f>VLOOKUP(C401,Products!A:D,3,FALSE)</f>
        <v>Apparel</v>
      </c>
      <c r="I401">
        <f t="shared" si="6"/>
        <v>5730</v>
      </c>
      <c r="J401" s="2">
        <f>VLOOKUP(B401,Orders!A:C,3,FALSE)</f>
        <v>45861</v>
      </c>
      <c r="K401" s="1" t="str">
        <f>VLOOKUP(B401,Orders!A:B,2,FALSE)</f>
        <v>C0278</v>
      </c>
    </row>
    <row r="402" spans="1:11" x14ac:dyDescent="0.3">
      <c r="A402" s="1" t="s">
        <v>1817</v>
      </c>
      <c r="B402" s="1" t="s">
        <v>1816</v>
      </c>
      <c r="C402" s="1" t="s">
        <v>1143</v>
      </c>
      <c r="D402" s="1">
        <v>3</v>
      </c>
      <c r="E402" s="1">
        <v>0.05</v>
      </c>
      <c r="F402" s="1" t="b">
        <v>0</v>
      </c>
      <c r="G402">
        <f>VLOOKUP(C402,Products!A:D,4,FALSE)</f>
        <v>2230</v>
      </c>
      <c r="H402" t="str">
        <f>VLOOKUP(C402,Products!A:D,3,FALSE)</f>
        <v>Home &amp; Kitchen</v>
      </c>
      <c r="I402">
        <f t="shared" si="6"/>
        <v>6355.5</v>
      </c>
      <c r="J402" s="2">
        <f>VLOOKUP(B402,Orders!A:C,3,FALSE)</f>
        <v>45861</v>
      </c>
      <c r="K402" s="1" t="str">
        <f>VLOOKUP(B402,Orders!A:B,2,FALSE)</f>
        <v>C0278</v>
      </c>
    </row>
    <row r="403" spans="1:11" x14ac:dyDescent="0.3">
      <c r="A403" s="1" t="s">
        <v>1818</v>
      </c>
      <c r="B403" s="1" t="s">
        <v>1819</v>
      </c>
      <c r="C403" s="1" t="s">
        <v>1656</v>
      </c>
      <c r="D403" s="1">
        <v>2</v>
      </c>
      <c r="E403" s="1">
        <v>0</v>
      </c>
      <c r="F403" s="1" t="b">
        <v>0</v>
      </c>
      <c r="G403">
        <f>VLOOKUP(C403,Products!A:D,4,FALSE)</f>
        <v>1240</v>
      </c>
      <c r="H403" t="str">
        <f>VLOOKUP(C403,Products!A:D,3,FALSE)</f>
        <v>Beauty</v>
      </c>
      <c r="I403">
        <f t="shared" si="6"/>
        <v>2480</v>
      </c>
      <c r="J403" s="2">
        <f>VLOOKUP(B403,Orders!A:C,3,FALSE)</f>
        <v>46204</v>
      </c>
      <c r="K403" s="1" t="str">
        <f>VLOOKUP(B403,Orders!A:B,2,FALSE)</f>
        <v>C0154</v>
      </c>
    </row>
    <row r="404" spans="1:11" x14ac:dyDescent="0.3">
      <c r="A404" s="1" t="s">
        <v>1820</v>
      </c>
      <c r="B404" s="1" t="s">
        <v>1821</v>
      </c>
      <c r="C404" s="1" t="s">
        <v>1123</v>
      </c>
      <c r="D404" s="1">
        <v>5</v>
      </c>
      <c r="E404" s="1">
        <v>0.05</v>
      </c>
      <c r="F404" s="1" t="b">
        <v>0</v>
      </c>
      <c r="G404">
        <f>VLOOKUP(C404,Products!A:D,4,FALSE)</f>
        <v>2200</v>
      </c>
      <c r="H404" t="str">
        <f>VLOOKUP(C404,Products!A:D,3,FALSE)</f>
        <v>Electronics</v>
      </c>
      <c r="I404">
        <f t="shared" si="6"/>
        <v>10450</v>
      </c>
      <c r="J404" s="2">
        <f>VLOOKUP(B404,Orders!A:C,3,FALSE)</f>
        <v>45889</v>
      </c>
      <c r="K404" s="1" t="str">
        <f>VLOOKUP(B404,Orders!A:B,2,FALSE)</f>
        <v>C0186</v>
      </c>
    </row>
    <row r="405" spans="1:11" x14ac:dyDescent="0.3">
      <c r="A405" s="1" t="s">
        <v>1822</v>
      </c>
      <c r="B405" s="1" t="s">
        <v>1823</v>
      </c>
      <c r="C405" s="1" t="s">
        <v>1191</v>
      </c>
      <c r="D405" s="1">
        <v>4</v>
      </c>
      <c r="E405" s="1">
        <v>0</v>
      </c>
      <c r="F405" s="1" t="b">
        <v>0</v>
      </c>
      <c r="G405">
        <f>VLOOKUP(C405,Products!A:D,4,FALSE)</f>
        <v>99</v>
      </c>
      <c r="H405" t="str">
        <f>VLOOKUP(C405,Products!A:D,3,FALSE)</f>
        <v>Sports</v>
      </c>
      <c r="I405">
        <f t="shared" si="6"/>
        <v>396</v>
      </c>
      <c r="J405" s="2">
        <f>VLOOKUP(B405,Orders!A:C,3,FALSE)</f>
        <v>46214</v>
      </c>
      <c r="K405" s="1" t="str">
        <f>VLOOKUP(B405,Orders!A:B,2,FALSE)</f>
        <v>C0103</v>
      </c>
    </row>
    <row r="406" spans="1:11" x14ac:dyDescent="0.3">
      <c r="A406" s="1" t="s">
        <v>1824</v>
      </c>
      <c r="B406" s="1" t="s">
        <v>1825</v>
      </c>
      <c r="C406" s="1" t="s">
        <v>1433</v>
      </c>
      <c r="D406" s="1">
        <v>1</v>
      </c>
      <c r="E406" s="1">
        <v>0.1</v>
      </c>
      <c r="F406" s="1" t="b">
        <v>0</v>
      </c>
      <c r="G406">
        <f>VLOOKUP(C406,Products!A:D,4,FALSE)</f>
        <v>110</v>
      </c>
      <c r="H406" t="str">
        <f>VLOOKUP(C406,Products!A:D,3,FALSE)</f>
        <v>Home &amp; Kitchen</v>
      </c>
      <c r="I406">
        <f t="shared" si="6"/>
        <v>99</v>
      </c>
      <c r="J406" s="2">
        <f>VLOOKUP(B406,Orders!A:C,3,FALSE)</f>
        <v>45957</v>
      </c>
      <c r="K406" s="1" t="str">
        <f>VLOOKUP(B406,Orders!A:B,2,FALSE)</f>
        <v>C0253</v>
      </c>
    </row>
    <row r="407" spans="1:11" x14ac:dyDescent="0.3">
      <c r="A407" s="1" t="s">
        <v>1826</v>
      </c>
      <c r="B407" s="1" t="s">
        <v>1827</v>
      </c>
      <c r="C407" s="1" t="s">
        <v>1199</v>
      </c>
      <c r="D407" s="1">
        <v>3</v>
      </c>
      <c r="E407" s="1">
        <v>0</v>
      </c>
      <c r="F407" s="1" t="b">
        <v>0</v>
      </c>
      <c r="G407">
        <f>VLOOKUP(C407,Products!A:D,4,FALSE)</f>
        <v>99</v>
      </c>
      <c r="H407" t="str">
        <f>VLOOKUP(C407,Products!A:D,3,FALSE)</f>
        <v>Electronics</v>
      </c>
      <c r="I407">
        <f t="shared" si="6"/>
        <v>297</v>
      </c>
      <c r="J407" s="2">
        <f>VLOOKUP(B407,Orders!A:C,3,FALSE)</f>
        <v>45837</v>
      </c>
      <c r="K407" s="1" t="str">
        <f>VLOOKUP(B407,Orders!A:B,2,FALSE)</f>
        <v>C0294</v>
      </c>
    </row>
    <row r="408" spans="1:11" x14ac:dyDescent="0.3">
      <c r="A408" s="1" t="s">
        <v>1828</v>
      </c>
      <c r="B408" s="1" t="s">
        <v>1829</v>
      </c>
      <c r="C408" s="1" t="s">
        <v>1182</v>
      </c>
      <c r="D408" s="1">
        <v>1</v>
      </c>
      <c r="E408" s="1">
        <v>0</v>
      </c>
      <c r="F408" s="1" t="b">
        <v>0</v>
      </c>
      <c r="G408">
        <f>VLOOKUP(C408,Products!A:D,4,FALSE)</f>
        <v>790</v>
      </c>
      <c r="H408" t="str">
        <f>VLOOKUP(C408,Products!A:D,3,FALSE)</f>
        <v>Sports</v>
      </c>
      <c r="I408">
        <f t="shared" si="6"/>
        <v>790</v>
      </c>
      <c r="J408" s="2">
        <f>VLOOKUP(B408,Orders!A:C,3,FALSE)</f>
        <v>46122</v>
      </c>
      <c r="K408" s="1" t="str">
        <f>VLOOKUP(B408,Orders!A:B,2,FALSE)</f>
        <v>C0067</v>
      </c>
    </row>
    <row r="409" spans="1:11" x14ac:dyDescent="0.3">
      <c r="A409" s="1" t="s">
        <v>1830</v>
      </c>
      <c r="B409" s="1" t="s">
        <v>1831</v>
      </c>
      <c r="C409" s="1" t="s">
        <v>1146</v>
      </c>
      <c r="D409" s="1">
        <v>4</v>
      </c>
      <c r="E409" s="1">
        <v>0</v>
      </c>
      <c r="F409" s="1" t="b">
        <v>0</v>
      </c>
      <c r="G409">
        <f>VLOOKUP(C409,Products!A:D,4,FALSE)</f>
        <v>1630</v>
      </c>
      <c r="H409" t="str">
        <f>VLOOKUP(C409,Products!A:D,3,FALSE)</f>
        <v>Beauty</v>
      </c>
      <c r="I409">
        <f t="shared" si="6"/>
        <v>6520</v>
      </c>
      <c r="J409" s="2">
        <f>VLOOKUP(B409,Orders!A:C,3,FALSE)</f>
        <v>46166</v>
      </c>
      <c r="K409" s="1" t="str">
        <f>VLOOKUP(B409,Orders!A:B,2,FALSE)</f>
        <v>C0034</v>
      </c>
    </row>
    <row r="410" spans="1:11" x14ac:dyDescent="0.3">
      <c r="A410" s="1" t="s">
        <v>1832</v>
      </c>
      <c r="B410" s="1" t="s">
        <v>1833</v>
      </c>
      <c r="C410" s="1" t="s">
        <v>1468</v>
      </c>
      <c r="D410" s="1">
        <v>4</v>
      </c>
      <c r="E410" s="1">
        <v>0</v>
      </c>
      <c r="F410" s="1" t="b">
        <v>0</v>
      </c>
      <c r="G410">
        <f>VLOOKUP(C410,Products!A:D,4,FALSE)</f>
        <v>2040</v>
      </c>
      <c r="H410" t="str">
        <f>VLOOKUP(C410,Products!A:D,3,FALSE)</f>
        <v>Books</v>
      </c>
      <c r="I410">
        <f t="shared" si="6"/>
        <v>8160</v>
      </c>
      <c r="J410" s="2">
        <f>VLOOKUP(B410,Orders!A:C,3,FALSE)</f>
        <v>46050</v>
      </c>
      <c r="K410" s="1" t="str">
        <f>VLOOKUP(B410,Orders!A:B,2,FALSE)</f>
        <v>C0270</v>
      </c>
    </row>
    <row r="411" spans="1:11" x14ac:dyDescent="0.3">
      <c r="A411" s="1" t="s">
        <v>1834</v>
      </c>
      <c r="B411" s="1" t="s">
        <v>1835</v>
      </c>
      <c r="C411" s="1" t="s">
        <v>1393</v>
      </c>
      <c r="D411" s="1">
        <v>3</v>
      </c>
      <c r="E411" s="1">
        <v>0</v>
      </c>
      <c r="F411" s="1" t="b">
        <v>0</v>
      </c>
      <c r="G411">
        <f>VLOOKUP(C411,Products!A:D,4,FALSE)</f>
        <v>1520</v>
      </c>
      <c r="H411" t="str">
        <f>VLOOKUP(C411,Products!A:D,3,FALSE)</f>
        <v>Electronics</v>
      </c>
      <c r="I411">
        <f t="shared" si="6"/>
        <v>4560</v>
      </c>
      <c r="J411" s="2">
        <f>VLOOKUP(B411,Orders!A:C,3,FALSE)</f>
        <v>45798</v>
      </c>
      <c r="K411" s="1" t="str">
        <f>VLOOKUP(B411,Orders!A:B,2,FALSE)</f>
        <v>C0295</v>
      </c>
    </row>
    <row r="412" spans="1:11" x14ac:dyDescent="0.3">
      <c r="A412" s="1" t="s">
        <v>1836</v>
      </c>
      <c r="B412" s="1" t="s">
        <v>1837</v>
      </c>
      <c r="C412" s="1" t="s">
        <v>1459</v>
      </c>
      <c r="D412" s="1">
        <v>1</v>
      </c>
      <c r="E412" s="1">
        <v>0</v>
      </c>
      <c r="F412" s="1" t="b">
        <v>0</v>
      </c>
      <c r="G412">
        <f>VLOOKUP(C412,Products!A:D,4,FALSE)</f>
        <v>710</v>
      </c>
      <c r="H412" t="str">
        <f>VLOOKUP(C412,Products!A:D,3,FALSE)</f>
        <v>Sports</v>
      </c>
      <c r="I412">
        <f t="shared" si="6"/>
        <v>710</v>
      </c>
      <c r="J412" s="2">
        <f>VLOOKUP(B412,Orders!A:C,3,FALSE)</f>
        <v>45737</v>
      </c>
      <c r="K412" s="1" t="str">
        <f>VLOOKUP(B412,Orders!A:B,2,FALSE)</f>
        <v>C0038</v>
      </c>
    </row>
    <row r="413" spans="1:11" x14ac:dyDescent="0.3">
      <c r="A413" s="1" t="s">
        <v>1838</v>
      </c>
      <c r="B413" s="1" t="s">
        <v>1837</v>
      </c>
      <c r="C413" s="1" t="s">
        <v>1315</v>
      </c>
      <c r="D413" s="1">
        <v>1</v>
      </c>
      <c r="E413" s="1">
        <v>0.1</v>
      </c>
      <c r="F413" s="1" t="b">
        <v>0</v>
      </c>
      <c r="G413">
        <f>VLOOKUP(C413,Products!A:D,4,FALSE)</f>
        <v>2190</v>
      </c>
      <c r="H413" t="str">
        <f>VLOOKUP(C413,Products!A:D,3,FALSE)</f>
        <v>Electronics</v>
      </c>
      <c r="I413">
        <f t="shared" si="6"/>
        <v>1971</v>
      </c>
      <c r="J413" s="2">
        <f>VLOOKUP(B413,Orders!A:C,3,FALSE)</f>
        <v>45737</v>
      </c>
      <c r="K413" s="1" t="str">
        <f>VLOOKUP(B413,Orders!A:B,2,FALSE)</f>
        <v>C0038</v>
      </c>
    </row>
    <row r="414" spans="1:11" x14ac:dyDescent="0.3">
      <c r="A414" s="1" t="s">
        <v>1839</v>
      </c>
      <c r="B414" s="1" t="s">
        <v>1837</v>
      </c>
      <c r="C414" s="1" t="s">
        <v>1302</v>
      </c>
      <c r="D414" s="1">
        <v>2</v>
      </c>
      <c r="E414" s="1">
        <v>0</v>
      </c>
      <c r="F414" s="1" t="b">
        <v>0</v>
      </c>
      <c r="G414">
        <f>VLOOKUP(C414,Products!A:D,4,FALSE)</f>
        <v>1220</v>
      </c>
      <c r="H414" t="str">
        <f>VLOOKUP(C414,Products!A:D,3,FALSE)</f>
        <v>Home &amp; Kitchen</v>
      </c>
      <c r="I414">
        <f t="shared" si="6"/>
        <v>2440</v>
      </c>
      <c r="J414" s="2">
        <f>VLOOKUP(B414,Orders!A:C,3,FALSE)</f>
        <v>45737</v>
      </c>
      <c r="K414" s="1" t="str">
        <f>VLOOKUP(B414,Orders!A:B,2,FALSE)</f>
        <v>C0038</v>
      </c>
    </row>
    <row r="415" spans="1:11" x14ac:dyDescent="0.3">
      <c r="A415" s="1" t="s">
        <v>1840</v>
      </c>
      <c r="B415" s="1" t="s">
        <v>1841</v>
      </c>
      <c r="C415" s="1" t="s">
        <v>1176</v>
      </c>
      <c r="D415" s="1">
        <v>4</v>
      </c>
      <c r="E415" s="1">
        <v>0.2</v>
      </c>
      <c r="F415" s="1" t="b">
        <v>0</v>
      </c>
      <c r="G415">
        <f>VLOOKUP(C415,Products!A:D,4,FALSE)</f>
        <v>2670</v>
      </c>
      <c r="H415" t="str">
        <f>VLOOKUP(C415,Products!A:D,3,FALSE)</f>
        <v>Beauty</v>
      </c>
      <c r="I415">
        <f t="shared" si="6"/>
        <v>8544</v>
      </c>
      <c r="J415" s="2">
        <f>VLOOKUP(B415,Orders!A:C,3,FALSE)</f>
        <v>46092</v>
      </c>
      <c r="K415" s="1" t="str">
        <f>VLOOKUP(B415,Orders!A:B,2,FALSE)</f>
        <v>C0177</v>
      </c>
    </row>
    <row r="416" spans="1:11" x14ac:dyDescent="0.3">
      <c r="A416" s="1" t="s">
        <v>1842</v>
      </c>
      <c r="B416" s="1" t="s">
        <v>1841</v>
      </c>
      <c r="C416" s="1" t="s">
        <v>1146</v>
      </c>
      <c r="D416" s="1">
        <v>1</v>
      </c>
      <c r="E416" s="1">
        <v>0.2</v>
      </c>
      <c r="F416" s="1" t="b">
        <v>0</v>
      </c>
      <c r="G416">
        <f>VLOOKUP(C416,Products!A:D,4,FALSE)</f>
        <v>1630</v>
      </c>
      <c r="H416" t="str">
        <f>VLOOKUP(C416,Products!A:D,3,FALSE)</f>
        <v>Beauty</v>
      </c>
      <c r="I416">
        <f t="shared" si="6"/>
        <v>1304</v>
      </c>
      <c r="J416" s="2">
        <f>VLOOKUP(B416,Orders!A:C,3,FALSE)</f>
        <v>46092</v>
      </c>
      <c r="K416" s="1" t="str">
        <f>VLOOKUP(B416,Orders!A:B,2,FALSE)</f>
        <v>C0177</v>
      </c>
    </row>
    <row r="417" spans="1:11" x14ac:dyDescent="0.3">
      <c r="A417" s="1" t="s">
        <v>1843</v>
      </c>
      <c r="B417" s="1" t="s">
        <v>1841</v>
      </c>
      <c r="C417" s="1" t="s">
        <v>1262</v>
      </c>
      <c r="D417" s="1">
        <v>4</v>
      </c>
      <c r="E417" s="1">
        <v>0.2</v>
      </c>
      <c r="F417" s="1" t="b">
        <v>0</v>
      </c>
      <c r="G417">
        <f>VLOOKUP(C417,Products!A:D,4,FALSE)</f>
        <v>4020</v>
      </c>
      <c r="H417" t="str">
        <f>VLOOKUP(C417,Products!A:D,3,FALSE)</f>
        <v>Sports</v>
      </c>
      <c r="I417">
        <f t="shared" si="6"/>
        <v>12864</v>
      </c>
      <c r="J417" s="2">
        <f>VLOOKUP(B417,Orders!A:C,3,FALSE)</f>
        <v>46092</v>
      </c>
      <c r="K417" s="1" t="str">
        <f>VLOOKUP(B417,Orders!A:B,2,FALSE)</f>
        <v>C0177</v>
      </c>
    </row>
    <row r="418" spans="1:11" x14ac:dyDescent="0.3">
      <c r="A418" s="1" t="s">
        <v>1844</v>
      </c>
      <c r="B418" s="1" t="s">
        <v>1845</v>
      </c>
      <c r="C418" s="1" t="s">
        <v>1262</v>
      </c>
      <c r="D418" s="1">
        <v>1</v>
      </c>
      <c r="E418" s="1">
        <v>0</v>
      </c>
      <c r="F418" s="1" t="b">
        <v>0</v>
      </c>
      <c r="G418">
        <f>VLOOKUP(C418,Products!A:D,4,FALSE)</f>
        <v>4020</v>
      </c>
      <c r="H418" t="str">
        <f>VLOOKUP(C418,Products!A:D,3,FALSE)</f>
        <v>Sports</v>
      </c>
      <c r="I418">
        <f t="shared" si="6"/>
        <v>4020</v>
      </c>
      <c r="J418" s="2">
        <f>VLOOKUP(B418,Orders!A:C,3,FALSE)</f>
        <v>46110</v>
      </c>
      <c r="K418" s="1" t="str">
        <f>VLOOKUP(B418,Orders!A:B,2,FALSE)</f>
        <v>C0009</v>
      </c>
    </row>
    <row r="419" spans="1:11" x14ac:dyDescent="0.3">
      <c r="A419" s="1" t="s">
        <v>1846</v>
      </c>
      <c r="B419" s="1" t="s">
        <v>1845</v>
      </c>
      <c r="C419" s="1" t="s">
        <v>1123</v>
      </c>
      <c r="D419" s="1">
        <v>1</v>
      </c>
      <c r="E419" s="1">
        <v>0.1</v>
      </c>
      <c r="F419" s="1" t="b">
        <v>0</v>
      </c>
      <c r="G419">
        <f>VLOOKUP(C419,Products!A:D,4,FALSE)</f>
        <v>2200</v>
      </c>
      <c r="H419" t="str">
        <f>VLOOKUP(C419,Products!A:D,3,FALSE)</f>
        <v>Electronics</v>
      </c>
      <c r="I419">
        <f t="shared" si="6"/>
        <v>1980</v>
      </c>
      <c r="J419" s="2">
        <f>VLOOKUP(B419,Orders!A:C,3,FALSE)</f>
        <v>46110</v>
      </c>
      <c r="K419" s="1" t="str">
        <f>VLOOKUP(B419,Orders!A:B,2,FALSE)</f>
        <v>C0009</v>
      </c>
    </row>
    <row r="420" spans="1:11" x14ac:dyDescent="0.3">
      <c r="A420" s="1" t="s">
        <v>1847</v>
      </c>
      <c r="B420" s="1" t="s">
        <v>1845</v>
      </c>
      <c r="C420" s="1" t="s">
        <v>1132</v>
      </c>
      <c r="D420" s="1">
        <v>4</v>
      </c>
      <c r="E420" s="1">
        <v>0.05</v>
      </c>
      <c r="F420" s="1" t="b">
        <v>0</v>
      </c>
      <c r="G420">
        <f>VLOOKUP(C420,Products!A:D,4,FALSE)</f>
        <v>420</v>
      </c>
      <c r="H420" t="str">
        <f>VLOOKUP(C420,Products!A:D,3,FALSE)</f>
        <v>Beauty</v>
      </c>
      <c r="I420">
        <f t="shared" si="6"/>
        <v>1596</v>
      </c>
      <c r="J420" s="2">
        <f>VLOOKUP(B420,Orders!A:C,3,FALSE)</f>
        <v>46110</v>
      </c>
      <c r="K420" s="1" t="str">
        <f>VLOOKUP(B420,Orders!A:B,2,FALSE)</f>
        <v>C0009</v>
      </c>
    </row>
    <row r="421" spans="1:11" x14ac:dyDescent="0.3">
      <c r="A421" s="1" t="s">
        <v>1848</v>
      </c>
      <c r="B421" s="1" t="s">
        <v>1845</v>
      </c>
      <c r="C421" s="1" t="s">
        <v>1468</v>
      </c>
      <c r="D421" s="1">
        <v>3</v>
      </c>
      <c r="E421" s="1">
        <v>0</v>
      </c>
      <c r="F421" s="1" t="b">
        <v>0</v>
      </c>
      <c r="G421">
        <f>VLOOKUP(C421,Products!A:D,4,FALSE)</f>
        <v>2040</v>
      </c>
      <c r="H421" t="str">
        <f>VLOOKUP(C421,Products!A:D,3,FALSE)</f>
        <v>Books</v>
      </c>
      <c r="I421">
        <f t="shared" si="6"/>
        <v>6120</v>
      </c>
      <c r="J421" s="2">
        <f>VLOOKUP(B421,Orders!A:C,3,FALSE)</f>
        <v>46110</v>
      </c>
      <c r="K421" s="1" t="str">
        <f>VLOOKUP(B421,Orders!A:B,2,FALSE)</f>
        <v>C0009</v>
      </c>
    </row>
    <row r="422" spans="1:11" x14ac:dyDescent="0.3">
      <c r="A422" s="1" t="s">
        <v>1849</v>
      </c>
      <c r="B422" s="1" t="s">
        <v>1850</v>
      </c>
      <c r="C422" s="1" t="s">
        <v>1157</v>
      </c>
      <c r="D422" s="1">
        <v>5</v>
      </c>
      <c r="E422" s="1">
        <v>0.1</v>
      </c>
      <c r="F422" s="1" t="b">
        <v>0</v>
      </c>
      <c r="G422">
        <f>VLOOKUP(C422,Products!A:D,4,FALSE)</f>
        <v>1520</v>
      </c>
      <c r="H422" t="str">
        <f>VLOOKUP(C422,Products!A:D,3,FALSE)</f>
        <v>Books</v>
      </c>
      <c r="I422">
        <f t="shared" si="6"/>
        <v>6840</v>
      </c>
      <c r="J422" s="2">
        <f>VLOOKUP(B422,Orders!A:C,3,FALSE)</f>
        <v>45907</v>
      </c>
      <c r="K422" s="1" t="str">
        <f>VLOOKUP(B422,Orders!A:B,2,FALSE)</f>
        <v>C0222</v>
      </c>
    </row>
    <row r="423" spans="1:11" x14ac:dyDescent="0.3">
      <c r="A423" s="1" t="s">
        <v>1851</v>
      </c>
      <c r="B423" s="1" t="s">
        <v>1850</v>
      </c>
      <c r="C423" s="1" t="s">
        <v>1106</v>
      </c>
      <c r="D423" s="1">
        <v>3</v>
      </c>
      <c r="E423" s="1">
        <v>0.05</v>
      </c>
      <c r="F423" s="1" t="b">
        <v>0</v>
      </c>
      <c r="G423">
        <f>VLOOKUP(C423,Products!A:D,4,FALSE)</f>
        <v>1130</v>
      </c>
      <c r="H423" t="str">
        <f>VLOOKUP(C423,Products!A:D,3,FALSE)</f>
        <v>Books</v>
      </c>
      <c r="I423">
        <f t="shared" si="6"/>
        <v>3220.5</v>
      </c>
      <c r="J423" s="2">
        <f>VLOOKUP(B423,Orders!A:C,3,FALSE)</f>
        <v>45907</v>
      </c>
      <c r="K423" s="1" t="str">
        <f>VLOOKUP(B423,Orders!A:B,2,FALSE)</f>
        <v>C0222</v>
      </c>
    </row>
    <row r="424" spans="1:11" x14ac:dyDescent="0.3">
      <c r="A424" s="1" t="s">
        <v>1852</v>
      </c>
      <c r="B424" s="1" t="s">
        <v>1853</v>
      </c>
      <c r="C424" s="1" t="s">
        <v>1644</v>
      </c>
      <c r="D424" s="1">
        <v>3</v>
      </c>
      <c r="E424" s="1">
        <v>0</v>
      </c>
      <c r="F424" s="1" t="b">
        <v>0</v>
      </c>
      <c r="G424">
        <f>VLOOKUP(C424,Products!A:D,4,FALSE)</f>
        <v>1930</v>
      </c>
      <c r="H424" t="str">
        <f>VLOOKUP(C424,Products!A:D,3,FALSE)</f>
        <v>Home &amp; Kitchen</v>
      </c>
      <c r="I424">
        <f t="shared" si="6"/>
        <v>5790</v>
      </c>
      <c r="J424" s="2">
        <f>VLOOKUP(B424,Orders!A:C,3,FALSE)</f>
        <v>45932</v>
      </c>
      <c r="K424" s="1" t="str">
        <f>VLOOKUP(B424,Orders!A:B,2,FALSE)</f>
        <v>C0064</v>
      </c>
    </row>
    <row r="425" spans="1:11" x14ac:dyDescent="0.3">
      <c r="A425" s="1" t="s">
        <v>1854</v>
      </c>
      <c r="B425" s="1" t="s">
        <v>1853</v>
      </c>
      <c r="C425" s="1" t="s">
        <v>1171</v>
      </c>
      <c r="D425" s="1">
        <v>1</v>
      </c>
      <c r="E425" s="1">
        <v>0</v>
      </c>
      <c r="F425" s="1" t="b">
        <v>0</v>
      </c>
      <c r="G425">
        <f>VLOOKUP(C425,Products!A:D,4,FALSE)</f>
        <v>2250</v>
      </c>
      <c r="H425" t="str">
        <f>VLOOKUP(C425,Products!A:D,3,FALSE)</f>
        <v>Home &amp; Kitchen</v>
      </c>
      <c r="I425">
        <f t="shared" si="6"/>
        <v>2250</v>
      </c>
      <c r="J425" s="2">
        <f>VLOOKUP(B425,Orders!A:C,3,FALSE)</f>
        <v>45932</v>
      </c>
      <c r="K425" s="1" t="str">
        <f>VLOOKUP(B425,Orders!A:B,2,FALSE)</f>
        <v>C0064</v>
      </c>
    </row>
    <row r="426" spans="1:11" x14ac:dyDescent="0.3">
      <c r="A426" s="1" t="s">
        <v>1855</v>
      </c>
      <c r="B426" s="1" t="s">
        <v>1856</v>
      </c>
      <c r="C426" s="1" t="s">
        <v>1276</v>
      </c>
      <c r="D426" s="1">
        <v>1</v>
      </c>
      <c r="E426" s="1">
        <v>0</v>
      </c>
      <c r="F426" s="1" t="b">
        <v>0</v>
      </c>
      <c r="G426">
        <f>VLOOKUP(C426,Products!A:D,4,FALSE)</f>
        <v>2010</v>
      </c>
      <c r="H426" t="str">
        <f>VLOOKUP(C426,Products!A:D,3,FALSE)</f>
        <v>Beauty</v>
      </c>
      <c r="I426">
        <f t="shared" si="6"/>
        <v>2010</v>
      </c>
      <c r="J426" s="2">
        <f>VLOOKUP(B426,Orders!A:C,3,FALSE)</f>
        <v>45818</v>
      </c>
      <c r="K426" s="1" t="str">
        <f>VLOOKUP(B426,Orders!A:B,2,FALSE)</f>
        <v>C0085</v>
      </c>
    </row>
    <row r="427" spans="1:11" x14ac:dyDescent="0.3">
      <c r="A427" s="1" t="s">
        <v>1857</v>
      </c>
      <c r="B427" s="1" t="s">
        <v>1856</v>
      </c>
      <c r="C427" s="1" t="s">
        <v>1278</v>
      </c>
      <c r="D427" s="1">
        <v>5</v>
      </c>
      <c r="E427" s="1">
        <v>0</v>
      </c>
      <c r="F427" s="1" t="b">
        <v>0</v>
      </c>
      <c r="G427">
        <f>VLOOKUP(C427,Products!A:D,4,FALSE)</f>
        <v>330</v>
      </c>
      <c r="H427" t="str">
        <f>VLOOKUP(C427,Products!A:D,3,FALSE)</f>
        <v>Books</v>
      </c>
      <c r="I427">
        <f t="shared" si="6"/>
        <v>1650</v>
      </c>
      <c r="J427" s="2">
        <f>VLOOKUP(B427,Orders!A:C,3,FALSE)</f>
        <v>45818</v>
      </c>
      <c r="K427" s="1" t="str">
        <f>VLOOKUP(B427,Orders!A:B,2,FALSE)</f>
        <v>C0085</v>
      </c>
    </row>
    <row r="428" spans="1:11" x14ac:dyDescent="0.3">
      <c r="A428" s="1" t="s">
        <v>1858</v>
      </c>
      <c r="B428" s="1" t="s">
        <v>1859</v>
      </c>
      <c r="C428" s="1" t="s">
        <v>1262</v>
      </c>
      <c r="D428" s="1">
        <v>1</v>
      </c>
      <c r="E428" s="1">
        <v>0</v>
      </c>
      <c r="F428" s="1" t="b">
        <v>0</v>
      </c>
      <c r="G428">
        <f>VLOOKUP(C428,Products!A:D,4,FALSE)</f>
        <v>4020</v>
      </c>
      <c r="H428" t="str">
        <f>VLOOKUP(C428,Products!A:D,3,FALSE)</f>
        <v>Sports</v>
      </c>
      <c r="I428">
        <f t="shared" si="6"/>
        <v>4020</v>
      </c>
      <c r="J428" s="2">
        <f>VLOOKUP(B428,Orders!A:C,3,FALSE)</f>
        <v>46091</v>
      </c>
      <c r="K428" s="1" t="str">
        <f>VLOOKUP(B428,Orders!A:B,2,FALSE)</f>
        <v>C0178</v>
      </c>
    </row>
    <row r="429" spans="1:11" x14ac:dyDescent="0.3">
      <c r="A429" s="1" t="s">
        <v>1860</v>
      </c>
      <c r="B429" s="1" t="s">
        <v>1861</v>
      </c>
      <c r="C429" s="1" t="s">
        <v>1302</v>
      </c>
      <c r="D429" s="1">
        <v>5</v>
      </c>
      <c r="E429" s="1">
        <v>0</v>
      </c>
      <c r="F429" s="1" t="b">
        <v>0</v>
      </c>
      <c r="G429">
        <f>VLOOKUP(C429,Products!A:D,4,FALSE)</f>
        <v>1220</v>
      </c>
      <c r="H429" t="str">
        <f>VLOOKUP(C429,Products!A:D,3,FALSE)</f>
        <v>Home &amp; Kitchen</v>
      </c>
      <c r="I429">
        <f t="shared" si="6"/>
        <v>6100</v>
      </c>
      <c r="J429" s="2">
        <f>VLOOKUP(B429,Orders!A:C,3,FALSE)</f>
        <v>45872</v>
      </c>
      <c r="K429" s="1" t="str">
        <f>VLOOKUP(B429,Orders!A:B,2,FALSE)</f>
        <v>C0146</v>
      </c>
    </row>
    <row r="430" spans="1:11" x14ac:dyDescent="0.3">
      <c r="A430" s="1" t="s">
        <v>1862</v>
      </c>
      <c r="B430" s="1" t="s">
        <v>1861</v>
      </c>
      <c r="C430" s="1" t="s">
        <v>1462</v>
      </c>
      <c r="D430" s="1">
        <v>1</v>
      </c>
      <c r="E430" s="1">
        <v>0</v>
      </c>
      <c r="F430" s="1" t="b">
        <v>0</v>
      </c>
      <c r="G430">
        <f>VLOOKUP(C430,Products!A:D,4,FALSE)</f>
        <v>3070</v>
      </c>
      <c r="H430" t="str">
        <f>VLOOKUP(C430,Products!A:D,3,FALSE)</f>
        <v>Apparel</v>
      </c>
      <c r="I430">
        <f t="shared" si="6"/>
        <v>3070</v>
      </c>
      <c r="J430" s="2">
        <f>VLOOKUP(B430,Orders!A:C,3,FALSE)</f>
        <v>45872</v>
      </c>
      <c r="K430" s="1" t="str">
        <f>VLOOKUP(B430,Orders!A:B,2,FALSE)</f>
        <v>C0146</v>
      </c>
    </row>
    <row r="431" spans="1:11" x14ac:dyDescent="0.3">
      <c r="A431" s="1" t="s">
        <v>1863</v>
      </c>
      <c r="B431" s="1" t="s">
        <v>1864</v>
      </c>
      <c r="C431" s="1" t="s">
        <v>1216</v>
      </c>
      <c r="D431" s="1">
        <v>5</v>
      </c>
      <c r="E431" s="1">
        <v>0</v>
      </c>
      <c r="F431" s="1" t="b">
        <v>0</v>
      </c>
      <c r="G431">
        <f>VLOOKUP(C431,Products!A:D,4,FALSE)</f>
        <v>1240</v>
      </c>
      <c r="H431" t="str">
        <f>VLOOKUP(C431,Products!A:D,3,FALSE)</f>
        <v>Apparel</v>
      </c>
      <c r="I431">
        <f t="shared" si="6"/>
        <v>6200</v>
      </c>
      <c r="J431" s="2">
        <f>VLOOKUP(B431,Orders!A:C,3,FALSE)</f>
        <v>46202</v>
      </c>
      <c r="K431" s="1" t="str">
        <f>VLOOKUP(B431,Orders!A:B,2,FALSE)</f>
        <v>C0101</v>
      </c>
    </row>
    <row r="432" spans="1:11" x14ac:dyDescent="0.3">
      <c r="A432" s="1" t="s">
        <v>1865</v>
      </c>
      <c r="B432" s="1" t="s">
        <v>1866</v>
      </c>
      <c r="C432" s="1" t="s">
        <v>1393</v>
      </c>
      <c r="D432" s="1">
        <v>1</v>
      </c>
      <c r="E432" s="1">
        <v>0</v>
      </c>
      <c r="F432" s="1" t="b">
        <v>0</v>
      </c>
      <c r="G432">
        <f>VLOOKUP(C432,Products!A:D,4,FALSE)</f>
        <v>1520</v>
      </c>
      <c r="H432" t="str">
        <f>VLOOKUP(C432,Products!A:D,3,FALSE)</f>
        <v>Electronics</v>
      </c>
      <c r="I432">
        <f t="shared" si="6"/>
        <v>1520</v>
      </c>
      <c r="J432" s="2">
        <f>VLOOKUP(B432,Orders!A:C,3,FALSE)</f>
        <v>45966</v>
      </c>
      <c r="K432" s="1" t="str">
        <f>VLOOKUP(B432,Orders!A:B,2,FALSE)</f>
        <v>C0283</v>
      </c>
    </row>
    <row r="433" spans="1:11" x14ac:dyDescent="0.3">
      <c r="A433" s="1" t="s">
        <v>1867</v>
      </c>
      <c r="B433" s="1" t="s">
        <v>1866</v>
      </c>
      <c r="C433" s="1" t="s">
        <v>1204</v>
      </c>
      <c r="D433" s="1">
        <v>2</v>
      </c>
      <c r="E433" s="1">
        <v>0.15</v>
      </c>
      <c r="F433" s="1" t="b">
        <v>0</v>
      </c>
      <c r="G433">
        <f>VLOOKUP(C433,Products!A:D,4,FALSE)</f>
        <v>940</v>
      </c>
      <c r="H433" t="str">
        <f>VLOOKUP(C433,Products!A:D,3,FALSE)</f>
        <v>Apparel</v>
      </c>
      <c r="I433">
        <f t="shared" si="6"/>
        <v>1598</v>
      </c>
      <c r="J433" s="2">
        <f>VLOOKUP(B433,Orders!A:C,3,FALSE)</f>
        <v>45966</v>
      </c>
      <c r="K433" s="1" t="str">
        <f>VLOOKUP(B433,Orders!A:B,2,FALSE)</f>
        <v>C0283</v>
      </c>
    </row>
    <row r="434" spans="1:11" x14ac:dyDescent="0.3">
      <c r="A434" s="1" t="s">
        <v>1868</v>
      </c>
      <c r="B434" s="1" t="s">
        <v>1866</v>
      </c>
      <c r="C434" s="1" t="s">
        <v>1143</v>
      </c>
      <c r="D434" s="1">
        <v>1</v>
      </c>
      <c r="E434" s="1">
        <v>0</v>
      </c>
      <c r="F434" s="1" t="b">
        <v>0</v>
      </c>
      <c r="G434">
        <f>VLOOKUP(C434,Products!A:D,4,FALSE)</f>
        <v>2230</v>
      </c>
      <c r="H434" t="str">
        <f>VLOOKUP(C434,Products!A:D,3,FALSE)</f>
        <v>Home &amp; Kitchen</v>
      </c>
      <c r="I434">
        <f t="shared" si="6"/>
        <v>2230</v>
      </c>
      <c r="J434" s="2">
        <f>VLOOKUP(B434,Orders!A:C,3,FALSE)</f>
        <v>45966</v>
      </c>
      <c r="K434" s="1" t="str">
        <f>VLOOKUP(B434,Orders!A:B,2,FALSE)</f>
        <v>C0283</v>
      </c>
    </row>
    <row r="435" spans="1:11" x14ac:dyDescent="0.3">
      <c r="A435" s="1" t="s">
        <v>1869</v>
      </c>
      <c r="B435" s="1" t="s">
        <v>1870</v>
      </c>
      <c r="C435" s="1" t="s">
        <v>1225</v>
      </c>
      <c r="D435" s="1">
        <v>5</v>
      </c>
      <c r="E435" s="1">
        <v>0.2</v>
      </c>
      <c r="F435" s="1" t="b">
        <v>0</v>
      </c>
      <c r="G435">
        <f>VLOOKUP(C435,Products!A:D,4,FALSE)</f>
        <v>2690</v>
      </c>
      <c r="H435" t="str">
        <f>VLOOKUP(C435,Products!A:D,3,FALSE)</f>
        <v>Beauty</v>
      </c>
      <c r="I435">
        <f t="shared" si="6"/>
        <v>10760</v>
      </c>
      <c r="J435" s="2">
        <f>VLOOKUP(B435,Orders!A:C,3,FALSE)</f>
        <v>45934</v>
      </c>
      <c r="K435" s="1" t="str">
        <f>VLOOKUP(B435,Orders!A:B,2,FALSE)</f>
        <v>C0274</v>
      </c>
    </row>
    <row r="436" spans="1:11" x14ac:dyDescent="0.3">
      <c r="A436" s="1" t="s">
        <v>1871</v>
      </c>
      <c r="B436" s="1" t="s">
        <v>1872</v>
      </c>
      <c r="C436" s="1" t="s">
        <v>1152</v>
      </c>
      <c r="D436" s="1">
        <v>4</v>
      </c>
      <c r="E436" s="1">
        <v>0.15</v>
      </c>
      <c r="F436" s="1" t="b">
        <v>0</v>
      </c>
      <c r="G436">
        <f>VLOOKUP(C436,Products!A:D,4,FALSE)</f>
        <v>2250</v>
      </c>
      <c r="H436" t="str">
        <f>VLOOKUP(C436,Products!A:D,3,FALSE)</f>
        <v>Home &amp; Kitchen</v>
      </c>
      <c r="I436">
        <f t="shared" si="6"/>
        <v>7650</v>
      </c>
      <c r="J436" s="2">
        <f>VLOOKUP(B436,Orders!A:C,3,FALSE)</f>
        <v>45885</v>
      </c>
      <c r="K436" s="1" t="str">
        <f>VLOOKUP(B436,Orders!A:B,2,FALSE)</f>
        <v>C0298</v>
      </c>
    </row>
    <row r="437" spans="1:11" x14ac:dyDescent="0.3">
      <c r="A437" s="1" t="s">
        <v>1873</v>
      </c>
      <c r="B437" s="1" t="s">
        <v>1872</v>
      </c>
      <c r="C437" s="1" t="s">
        <v>1149</v>
      </c>
      <c r="D437" s="1">
        <v>1</v>
      </c>
      <c r="E437" s="1">
        <v>0.15</v>
      </c>
      <c r="F437" s="1" t="b">
        <v>0</v>
      </c>
      <c r="G437">
        <f>VLOOKUP(C437,Products!A:D,4,FALSE)</f>
        <v>1150</v>
      </c>
      <c r="H437" t="str">
        <f>VLOOKUP(C437,Products!A:D,3,FALSE)</f>
        <v>Apparel</v>
      </c>
      <c r="I437">
        <f t="shared" si="6"/>
        <v>977.5</v>
      </c>
      <c r="J437" s="2">
        <f>VLOOKUP(B437,Orders!A:C,3,FALSE)</f>
        <v>45885</v>
      </c>
      <c r="K437" s="1" t="str">
        <f>VLOOKUP(B437,Orders!A:B,2,FALSE)</f>
        <v>C0298</v>
      </c>
    </row>
    <row r="438" spans="1:11" x14ac:dyDescent="0.3">
      <c r="A438" s="1" t="s">
        <v>1874</v>
      </c>
      <c r="B438" s="1" t="s">
        <v>1875</v>
      </c>
      <c r="C438" s="1" t="s">
        <v>1163</v>
      </c>
      <c r="D438" s="1">
        <v>3</v>
      </c>
      <c r="E438" s="1">
        <v>0</v>
      </c>
      <c r="F438" s="1" t="b">
        <v>0</v>
      </c>
      <c r="G438">
        <f>VLOOKUP(C438,Products!A:D,4,FALSE)</f>
        <v>2180</v>
      </c>
      <c r="H438" t="str">
        <f>VLOOKUP(C438,Products!A:D,3,FALSE)</f>
        <v>Electronics</v>
      </c>
      <c r="I438">
        <f t="shared" si="6"/>
        <v>6540</v>
      </c>
      <c r="J438" s="2">
        <f>VLOOKUP(B438,Orders!A:C,3,FALSE)</f>
        <v>46106</v>
      </c>
      <c r="K438" s="1" t="str">
        <f>VLOOKUP(B438,Orders!A:B,2,FALSE)</f>
        <v>C0173</v>
      </c>
    </row>
    <row r="439" spans="1:11" x14ac:dyDescent="0.3">
      <c r="A439" s="1" t="s">
        <v>1876</v>
      </c>
      <c r="B439" s="1" t="s">
        <v>1877</v>
      </c>
      <c r="C439" s="1" t="s">
        <v>1182</v>
      </c>
      <c r="D439" s="1">
        <v>5</v>
      </c>
      <c r="E439" s="1">
        <v>0</v>
      </c>
      <c r="F439" s="1" t="b">
        <v>0</v>
      </c>
      <c r="G439">
        <f>VLOOKUP(C439,Products!A:D,4,FALSE)</f>
        <v>790</v>
      </c>
      <c r="H439" t="str">
        <f>VLOOKUP(C439,Products!A:D,3,FALSE)</f>
        <v>Sports</v>
      </c>
      <c r="I439">
        <f t="shared" si="6"/>
        <v>3950</v>
      </c>
      <c r="J439" s="2">
        <f>VLOOKUP(B439,Orders!A:C,3,FALSE)</f>
        <v>46147</v>
      </c>
      <c r="K439" s="1" t="str">
        <f>VLOOKUP(B439,Orders!A:B,2,FALSE)</f>
        <v>C0022</v>
      </c>
    </row>
    <row r="440" spans="1:11" x14ac:dyDescent="0.3">
      <c r="A440" s="1" t="s">
        <v>1878</v>
      </c>
      <c r="B440" s="1" t="s">
        <v>1879</v>
      </c>
      <c r="C440" s="1" t="s">
        <v>1135</v>
      </c>
      <c r="D440" s="1">
        <v>2</v>
      </c>
      <c r="E440" s="1">
        <v>0.1</v>
      </c>
      <c r="F440" s="1" t="b">
        <v>0</v>
      </c>
      <c r="G440">
        <f>VLOOKUP(C440,Products!A:D,4,FALSE)</f>
        <v>470</v>
      </c>
      <c r="H440" t="str">
        <f>VLOOKUP(C440,Products!A:D,3,FALSE)</f>
        <v>Apparel</v>
      </c>
      <c r="I440">
        <f t="shared" si="6"/>
        <v>846</v>
      </c>
      <c r="J440" s="2">
        <f>VLOOKUP(B440,Orders!A:C,3,FALSE)</f>
        <v>45960</v>
      </c>
      <c r="K440" s="1" t="str">
        <f>VLOOKUP(B440,Orders!A:B,2,FALSE)</f>
        <v>C0042</v>
      </c>
    </row>
    <row r="441" spans="1:11" x14ac:dyDescent="0.3">
      <c r="A441" s="1" t="s">
        <v>1880</v>
      </c>
      <c r="B441" s="1" t="s">
        <v>1879</v>
      </c>
      <c r="C441" s="1" t="s">
        <v>1125</v>
      </c>
      <c r="D441" s="1">
        <v>5</v>
      </c>
      <c r="E441" s="1">
        <v>0</v>
      </c>
      <c r="F441" s="1" t="b">
        <v>0</v>
      </c>
      <c r="G441">
        <f>VLOOKUP(C441,Products!A:D,4,FALSE)</f>
        <v>99</v>
      </c>
      <c r="H441" t="str">
        <f>VLOOKUP(C441,Products!A:D,3,FALSE)</f>
        <v>Electronics</v>
      </c>
      <c r="I441">
        <f t="shared" si="6"/>
        <v>495</v>
      </c>
      <c r="J441" s="2">
        <f>VLOOKUP(B441,Orders!A:C,3,FALSE)</f>
        <v>45960</v>
      </c>
      <c r="K441" s="1" t="str">
        <f>VLOOKUP(B441,Orders!A:B,2,FALSE)</f>
        <v>C0042</v>
      </c>
    </row>
    <row r="442" spans="1:11" x14ac:dyDescent="0.3">
      <c r="A442" s="1" t="s">
        <v>1881</v>
      </c>
      <c r="B442" s="1" t="s">
        <v>1882</v>
      </c>
      <c r="C442" s="1" t="s">
        <v>1498</v>
      </c>
      <c r="D442" s="1">
        <v>3</v>
      </c>
      <c r="E442" s="1">
        <v>0.2</v>
      </c>
      <c r="F442" s="1" t="b">
        <v>0</v>
      </c>
      <c r="G442">
        <f>VLOOKUP(C442,Products!A:D,4,FALSE)</f>
        <v>1910</v>
      </c>
      <c r="H442" t="str">
        <f>VLOOKUP(C442,Products!A:D,3,FALSE)</f>
        <v>Apparel</v>
      </c>
      <c r="I442">
        <f t="shared" si="6"/>
        <v>4584</v>
      </c>
      <c r="J442" s="2">
        <f>VLOOKUP(B442,Orders!A:C,3,FALSE)</f>
        <v>46163</v>
      </c>
      <c r="K442" s="1" t="str">
        <f>VLOOKUP(B442,Orders!A:B,2,FALSE)</f>
        <v>C0136</v>
      </c>
    </row>
    <row r="443" spans="1:11" x14ac:dyDescent="0.3">
      <c r="A443" s="1" t="s">
        <v>1883</v>
      </c>
      <c r="B443" s="1" t="s">
        <v>1884</v>
      </c>
      <c r="C443" s="1" t="s">
        <v>1184</v>
      </c>
      <c r="D443" s="1">
        <v>2</v>
      </c>
      <c r="E443" s="1">
        <v>0</v>
      </c>
      <c r="F443" s="1" t="b">
        <v>0</v>
      </c>
      <c r="G443">
        <f>VLOOKUP(C443,Products!A:D,4,FALSE)</f>
        <v>2230</v>
      </c>
      <c r="H443" t="str">
        <f>VLOOKUP(C443,Products!A:D,3,FALSE)</f>
        <v>Sports</v>
      </c>
      <c r="I443">
        <f t="shared" si="6"/>
        <v>4460</v>
      </c>
      <c r="J443" s="2">
        <f>VLOOKUP(B443,Orders!A:C,3,FALSE)</f>
        <v>45998</v>
      </c>
      <c r="K443" s="1" t="str">
        <f>VLOOKUP(B443,Orders!A:B,2,FALSE)</f>
        <v>C0214</v>
      </c>
    </row>
    <row r="444" spans="1:11" x14ac:dyDescent="0.3">
      <c r="A444" s="1" t="s">
        <v>1885</v>
      </c>
      <c r="B444" s="1" t="s">
        <v>1884</v>
      </c>
      <c r="C444" s="1" t="s">
        <v>1116</v>
      </c>
      <c r="D444" s="1">
        <v>2</v>
      </c>
      <c r="E444" s="1">
        <v>0.05</v>
      </c>
      <c r="F444" s="1" t="b">
        <v>0</v>
      </c>
      <c r="G444">
        <f>VLOOKUP(C444,Products!A:D,4,FALSE)</f>
        <v>3000</v>
      </c>
      <c r="H444" t="str">
        <f>VLOOKUP(C444,Products!A:D,3,FALSE)</f>
        <v>Home &amp; Kitchen</v>
      </c>
      <c r="I444">
        <f t="shared" si="6"/>
        <v>5700</v>
      </c>
      <c r="J444" s="2">
        <f>VLOOKUP(B444,Orders!A:C,3,FALSE)</f>
        <v>45998</v>
      </c>
      <c r="K444" s="1" t="str">
        <f>VLOOKUP(B444,Orders!A:B,2,FALSE)</f>
        <v>C0214</v>
      </c>
    </row>
    <row r="445" spans="1:11" x14ac:dyDescent="0.3">
      <c r="A445" s="1" t="s">
        <v>1886</v>
      </c>
      <c r="B445" s="1" t="s">
        <v>1884</v>
      </c>
      <c r="C445" s="1" t="s">
        <v>1307</v>
      </c>
      <c r="D445" s="1">
        <v>3</v>
      </c>
      <c r="E445" s="1">
        <v>0.1</v>
      </c>
      <c r="F445" s="1" t="b">
        <v>0</v>
      </c>
      <c r="G445">
        <f>VLOOKUP(C445,Products!A:D,4,FALSE)</f>
        <v>99</v>
      </c>
      <c r="H445" t="str">
        <f>VLOOKUP(C445,Products!A:D,3,FALSE)</f>
        <v>Sports</v>
      </c>
      <c r="I445">
        <f t="shared" si="6"/>
        <v>267.3</v>
      </c>
      <c r="J445" s="2">
        <f>VLOOKUP(B445,Orders!A:C,3,FALSE)</f>
        <v>45998</v>
      </c>
      <c r="K445" s="1" t="str">
        <f>VLOOKUP(B445,Orders!A:B,2,FALSE)</f>
        <v>C0214</v>
      </c>
    </row>
    <row r="446" spans="1:11" x14ac:dyDescent="0.3">
      <c r="A446" s="1" t="s">
        <v>1887</v>
      </c>
      <c r="B446" s="1" t="s">
        <v>1888</v>
      </c>
      <c r="C446" s="1" t="s">
        <v>1130</v>
      </c>
      <c r="D446" s="1">
        <v>5</v>
      </c>
      <c r="E446" s="1">
        <v>0.05</v>
      </c>
      <c r="F446" s="1" t="b">
        <v>0</v>
      </c>
      <c r="G446">
        <f>VLOOKUP(C446,Products!A:D,4,FALSE)</f>
        <v>2400</v>
      </c>
      <c r="H446" t="str">
        <f>VLOOKUP(C446,Products!A:D,3,FALSE)</f>
        <v>Electronics</v>
      </c>
      <c r="I446">
        <f t="shared" si="6"/>
        <v>11400</v>
      </c>
      <c r="J446" s="2">
        <f>VLOOKUP(B446,Orders!A:C,3,FALSE)</f>
        <v>45936</v>
      </c>
      <c r="K446" s="1" t="str">
        <f>VLOOKUP(B446,Orders!A:B,2,FALSE)</f>
        <v>C0255</v>
      </c>
    </row>
    <row r="447" spans="1:11" x14ac:dyDescent="0.3">
      <c r="A447" s="1" t="s">
        <v>1889</v>
      </c>
      <c r="B447" s="1" t="s">
        <v>1890</v>
      </c>
      <c r="C447" s="1" t="s">
        <v>1288</v>
      </c>
      <c r="D447" s="1">
        <v>5</v>
      </c>
      <c r="E447" s="1">
        <v>0.2</v>
      </c>
      <c r="F447" s="1" t="b">
        <v>0</v>
      </c>
      <c r="G447">
        <f>VLOOKUP(C447,Products!A:D,4,FALSE)</f>
        <v>2580</v>
      </c>
      <c r="H447" t="str">
        <f>VLOOKUP(C447,Products!A:D,3,FALSE)</f>
        <v>Beauty</v>
      </c>
      <c r="I447">
        <f t="shared" si="6"/>
        <v>10320</v>
      </c>
      <c r="J447" s="2">
        <f>VLOOKUP(B447,Orders!A:C,3,FALSE)</f>
        <v>46038</v>
      </c>
      <c r="K447" s="1" t="str">
        <f>VLOOKUP(B447,Orders!A:B,2,FALSE)</f>
        <v>C0149</v>
      </c>
    </row>
    <row r="448" spans="1:11" x14ac:dyDescent="0.3">
      <c r="A448" s="1" t="s">
        <v>1891</v>
      </c>
      <c r="B448" s="1" t="s">
        <v>1890</v>
      </c>
      <c r="C448" s="1" t="s">
        <v>1174</v>
      </c>
      <c r="D448" s="1">
        <v>5</v>
      </c>
      <c r="E448" s="1">
        <v>0</v>
      </c>
      <c r="F448" s="1" t="b">
        <v>0</v>
      </c>
      <c r="G448">
        <f>VLOOKUP(C448,Products!A:D,4,FALSE)</f>
        <v>1250</v>
      </c>
      <c r="H448" t="str">
        <f>VLOOKUP(C448,Products!A:D,3,FALSE)</f>
        <v>Sports</v>
      </c>
      <c r="I448">
        <f t="shared" ref="I448:I511" si="7">G448*D448*(1-E448)</f>
        <v>6250</v>
      </c>
      <c r="J448" s="2">
        <f>VLOOKUP(B448,Orders!A:C,3,FALSE)</f>
        <v>46038</v>
      </c>
      <c r="K448" s="1" t="str">
        <f>VLOOKUP(B448,Orders!A:B,2,FALSE)</f>
        <v>C0149</v>
      </c>
    </row>
    <row r="449" spans="1:11" x14ac:dyDescent="0.3">
      <c r="A449" s="1" t="s">
        <v>1892</v>
      </c>
      <c r="B449" s="1" t="s">
        <v>1893</v>
      </c>
      <c r="C449" s="1" t="s">
        <v>1656</v>
      </c>
      <c r="D449" s="1">
        <v>5</v>
      </c>
      <c r="E449" s="1">
        <v>0.2</v>
      </c>
      <c r="F449" s="1" t="b">
        <v>0</v>
      </c>
      <c r="G449">
        <f>VLOOKUP(C449,Products!A:D,4,FALSE)</f>
        <v>1240</v>
      </c>
      <c r="H449" t="str">
        <f>VLOOKUP(C449,Products!A:D,3,FALSE)</f>
        <v>Beauty</v>
      </c>
      <c r="I449">
        <f t="shared" si="7"/>
        <v>4960</v>
      </c>
      <c r="J449" s="2">
        <f>VLOOKUP(B449,Orders!A:C,3,FALSE)</f>
        <v>45873</v>
      </c>
      <c r="K449" s="1" t="str">
        <f>VLOOKUP(B449,Orders!A:B,2,FALSE)</f>
        <v>C0248</v>
      </c>
    </row>
    <row r="450" spans="1:11" x14ac:dyDescent="0.3">
      <c r="A450" s="1" t="s">
        <v>1894</v>
      </c>
      <c r="B450" s="1" t="s">
        <v>1895</v>
      </c>
      <c r="C450" s="1" t="s">
        <v>1116</v>
      </c>
      <c r="D450" s="1">
        <v>3</v>
      </c>
      <c r="E450" s="1">
        <v>0.2</v>
      </c>
      <c r="F450" s="1" t="b">
        <v>1</v>
      </c>
      <c r="G450">
        <f>VLOOKUP(C450,Products!A:D,4,FALSE)</f>
        <v>3000</v>
      </c>
      <c r="H450" t="str">
        <f>VLOOKUP(C450,Products!A:D,3,FALSE)</f>
        <v>Home &amp; Kitchen</v>
      </c>
      <c r="I450">
        <f t="shared" si="7"/>
        <v>7200</v>
      </c>
      <c r="J450" s="2">
        <f>VLOOKUP(B450,Orders!A:C,3,FALSE)</f>
        <v>45902</v>
      </c>
      <c r="K450" s="1" t="str">
        <f>VLOOKUP(B450,Orders!A:B,2,FALSE)</f>
        <v>C0153</v>
      </c>
    </row>
    <row r="451" spans="1:11" x14ac:dyDescent="0.3">
      <c r="A451" s="1" t="s">
        <v>1896</v>
      </c>
      <c r="B451" s="1" t="s">
        <v>1897</v>
      </c>
      <c r="C451" s="1" t="s">
        <v>1137</v>
      </c>
      <c r="D451" s="1">
        <v>3</v>
      </c>
      <c r="E451" s="1">
        <v>0</v>
      </c>
      <c r="F451" s="1" t="b">
        <v>0</v>
      </c>
      <c r="G451">
        <f>VLOOKUP(C451,Products!A:D,4,FALSE)</f>
        <v>1910</v>
      </c>
      <c r="H451" t="str">
        <f>VLOOKUP(C451,Products!A:D,3,FALSE)</f>
        <v>Apparel</v>
      </c>
      <c r="I451">
        <f t="shared" si="7"/>
        <v>5730</v>
      </c>
      <c r="J451" s="2">
        <f>VLOOKUP(B451,Orders!A:C,3,FALSE)</f>
        <v>45922</v>
      </c>
      <c r="K451" s="1" t="str">
        <f>VLOOKUP(B451,Orders!A:B,2,FALSE)</f>
        <v>C0081</v>
      </c>
    </row>
    <row r="452" spans="1:11" x14ac:dyDescent="0.3">
      <c r="A452" s="1" t="s">
        <v>1898</v>
      </c>
      <c r="B452" s="1" t="s">
        <v>1897</v>
      </c>
      <c r="C452" s="1" t="s">
        <v>1290</v>
      </c>
      <c r="D452" s="1">
        <v>3</v>
      </c>
      <c r="E452" s="1">
        <v>0</v>
      </c>
      <c r="F452" s="1" t="b">
        <v>0</v>
      </c>
      <c r="G452">
        <f>VLOOKUP(C452,Products!A:D,4,FALSE)</f>
        <v>990</v>
      </c>
      <c r="H452" t="str">
        <f>VLOOKUP(C452,Products!A:D,3,FALSE)</f>
        <v>Books</v>
      </c>
      <c r="I452">
        <f t="shared" si="7"/>
        <v>2970</v>
      </c>
      <c r="J452" s="2">
        <f>VLOOKUP(B452,Orders!A:C,3,FALSE)</f>
        <v>45922</v>
      </c>
      <c r="K452" s="1" t="str">
        <f>VLOOKUP(B452,Orders!A:B,2,FALSE)</f>
        <v>C0081</v>
      </c>
    </row>
    <row r="453" spans="1:11" x14ac:dyDescent="0.3">
      <c r="A453" s="1" t="s">
        <v>1899</v>
      </c>
      <c r="B453" s="1" t="s">
        <v>1900</v>
      </c>
      <c r="C453" s="1" t="s">
        <v>1656</v>
      </c>
      <c r="D453" s="1">
        <v>1</v>
      </c>
      <c r="E453" s="1">
        <v>0.2</v>
      </c>
      <c r="F453" s="1" t="b">
        <v>0</v>
      </c>
      <c r="G453">
        <f>VLOOKUP(C453,Products!A:D,4,FALSE)</f>
        <v>1240</v>
      </c>
      <c r="H453" t="str">
        <f>VLOOKUP(C453,Products!A:D,3,FALSE)</f>
        <v>Beauty</v>
      </c>
      <c r="I453">
        <f t="shared" si="7"/>
        <v>992</v>
      </c>
      <c r="J453" s="2">
        <f>VLOOKUP(B453,Orders!A:C,3,FALSE)</f>
        <v>46120</v>
      </c>
      <c r="K453" s="1" t="str">
        <f>VLOOKUP(B453,Orders!A:B,2,FALSE)</f>
        <v>C0238</v>
      </c>
    </row>
    <row r="454" spans="1:11" x14ac:dyDescent="0.3">
      <c r="A454" s="1" t="s">
        <v>1901</v>
      </c>
      <c r="B454" s="1" t="s">
        <v>1902</v>
      </c>
      <c r="C454" s="1" t="s">
        <v>1328</v>
      </c>
      <c r="D454" s="1">
        <v>1</v>
      </c>
      <c r="E454" s="1">
        <v>0</v>
      </c>
      <c r="F454" s="1" t="b">
        <v>0</v>
      </c>
      <c r="G454">
        <f>VLOOKUP(C454,Products!A:D,4,FALSE)</f>
        <v>1880</v>
      </c>
      <c r="H454" t="str">
        <f>VLOOKUP(C454,Products!A:D,3,FALSE)</f>
        <v>Apparel</v>
      </c>
      <c r="I454">
        <f t="shared" si="7"/>
        <v>1880</v>
      </c>
      <c r="J454" s="2">
        <f>VLOOKUP(B454,Orders!A:C,3,FALSE)</f>
        <v>46137</v>
      </c>
      <c r="K454" s="1" t="str">
        <f>VLOOKUP(B454,Orders!A:B,2,FALSE)</f>
        <v>C0074</v>
      </c>
    </row>
    <row r="455" spans="1:11" x14ac:dyDescent="0.3">
      <c r="A455" s="1" t="s">
        <v>1903</v>
      </c>
      <c r="B455" s="1" t="s">
        <v>1902</v>
      </c>
      <c r="C455" s="1" t="s">
        <v>1199</v>
      </c>
      <c r="D455" s="1">
        <v>4</v>
      </c>
      <c r="E455" s="1">
        <v>0</v>
      </c>
      <c r="F455" s="1" t="b">
        <v>0</v>
      </c>
      <c r="G455">
        <f>VLOOKUP(C455,Products!A:D,4,FALSE)</f>
        <v>99</v>
      </c>
      <c r="H455" t="str">
        <f>VLOOKUP(C455,Products!A:D,3,FALSE)</f>
        <v>Electronics</v>
      </c>
      <c r="I455">
        <f t="shared" si="7"/>
        <v>396</v>
      </c>
      <c r="J455" s="2">
        <f>VLOOKUP(B455,Orders!A:C,3,FALSE)</f>
        <v>46137</v>
      </c>
      <c r="K455" s="1" t="str">
        <f>VLOOKUP(B455,Orders!A:B,2,FALSE)</f>
        <v>C0074</v>
      </c>
    </row>
    <row r="456" spans="1:11" x14ac:dyDescent="0.3">
      <c r="A456" s="1" t="s">
        <v>1904</v>
      </c>
      <c r="B456" s="1" t="s">
        <v>1902</v>
      </c>
      <c r="C456" s="1" t="s">
        <v>1219</v>
      </c>
      <c r="D456" s="1">
        <v>1</v>
      </c>
      <c r="E456" s="1">
        <v>0.1</v>
      </c>
      <c r="F456" s="1" t="b">
        <v>0</v>
      </c>
      <c r="G456">
        <f>VLOOKUP(C456,Products!A:D,4,FALSE)</f>
        <v>2090</v>
      </c>
      <c r="H456" t="str">
        <f>VLOOKUP(C456,Products!A:D,3,FALSE)</f>
        <v>Beauty</v>
      </c>
      <c r="I456">
        <f t="shared" si="7"/>
        <v>1881</v>
      </c>
      <c r="J456" s="2">
        <f>VLOOKUP(B456,Orders!A:C,3,FALSE)</f>
        <v>46137</v>
      </c>
      <c r="K456" s="1" t="str">
        <f>VLOOKUP(B456,Orders!A:B,2,FALSE)</f>
        <v>C0074</v>
      </c>
    </row>
    <row r="457" spans="1:11" x14ac:dyDescent="0.3">
      <c r="A457" s="1" t="s">
        <v>1905</v>
      </c>
      <c r="B457" s="1" t="s">
        <v>1906</v>
      </c>
      <c r="C457" s="1" t="s">
        <v>1265</v>
      </c>
      <c r="D457" s="1">
        <v>4</v>
      </c>
      <c r="E457" s="1">
        <v>0.1</v>
      </c>
      <c r="F457" s="1" t="b">
        <v>0</v>
      </c>
      <c r="G457">
        <f>VLOOKUP(C457,Products!A:D,4,FALSE)</f>
        <v>99</v>
      </c>
      <c r="H457" t="str">
        <f>VLOOKUP(C457,Products!A:D,3,FALSE)</f>
        <v>Beauty</v>
      </c>
      <c r="I457">
        <f t="shared" si="7"/>
        <v>356.40000000000003</v>
      </c>
      <c r="J457" s="2">
        <f>VLOOKUP(B457,Orders!A:C,3,FALSE)</f>
        <v>46202</v>
      </c>
      <c r="K457" s="1" t="str">
        <f>VLOOKUP(B457,Orders!A:B,2,FALSE)</f>
        <v>C0177</v>
      </c>
    </row>
    <row r="458" spans="1:11" x14ac:dyDescent="0.3">
      <c r="A458" s="1" t="s">
        <v>1907</v>
      </c>
      <c r="B458" s="1" t="s">
        <v>1906</v>
      </c>
      <c r="C458" s="1" t="s">
        <v>1191</v>
      </c>
      <c r="D458" s="1">
        <v>5</v>
      </c>
      <c r="E458" s="1">
        <v>0</v>
      </c>
      <c r="F458" s="1" t="b">
        <v>0</v>
      </c>
      <c r="G458">
        <f>VLOOKUP(C458,Products!A:D,4,FALSE)</f>
        <v>99</v>
      </c>
      <c r="H458" t="str">
        <f>VLOOKUP(C458,Products!A:D,3,FALSE)</f>
        <v>Sports</v>
      </c>
      <c r="I458">
        <f t="shared" si="7"/>
        <v>495</v>
      </c>
      <c r="J458" s="2">
        <f>VLOOKUP(B458,Orders!A:C,3,FALSE)</f>
        <v>46202</v>
      </c>
      <c r="K458" s="1" t="str">
        <f>VLOOKUP(B458,Orders!A:B,2,FALSE)</f>
        <v>C0177</v>
      </c>
    </row>
    <row r="459" spans="1:11" x14ac:dyDescent="0.3">
      <c r="A459" s="1" t="s">
        <v>1908</v>
      </c>
      <c r="B459" s="1" t="s">
        <v>1909</v>
      </c>
      <c r="C459" s="1" t="s">
        <v>1299</v>
      </c>
      <c r="D459" s="1">
        <v>5</v>
      </c>
      <c r="E459" s="1">
        <v>0.15</v>
      </c>
      <c r="F459" s="1" t="b">
        <v>0</v>
      </c>
      <c r="G459">
        <f>VLOOKUP(C459,Products!A:D,4,FALSE)</f>
        <v>1080</v>
      </c>
      <c r="H459" t="str">
        <f>VLOOKUP(C459,Products!A:D,3,FALSE)</f>
        <v>Beauty</v>
      </c>
      <c r="I459">
        <f t="shared" si="7"/>
        <v>4590</v>
      </c>
      <c r="J459" s="2">
        <f>VLOOKUP(B459,Orders!A:C,3,FALSE)</f>
        <v>46095</v>
      </c>
      <c r="K459" s="1" t="str">
        <f>VLOOKUP(B459,Orders!A:B,2,FALSE)</f>
        <v>C0190</v>
      </c>
    </row>
    <row r="460" spans="1:11" x14ac:dyDescent="0.3">
      <c r="A460" s="1" t="s">
        <v>1910</v>
      </c>
      <c r="B460" s="1" t="s">
        <v>1911</v>
      </c>
      <c r="C460" s="1" t="s">
        <v>1132</v>
      </c>
      <c r="D460" s="1">
        <v>4</v>
      </c>
      <c r="E460" s="1">
        <v>0.2</v>
      </c>
      <c r="F460" s="1" t="b">
        <v>0</v>
      </c>
      <c r="G460">
        <f>VLOOKUP(C460,Products!A:D,4,FALSE)</f>
        <v>420</v>
      </c>
      <c r="H460" t="str">
        <f>VLOOKUP(C460,Products!A:D,3,FALSE)</f>
        <v>Beauty</v>
      </c>
      <c r="I460">
        <f t="shared" si="7"/>
        <v>1344</v>
      </c>
      <c r="J460" s="2">
        <f>VLOOKUP(B460,Orders!A:C,3,FALSE)</f>
        <v>46143</v>
      </c>
      <c r="K460" s="1" t="str">
        <f>VLOOKUP(B460,Orders!A:B,2,FALSE)</f>
        <v>C0164</v>
      </c>
    </row>
    <row r="461" spans="1:11" x14ac:dyDescent="0.3">
      <c r="A461" s="1" t="s">
        <v>1912</v>
      </c>
      <c r="B461" s="1" t="s">
        <v>1913</v>
      </c>
      <c r="C461" s="1" t="s">
        <v>1242</v>
      </c>
      <c r="D461" s="1">
        <v>3</v>
      </c>
      <c r="E461" s="1">
        <v>0.1</v>
      </c>
      <c r="F461" s="1" t="b">
        <v>0</v>
      </c>
      <c r="G461">
        <f>VLOOKUP(C461,Products!A:D,4,FALSE)</f>
        <v>2720</v>
      </c>
      <c r="H461" t="str">
        <f>VLOOKUP(C461,Products!A:D,3,FALSE)</f>
        <v>Beauty</v>
      </c>
      <c r="I461">
        <f t="shared" si="7"/>
        <v>7344</v>
      </c>
      <c r="J461" s="2">
        <f>VLOOKUP(B461,Orders!A:C,3,FALSE)</f>
        <v>45978</v>
      </c>
      <c r="K461" s="1" t="str">
        <f>VLOOKUP(B461,Orders!A:B,2,FALSE)</f>
        <v>C0063</v>
      </c>
    </row>
    <row r="462" spans="1:11" x14ac:dyDescent="0.3">
      <c r="A462" s="1" t="s">
        <v>1914</v>
      </c>
      <c r="B462" s="1" t="s">
        <v>1915</v>
      </c>
      <c r="C462" s="1" t="s">
        <v>1188</v>
      </c>
      <c r="D462" s="1">
        <v>3</v>
      </c>
      <c r="E462" s="1">
        <v>0.2</v>
      </c>
      <c r="F462" s="1" t="b">
        <v>0</v>
      </c>
      <c r="G462">
        <f>VLOOKUP(C462,Products!A:D,4,FALSE)</f>
        <v>2530</v>
      </c>
      <c r="H462" t="str">
        <f>VLOOKUP(C462,Products!A:D,3,FALSE)</f>
        <v>Beauty</v>
      </c>
      <c r="I462">
        <f t="shared" si="7"/>
        <v>6072</v>
      </c>
      <c r="J462" s="2">
        <f>VLOOKUP(B462,Orders!A:C,3,FALSE)</f>
        <v>46117</v>
      </c>
      <c r="K462" s="1" t="str">
        <f>VLOOKUP(B462,Orders!A:B,2,FALSE)</f>
        <v>C0073</v>
      </c>
    </row>
    <row r="463" spans="1:11" x14ac:dyDescent="0.3">
      <c r="A463" s="1" t="s">
        <v>1916</v>
      </c>
      <c r="B463" s="1" t="s">
        <v>1915</v>
      </c>
      <c r="C463" s="1" t="s">
        <v>1242</v>
      </c>
      <c r="D463" s="1">
        <v>5</v>
      </c>
      <c r="E463" s="1">
        <v>0</v>
      </c>
      <c r="F463" s="1" t="b">
        <v>0</v>
      </c>
      <c r="G463">
        <f>VLOOKUP(C463,Products!A:D,4,FALSE)</f>
        <v>2720</v>
      </c>
      <c r="H463" t="str">
        <f>VLOOKUP(C463,Products!A:D,3,FALSE)</f>
        <v>Beauty</v>
      </c>
      <c r="I463">
        <f t="shared" si="7"/>
        <v>13600</v>
      </c>
      <c r="J463" s="2">
        <f>VLOOKUP(B463,Orders!A:C,3,FALSE)</f>
        <v>46117</v>
      </c>
      <c r="K463" s="1" t="str">
        <f>VLOOKUP(B463,Orders!A:B,2,FALSE)</f>
        <v>C0073</v>
      </c>
    </row>
    <row r="464" spans="1:11" x14ac:dyDescent="0.3">
      <c r="A464" s="1" t="s">
        <v>1917</v>
      </c>
      <c r="B464" s="1" t="s">
        <v>1918</v>
      </c>
      <c r="C464" s="1" t="s">
        <v>1111</v>
      </c>
      <c r="D464" s="1">
        <v>3</v>
      </c>
      <c r="E464" s="1">
        <v>0</v>
      </c>
      <c r="F464" s="1" t="b">
        <v>0</v>
      </c>
      <c r="G464">
        <f>VLOOKUP(C464,Products!A:D,4,FALSE)</f>
        <v>2450</v>
      </c>
      <c r="H464" t="str">
        <f>VLOOKUP(C464,Products!A:D,3,FALSE)</f>
        <v>Sports</v>
      </c>
      <c r="I464">
        <f t="shared" si="7"/>
        <v>7350</v>
      </c>
      <c r="J464" s="2">
        <f>VLOOKUP(B464,Orders!A:C,3,FALSE)</f>
        <v>45822</v>
      </c>
      <c r="K464" s="1" t="str">
        <f>VLOOKUP(B464,Orders!A:B,2,FALSE)</f>
        <v>C0197</v>
      </c>
    </row>
    <row r="465" spans="1:11" x14ac:dyDescent="0.3">
      <c r="A465" s="1" t="s">
        <v>1919</v>
      </c>
      <c r="B465" s="1" t="s">
        <v>1918</v>
      </c>
      <c r="C465" s="1" t="s">
        <v>1171</v>
      </c>
      <c r="D465" s="1">
        <v>5</v>
      </c>
      <c r="E465" s="1">
        <v>0</v>
      </c>
      <c r="F465" s="1" t="b">
        <v>0</v>
      </c>
      <c r="G465">
        <f>VLOOKUP(C465,Products!A:D,4,FALSE)</f>
        <v>2250</v>
      </c>
      <c r="H465" t="str">
        <f>VLOOKUP(C465,Products!A:D,3,FALSE)</f>
        <v>Home &amp; Kitchen</v>
      </c>
      <c r="I465">
        <f t="shared" si="7"/>
        <v>11250</v>
      </c>
      <c r="J465" s="2">
        <f>VLOOKUP(B465,Orders!A:C,3,FALSE)</f>
        <v>45822</v>
      </c>
      <c r="K465" s="1" t="str">
        <f>VLOOKUP(B465,Orders!A:B,2,FALSE)</f>
        <v>C0197</v>
      </c>
    </row>
    <row r="466" spans="1:11" x14ac:dyDescent="0.3">
      <c r="A466" s="1" t="s">
        <v>1920</v>
      </c>
      <c r="B466" s="1" t="s">
        <v>1921</v>
      </c>
      <c r="C466" s="1" t="s">
        <v>1168</v>
      </c>
      <c r="D466" s="1">
        <v>5</v>
      </c>
      <c r="E466" s="1">
        <v>0.05</v>
      </c>
      <c r="F466" s="1" t="b">
        <v>0</v>
      </c>
      <c r="G466">
        <f>VLOOKUP(C466,Products!A:D,4,FALSE)</f>
        <v>1440</v>
      </c>
      <c r="H466" t="str">
        <f>VLOOKUP(C466,Products!A:D,3,FALSE)</f>
        <v>Sports</v>
      </c>
      <c r="I466">
        <f t="shared" si="7"/>
        <v>6840</v>
      </c>
      <c r="J466" s="2">
        <f>VLOOKUP(B466,Orders!A:C,3,FALSE)</f>
        <v>45851</v>
      </c>
      <c r="K466" s="1" t="str">
        <f>VLOOKUP(B466,Orders!A:B,2,FALSE)</f>
        <v>C0128</v>
      </c>
    </row>
    <row r="467" spans="1:11" x14ac:dyDescent="0.3">
      <c r="A467" s="1" t="s">
        <v>1922</v>
      </c>
      <c r="B467" s="1" t="s">
        <v>1923</v>
      </c>
      <c r="C467" s="1" t="s">
        <v>1116</v>
      </c>
      <c r="D467" s="1">
        <v>2</v>
      </c>
      <c r="E467" s="1">
        <v>0.1</v>
      </c>
      <c r="F467" s="1" t="b">
        <v>0</v>
      </c>
      <c r="G467">
        <f>VLOOKUP(C467,Products!A:D,4,FALSE)</f>
        <v>3000</v>
      </c>
      <c r="H467" t="str">
        <f>VLOOKUP(C467,Products!A:D,3,FALSE)</f>
        <v>Home &amp; Kitchen</v>
      </c>
      <c r="I467">
        <f t="shared" si="7"/>
        <v>5400</v>
      </c>
      <c r="J467" s="2">
        <f>VLOOKUP(B467,Orders!A:C,3,FALSE)</f>
        <v>45953</v>
      </c>
      <c r="K467" s="1" t="str">
        <f>VLOOKUP(B467,Orders!A:B,2,FALSE)</f>
        <v>C0168</v>
      </c>
    </row>
    <row r="468" spans="1:11" x14ac:dyDescent="0.3">
      <c r="A468" s="1" t="s">
        <v>1924</v>
      </c>
      <c r="B468" s="1" t="s">
        <v>1925</v>
      </c>
      <c r="C468" s="1" t="s">
        <v>1328</v>
      </c>
      <c r="D468" s="1">
        <v>5</v>
      </c>
      <c r="E468" s="1">
        <v>0.15</v>
      </c>
      <c r="F468" s="1" t="b">
        <v>0</v>
      </c>
      <c r="G468">
        <f>VLOOKUP(C468,Products!A:D,4,FALSE)</f>
        <v>1880</v>
      </c>
      <c r="H468" t="str">
        <f>VLOOKUP(C468,Products!A:D,3,FALSE)</f>
        <v>Apparel</v>
      </c>
      <c r="I468">
        <f t="shared" si="7"/>
        <v>7990</v>
      </c>
      <c r="J468" s="2">
        <f>VLOOKUP(B468,Orders!A:C,3,FALSE)</f>
        <v>45919</v>
      </c>
      <c r="K468" s="1" t="str">
        <f>VLOOKUP(B468,Orders!A:B,2,FALSE)</f>
        <v>C0098</v>
      </c>
    </row>
    <row r="469" spans="1:11" x14ac:dyDescent="0.3">
      <c r="A469" s="1" t="s">
        <v>1926</v>
      </c>
      <c r="B469" s="1" t="s">
        <v>1925</v>
      </c>
      <c r="C469" s="1" t="s">
        <v>1267</v>
      </c>
      <c r="D469" s="1">
        <v>4</v>
      </c>
      <c r="E469" s="1">
        <v>0.15</v>
      </c>
      <c r="F469" s="1" t="b">
        <v>0</v>
      </c>
      <c r="G469">
        <f>VLOOKUP(C469,Products!A:D,4,FALSE)</f>
        <v>3650</v>
      </c>
      <c r="H469" t="str">
        <f>VLOOKUP(C469,Products!A:D,3,FALSE)</f>
        <v>Books</v>
      </c>
      <c r="I469">
        <f t="shared" si="7"/>
        <v>12410</v>
      </c>
      <c r="J469" s="2">
        <f>VLOOKUP(B469,Orders!A:C,3,FALSE)</f>
        <v>45919</v>
      </c>
      <c r="K469" s="1" t="str">
        <f>VLOOKUP(B469,Orders!A:B,2,FALSE)</f>
        <v>C0098</v>
      </c>
    </row>
    <row r="470" spans="1:11" x14ac:dyDescent="0.3">
      <c r="A470" s="1" t="s">
        <v>1927</v>
      </c>
      <c r="B470" s="1" t="s">
        <v>1928</v>
      </c>
      <c r="C470" s="1" t="s">
        <v>1564</v>
      </c>
      <c r="D470" s="1">
        <v>3</v>
      </c>
      <c r="E470" s="1">
        <v>0.15</v>
      </c>
      <c r="F470" s="1" t="b">
        <v>0</v>
      </c>
      <c r="G470">
        <f>VLOOKUP(C470,Products!A:D,4,FALSE)</f>
        <v>3680</v>
      </c>
      <c r="H470" t="str">
        <f>VLOOKUP(C470,Products!A:D,3,FALSE)</f>
        <v>Home &amp; Kitchen</v>
      </c>
      <c r="I470">
        <f t="shared" si="7"/>
        <v>9384</v>
      </c>
      <c r="J470" s="2">
        <f>VLOOKUP(B470,Orders!A:C,3,FALSE)</f>
        <v>46035</v>
      </c>
      <c r="K470" s="1" t="str">
        <f>VLOOKUP(B470,Orders!A:B,2,FALSE)</f>
        <v>C0264</v>
      </c>
    </row>
    <row r="471" spans="1:11" x14ac:dyDescent="0.3">
      <c r="A471" s="1" t="s">
        <v>1929</v>
      </c>
      <c r="B471" s="1" t="s">
        <v>1930</v>
      </c>
      <c r="C471" s="1" t="s">
        <v>1140</v>
      </c>
      <c r="D471" s="1">
        <v>1</v>
      </c>
      <c r="E471" s="1">
        <v>0</v>
      </c>
      <c r="F471" s="1" t="b">
        <v>0</v>
      </c>
      <c r="G471">
        <f>VLOOKUP(C471,Products!A:D,4,FALSE)</f>
        <v>3040</v>
      </c>
      <c r="H471" t="str">
        <f>VLOOKUP(C471,Products!A:D,3,FALSE)</f>
        <v>Electronics</v>
      </c>
      <c r="I471">
        <f t="shared" si="7"/>
        <v>3040</v>
      </c>
      <c r="J471" s="2">
        <f>VLOOKUP(B471,Orders!A:C,3,FALSE)</f>
        <v>46115</v>
      </c>
      <c r="K471" s="1" t="str">
        <f>VLOOKUP(B471,Orders!A:B,2,FALSE)</f>
        <v>C0255</v>
      </c>
    </row>
    <row r="472" spans="1:11" x14ac:dyDescent="0.3">
      <c r="A472" s="1" t="s">
        <v>1931</v>
      </c>
      <c r="B472" s="1" t="s">
        <v>1932</v>
      </c>
      <c r="C472" s="1" t="s">
        <v>1184</v>
      </c>
      <c r="D472" s="1">
        <v>4</v>
      </c>
      <c r="E472" s="1">
        <v>0.1</v>
      </c>
      <c r="F472" s="1" t="b">
        <v>0</v>
      </c>
      <c r="G472">
        <f>VLOOKUP(C472,Products!A:D,4,FALSE)</f>
        <v>2230</v>
      </c>
      <c r="H472" t="str">
        <f>VLOOKUP(C472,Products!A:D,3,FALSE)</f>
        <v>Sports</v>
      </c>
      <c r="I472">
        <f t="shared" si="7"/>
        <v>8028</v>
      </c>
      <c r="J472" s="2">
        <f>VLOOKUP(B472,Orders!A:C,3,FALSE)</f>
        <v>46121</v>
      </c>
      <c r="K472" s="1" t="str">
        <f>VLOOKUP(B472,Orders!A:B,2,FALSE)</f>
        <v>C0259</v>
      </c>
    </row>
    <row r="473" spans="1:11" x14ac:dyDescent="0.3">
      <c r="A473" s="1" t="s">
        <v>1933</v>
      </c>
      <c r="B473" s="1" t="s">
        <v>1932</v>
      </c>
      <c r="C473" s="1" t="s">
        <v>1121</v>
      </c>
      <c r="D473" s="1">
        <v>2</v>
      </c>
      <c r="E473" s="1">
        <v>0.1</v>
      </c>
      <c r="F473" s="1" t="b">
        <v>0</v>
      </c>
      <c r="G473">
        <f>VLOOKUP(C473,Products!A:D,4,FALSE)</f>
        <v>1440</v>
      </c>
      <c r="H473" t="str">
        <f>VLOOKUP(C473,Products!A:D,3,FALSE)</f>
        <v>Sports</v>
      </c>
      <c r="I473">
        <f t="shared" si="7"/>
        <v>2592</v>
      </c>
      <c r="J473" s="2">
        <f>VLOOKUP(B473,Orders!A:C,3,FALSE)</f>
        <v>46121</v>
      </c>
      <c r="K473" s="1" t="str">
        <f>VLOOKUP(B473,Orders!A:B,2,FALSE)</f>
        <v>C0259</v>
      </c>
    </row>
    <row r="474" spans="1:11" x14ac:dyDescent="0.3">
      <c r="A474" s="1" t="s">
        <v>1934</v>
      </c>
      <c r="B474" s="1" t="s">
        <v>1935</v>
      </c>
      <c r="C474" s="1" t="s">
        <v>1182</v>
      </c>
      <c r="D474" s="1">
        <v>3</v>
      </c>
      <c r="E474" s="1">
        <v>0</v>
      </c>
      <c r="F474" s="1" t="b">
        <v>0</v>
      </c>
      <c r="G474">
        <f>VLOOKUP(C474,Products!A:D,4,FALSE)</f>
        <v>790</v>
      </c>
      <c r="H474" t="str">
        <f>VLOOKUP(C474,Products!A:D,3,FALSE)</f>
        <v>Sports</v>
      </c>
      <c r="I474">
        <f t="shared" si="7"/>
        <v>2370</v>
      </c>
      <c r="J474" s="2">
        <f>VLOOKUP(B474,Orders!A:C,3,FALSE)</f>
        <v>45822</v>
      </c>
      <c r="K474" s="1" t="str">
        <f>VLOOKUP(B474,Orders!A:B,2,FALSE)</f>
        <v>C0111</v>
      </c>
    </row>
    <row r="475" spans="1:11" x14ac:dyDescent="0.3">
      <c r="A475" s="1" t="s">
        <v>1936</v>
      </c>
      <c r="B475" s="1" t="s">
        <v>1935</v>
      </c>
      <c r="C475" s="1" t="s">
        <v>1184</v>
      </c>
      <c r="D475" s="1">
        <v>3</v>
      </c>
      <c r="E475" s="1">
        <v>0.2</v>
      </c>
      <c r="F475" s="1" t="b">
        <v>0</v>
      </c>
      <c r="G475">
        <f>VLOOKUP(C475,Products!A:D,4,FALSE)</f>
        <v>2230</v>
      </c>
      <c r="H475" t="str">
        <f>VLOOKUP(C475,Products!A:D,3,FALSE)</f>
        <v>Sports</v>
      </c>
      <c r="I475">
        <f t="shared" si="7"/>
        <v>5352</v>
      </c>
      <c r="J475" s="2">
        <f>VLOOKUP(B475,Orders!A:C,3,FALSE)</f>
        <v>45822</v>
      </c>
      <c r="K475" s="1" t="str">
        <f>VLOOKUP(B475,Orders!A:B,2,FALSE)</f>
        <v>C0111</v>
      </c>
    </row>
    <row r="476" spans="1:11" x14ac:dyDescent="0.3">
      <c r="A476" s="1" t="s">
        <v>1937</v>
      </c>
      <c r="B476" s="1" t="s">
        <v>1935</v>
      </c>
      <c r="C476" s="1" t="s">
        <v>1462</v>
      </c>
      <c r="D476" s="1">
        <v>4</v>
      </c>
      <c r="E476" s="1">
        <v>0.2</v>
      </c>
      <c r="F476" s="1" t="b">
        <v>0</v>
      </c>
      <c r="G476">
        <f>VLOOKUP(C476,Products!A:D,4,FALSE)</f>
        <v>3070</v>
      </c>
      <c r="H476" t="str">
        <f>VLOOKUP(C476,Products!A:D,3,FALSE)</f>
        <v>Apparel</v>
      </c>
      <c r="I476">
        <f t="shared" si="7"/>
        <v>9824</v>
      </c>
      <c r="J476" s="2">
        <f>VLOOKUP(B476,Orders!A:C,3,FALSE)</f>
        <v>45822</v>
      </c>
      <c r="K476" s="1" t="str">
        <f>VLOOKUP(B476,Orders!A:B,2,FALSE)</f>
        <v>C0111</v>
      </c>
    </row>
    <row r="477" spans="1:11" x14ac:dyDescent="0.3">
      <c r="A477" s="1" t="s">
        <v>1938</v>
      </c>
      <c r="B477" s="1" t="s">
        <v>1935</v>
      </c>
      <c r="C477" s="1" t="s">
        <v>1431</v>
      </c>
      <c r="D477" s="1">
        <v>3</v>
      </c>
      <c r="E477" s="1">
        <v>0.1</v>
      </c>
      <c r="F477" s="1" t="b">
        <v>0</v>
      </c>
      <c r="G477">
        <f>VLOOKUP(C477,Products!A:D,4,FALSE)</f>
        <v>2920</v>
      </c>
      <c r="H477" t="str">
        <f>VLOOKUP(C477,Products!A:D,3,FALSE)</f>
        <v>Home &amp; Kitchen</v>
      </c>
      <c r="I477">
        <f t="shared" si="7"/>
        <v>7884</v>
      </c>
      <c r="J477" s="2">
        <f>VLOOKUP(B477,Orders!A:C,3,FALSE)</f>
        <v>45822</v>
      </c>
      <c r="K477" s="1" t="str">
        <f>VLOOKUP(B477,Orders!A:B,2,FALSE)</f>
        <v>C0111</v>
      </c>
    </row>
    <row r="478" spans="1:11" x14ac:dyDescent="0.3">
      <c r="A478" s="1" t="s">
        <v>1939</v>
      </c>
      <c r="B478" s="1" t="s">
        <v>1940</v>
      </c>
      <c r="C478" s="1" t="s">
        <v>1418</v>
      </c>
      <c r="D478" s="1">
        <v>2</v>
      </c>
      <c r="E478" s="1">
        <v>0.05</v>
      </c>
      <c r="F478" s="1" t="b">
        <v>0</v>
      </c>
      <c r="G478">
        <f>VLOOKUP(C478,Products!A:D,4,FALSE)</f>
        <v>1030</v>
      </c>
      <c r="H478" t="str">
        <f>VLOOKUP(C478,Products!A:D,3,FALSE)</f>
        <v>Beauty</v>
      </c>
      <c r="I478">
        <f t="shared" si="7"/>
        <v>1957</v>
      </c>
      <c r="J478" s="2">
        <f>VLOOKUP(B478,Orders!A:C,3,FALSE)</f>
        <v>46262</v>
      </c>
      <c r="K478" s="1" t="str">
        <f>VLOOKUP(B478,Orders!A:B,2,FALSE)</f>
        <v>C0026</v>
      </c>
    </row>
    <row r="479" spans="1:11" x14ac:dyDescent="0.3">
      <c r="A479" s="1" t="s">
        <v>1941</v>
      </c>
      <c r="B479" s="1" t="s">
        <v>1942</v>
      </c>
      <c r="C479" s="1" t="s">
        <v>1176</v>
      </c>
      <c r="D479" s="1">
        <v>3</v>
      </c>
      <c r="E479" s="1">
        <v>0.05</v>
      </c>
      <c r="F479" s="1" t="b">
        <v>0</v>
      </c>
      <c r="G479">
        <f>VLOOKUP(C479,Products!A:D,4,FALSE)</f>
        <v>2670</v>
      </c>
      <c r="H479" t="str">
        <f>VLOOKUP(C479,Products!A:D,3,FALSE)</f>
        <v>Beauty</v>
      </c>
      <c r="I479">
        <f t="shared" si="7"/>
        <v>7609.5</v>
      </c>
      <c r="J479" s="2">
        <f>VLOOKUP(B479,Orders!A:C,3,FALSE)</f>
        <v>45736</v>
      </c>
      <c r="K479" s="1" t="str">
        <f>VLOOKUP(B479,Orders!A:B,2,FALSE)</f>
        <v>C0241</v>
      </c>
    </row>
    <row r="480" spans="1:11" x14ac:dyDescent="0.3">
      <c r="A480" s="1" t="s">
        <v>1943</v>
      </c>
      <c r="B480" s="1" t="s">
        <v>1942</v>
      </c>
      <c r="C480" s="1" t="s">
        <v>1412</v>
      </c>
      <c r="D480" s="1">
        <v>4</v>
      </c>
      <c r="E480" s="1">
        <v>0</v>
      </c>
      <c r="F480" s="1" t="b">
        <v>0</v>
      </c>
      <c r="G480">
        <f>VLOOKUP(C480,Products!A:D,4,FALSE)</f>
        <v>1430</v>
      </c>
      <c r="H480" t="str">
        <f>VLOOKUP(C480,Products!A:D,3,FALSE)</f>
        <v>Books</v>
      </c>
      <c r="I480">
        <f t="shared" si="7"/>
        <v>5720</v>
      </c>
      <c r="J480" s="2">
        <f>VLOOKUP(B480,Orders!A:C,3,FALSE)</f>
        <v>45736</v>
      </c>
      <c r="K480" s="1" t="str">
        <f>VLOOKUP(B480,Orders!A:B,2,FALSE)</f>
        <v>C0241</v>
      </c>
    </row>
    <row r="481" spans="1:11" x14ac:dyDescent="0.3">
      <c r="A481" s="1" t="s">
        <v>1944</v>
      </c>
      <c r="B481" s="1" t="s">
        <v>1945</v>
      </c>
      <c r="C481" s="1" t="s">
        <v>1197</v>
      </c>
      <c r="D481" s="1">
        <v>5</v>
      </c>
      <c r="E481" s="1">
        <v>0</v>
      </c>
      <c r="F481" s="1" t="b">
        <v>0</v>
      </c>
      <c r="G481">
        <f>VLOOKUP(C481,Products!A:D,4,FALSE)</f>
        <v>2050</v>
      </c>
      <c r="H481" t="str">
        <f>VLOOKUP(C481,Products!A:D,3,FALSE)</f>
        <v>Apparel</v>
      </c>
      <c r="I481">
        <f t="shared" si="7"/>
        <v>10250</v>
      </c>
      <c r="J481" s="2">
        <f>VLOOKUP(B481,Orders!A:C,3,FALSE)</f>
        <v>45783</v>
      </c>
      <c r="K481" s="1" t="str">
        <f>VLOOKUP(B481,Orders!A:B,2,FALSE)</f>
        <v>C0056</v>
      </c>
    </row>
    <row r="482" spans="1:11" x14ac:dyDescent="0.3">
      <c r="A482" s="1" t="s">
        <v>1946</v>
      </c>
      <c r="B482" s="1" t="s">
        <v>1945</v>
      </c>
      <c r="C482" s="1" t="s">
        <v>1160</v>
      </c>
      <c r="D482" s="1">
        <v>2</v>
      </c>
      <c r="E482" s="1">
        <v>0</v>
      </c>
      <c r="F482" s="1" t="b">
        <v>0</v>
      </c>
      <c r="G482">
        <f>VLOOKUP(C482,Products!A:D,4,FALSE)</f>
        <v>1710</v>
      </c>
      <c r="H482" t="str">
        <f>VLOOKUP(C482,Products!A:D,3,FALSE)</f>
        <v>Home &amp; Kitchen</v>
      </c>
      <c r="I482">
        <f t="shared" si="7"/>
        <v>3420</v>
      </c>
      <c r="J482" s="2">
        <f>VLOOKUP(B482,Orders!A:C,3,FALSE)</f>
        <v>45783</v>
      </c>
      <c r="K482" s="1" t="str">
        <f>VLOOKUP(B482,Orders!A:B,2,FALSE)</f>
        <v>C0056</v>
      </c>
    </row>
    <row r="483" spans="1:11" x14ac:dyDescent="0.3">
      <c r="A483" s="1" t="s">
        <v>1947</v>
      </c>
      <c r="B483" s="1" t="s">
        <v>1948</v>
      </c>
      <c r="C483" s="1" t="s">
        <v>1299</v>
      </c>
      <c r="D483" s="1">
        <v>2</v>
      </c>
      <c r="E483" s="1">
        <v>0.2</v>
      </c>
      <c r="F483" s="1" t="b">
        <v>0</v>
      </c>
      <c r="G483">
        <f>VLOOKUP(C483,Products!A:D,4,FALSE)</f>
        <v>1080</v>
      </c>
      <c r="H483" t="str">
        <f>VLOOKUP(C483,Products!A:D,3,FALSE)</f>
        <v>Beauty</v>
      </c>
      <c r="I483">
        <f t="shared" si="7"/>
        <v>1728</v>
      </c>
      <c r="J483" s="2">
        <f>VLOOKUP(B483,Orders!A:C,3,FALSE)</f>
        <v>45813</v>
      </c>
      <c r="K483" s="1" t="str">
        <f>VLOOKUP(B483,Orders!A:B,2,FALSE)</f>
        <v>C0188</v>
      </c>
    </row>
    <row r="484" spans="1:11" x14ac:dyDescent="0.3">
      <c r="A484" s="1" t="s">
        <v>1949</v>
      </c>
      <c r="B484" s="1" t="s">
        <v>1950</v>
      </c>
      <c r="C484" s="1" t="s">
        <v>1278</v>
      </c>
      <c r="D484" s="1">
        <v>5</v>
      </c>
      <c r="E484" s="1">
        <v>0.1</v>
      </c>
      <c r="F484" s="1" t="b">
        <v>0</v>
      </c>
      <c r="G484">
        <f>VLOOKUP(C484,Products!A:D,4,FALSE)</f>
        <v>330</v>
      </c>
      <c r="H484" t="str">
        <f>VLOOKUP(C484,Products!A:D,3,FALSE)</f>
        <v>Books</v>
      </c>
      <c r="I484">
        <f t="shared" si="7"/>
        <v>1485</v>
      </c>
      <c r="J484" s="2">
        <f>VLOOKUP(B484,Orders!A:C,3,FALSE)</f>
        <v>46241</v>
      </c>
      <c r="K484" s="1" t="str">
        <f>VLOOKUP(B484,Orders!A:B,2,FALSE)</f>
        <v>C0024</v>
      </c>
    </row>
    <row r="485" spans="1:11" x14ac:dyDescent="0.3">
      <c r="A485" s="1" t="s">
        <v>1951</v>
      </c>
      <c r="B485" s="1" t="s">
        <v>1952</v>
      </c>
      <c r="C485" s="1" t="s">
        <v>1564</v>
      </c>
      <c r="D485" s="1">
        <v>2</v>
      </c>
      <c r="E485" s="1">
        <v>0</v>
      </c>
      <c r="F485" s="1" t="b">
        <v>0</v>
      </c>
      <c r="G485">
        <f>VLOOKUP(C485,Products!A:D,4,FALSE)</f>
        <v>3680</v>
      </c>
      <c r="H485" t="str">
        <f>VLOOKUP(C485,Products!A:D,3,FALSE)</f>
        <v>Home &amp; Kitchen</v>
      </c>
      <c r="I485">
        <f t="shared" si="7"/>
        <v>7360</v>
      </c>
      <c r="J485" s="2">
        <f>VLOOKUP(B485,Orders!A:C,3,FALSE)</f>
        <v>45972</v>
      </c>
      <c r="K485" s="1" t="str">
        <f>VLOOKUP(B485,Orders!A:B,2,FALSE)</f>
        <v>C0288</v>
      </c>
    </row>
    <row r="486" spans="1:11" x14ac:dyDescent="0.3">
      <c r="A486" s="1" t="s">
        <v>1953</v>
      </c>
      <c r="B486" s="1" t="s">
        <v>1952</v>
      </c>
      <c r="C486" s="1" t="s">
        <v>1393</v>
      </c>
      <c r="D486" s="1">
        <v>4</v>
      </c>
      <c r="E486" s="1">
        <v>0</v>
      </c>
      <c r="F486" s="1" t="b">
        <v>0</v>
      </c>
      <c r="G486">
        <f>VLOOKUP(C486,Products!A:D,4,FALSE)</f>
        <v>1520</v>
      </c>
      <c r="H486" t="str">
        <f>VLOOKUP(C486,Products!A:D,3,FALSE)</f>
        <v>Electronics</v>
      </c>
      <c r="I486">
        <f t="shared" si="7"/>
        <v>6080</v>
      </c>
      <c r="J486" s="2">
        <f>VLOOKUP(B486,Orders!A:C,3,FALSE)</f>
        <v>45972</v>
      </c>
      <c r="K486" s="1" t="str">
        <f>VLOOKUP(B486,Orders!A:B,2,FALSE)</f>
        <v>C0288</v>
      </c>
    </row>
    <row r="487" spans="1:11" x14ac:dyDescent="0.3">
      <c r="A487" s="1" t="s">
        <v>1954</v>
      </c>
      <c r="B487" s="1" t="s">
        <v>1955</v>
      </c>
      <c r="C487" s="1" t="s">
        <v>1202</v>
      </c>
      <c r="D487" s="1">
        <v>3</v>
      </c>
      <c r="E487" s="1">
        <v>0.1</v>
      </c>
      <c r="F487" s="1" t="b">
        <v>0</v>
      </c>
      <c r="G487">
        <f>VLOOKUP(C487,Products!A:D,4,FALSE)</f>
        <v>530</v>
      </c>
      <c r="H487" t="str">
        <f>VLOOKUP(C487,Products!A:D,3,FALSE)</f>
        <v>Beauty</v>
      </c>
      <c r="I487">
        <f t="shared" si="7"/>
        <v>1431</v>
      </c>
      <c r="J487" s="2">
        <f>VLOOKUP(B487,Orders!A:C,3,FALSE)</f>
        <v>45769</v>
      </c>
      <c r="K487" s="1" t="str">
        <f>VLOOKUP(B487,Orders!A:B,2,FALSE)</f>
        <v>C0148</v>
      </c>
    </row>
    <row r="488" spans="1:11" x14ac:dyDescent="0.3">
      <c r="A488" s="1" t="s">
        <v>1956</v>
      </c>
      <c r="B488" s="1" t="s">
        <v>1957</v>
      </c>
      <c r="C488" s="1" t="s">
        <v>1176</v>
      </c>
      <c r="D488" s="1">
        <v>3</v>
      </c>
      <c r="E488" s="1">
        <v>0</v>
      </c>
      <c r="F488" s="1" t="b">
        <v>0</v>
      </c>
      <c r="G488">
        <f>VLOOKUP(C488,Products!A:D,4,FALSE)</f>
        <v>2670</v>
      </c>
      <c r="H488" t="str">
        <f>VLOOKUP(C488,Products!A:D,3,FALSE)</f>
        <v>Beauty</v>
      </c>
      <c r="I488">
        <f t="shared" si="7"/>
        <v>8010</v>
      </c>
      <c r="J488" s="2">
        <f>VLOOKUP(B488,Orders!A:C,3,FALSE)</f>
        <v>45855</v>
      </c>
      <c r="K488" s="1" t="str">
        <f>VLOOKUP(B488,Orders!A:B,2,FALSE)</f>
        <v>C0231</v>
      </c>
    </row>
    <row r="489" spans="1:11" x14ac:dyDescent="0.3">
      <c r="A489" s="1" t="s">
        <v>1958</v>
      </c>
      <c r="B489" s="1" t="s">
        <v>1959</v>
      </c>
      <c r="C489" s="1" t="s">
        <v>1257</v>
      </c>
      <c r="D489" s="1">
        <v>2</v>
      </c>
      <c r="E489" s="1">
        <v>0.15</v>
      </c>
      <c r="F489" s="1" t="b">
        <v>0</v>
      </c>
      <c r="G489">
        <f>VLOOKUP(C489,Products!A:D,4,FALSE)</f>
        <v>1760</v>
      </c>
      <c r="H489" t="str">
        <f>VLOOKUP(C489,Products!A:D,3,FALSE)</f>
        <v>Books</v>
      </c>
      <c r="I489">
        <f t="shared" si="7"/>
        <v>2992</v>
      </c>
      <c r="J489" s="2">
        <f>VLOOKUP(B489,Orders!A:C,3,FALSE)</f>
        <v>45777</v>
      </c>
      <c r="K489" s="1" t="str">
        <f>VLOOKUP(B489,Orders!A:B,2,FALSE)</f>
        <v>C0144</v>
      </c>
    </row>
    <row r="490" spans="1:11" x14ac:dyDescent="0.3">
      <c r="A490" s="1" t="s">
        <v>1960</v>
      </c>
      <c r="B490" s="1" t="s">
        <v>1959</v>
      </c>
      <c r="C490" s="1" t="s">
        <v>1111</v>
      </c>
      <c r="D490" s="1">
        <v>3</v>
      </c>
      <c r="E490" s="1">
        <v>0.2</v>
      </c>
      <c r="F490" s="1" t="b">
        <v>0</v>
      </c>
      <c r="G490">
        <f>VLOOKUP(C490,Products!A:D,4,FALSE)</f>
        <v>2450</v>
      </c>
      <c r="H490" t="str">
        <f>VLOOKUP(C490,Products!A:D,3,FALSE)</f>
        <v>Sports</v>
      </c>
      <c r="I490">
        <f t="shared" si="7"/>
        <v>5880</v>
      </c>
      <c r="J490" s="2">
        <f>VLOOKUP(B490,Orders!A:C,3,FALSE)</f>
        <v>45777</v>
      </c>
      <c r="K490" s="1" t="str">
        <f>VLOOKUP(B490,Orders!A:B,2,FALSE)</f>
        <v>C0144</v>
      </c>
    </row>
    <row r="491" spans="1:11" x14ac:dyDescent="0.3">
      <c r="A491" s="1" t="s">
        <v>1961</v>
      </c>
      <c r="B491" s="1" t="s">
        <v>1962</v>
      </c>
      <c r="C491" s="1" t="s">
        <v>1135</v>
      </c>
      <c r="D491" s="1">
        <v>5</v>
      </c>
      <c r="E491" s="1">
        <v>0.2</v>
      </c>
      <c r="F491" s="1" t="b">
        <v>0</v>
      </c>
      <c r="G491">
        <f>VLOOKUP(C491,Products!A:D,4,FALSE)</f>
        <v>470</v>
      </c>
      <c r="H491" t="str">
        <f>VLOOKUP(C491,Products!A:D,3,FALSE)</f>
        <v>Apparel</v>
      </c>
      <c r="I491">
        <f t="shared" si="7"/>
        <v>1880</v>
      </c>
      <c r="J491" s="2">
        <f>VLOOKUP(B491,Orders!A:C,3,FALSE)</f>
        <v>45754</v>
      </c>
      <c r="K491" s="1" t="str">
        <f>VLOOKUP(B491,Orders!A:B,2,FALSE)</f>
        <v>C0061</v>
      </c>
    </row>
    <row r="492" spans="1:11" x14ac:dyDescent="0.3">
      <c r="A492" s="1" t="s">
        <v>1963</v>
      </c>
      <c r="B492" s="1" t="s">
        <v>1964</v>
      </c>
      <c r="C492" s="1" t="s">
        <v>1391</v>
      </c>
      <c r="D492" s="1">
        <v>3</v>
      </c>
      <c r="E492" s="1">
        <v>0</v>
      </c>
      <c r="F492" s="1" t="b">
        <v>0</v>
      </c>
      <c r="G492">
        <f>VLOOKUP(C492,Products!A:D,4,FALSE)</f>
        <v>1900</v>
      </c>
      <c r="H492" t="str">
        <f>VLOOKUP(C492,Products!A:D,3,FALSE)</f>
        <v>Beauty</v>
      </c>
      <c r="I492">
        <f t="shared" si="7"/>
        <v>5700</v>
      </c>
      <c r="J492" s="2">
        <f>VLOOKUP(B492,Orders!A:C,3,FALSE)</f>
        <v>45944</v>
      </c>
      <c r="K492" s="1" t="str">
        <f>VLOOKUP(B492,Orders!A:B,2,FALSE)</f>
        <v>C0202</v>
      </c>
    </row>
    <row r="493" spans="1:11" x14ac:dyDescent="0.3">
      <c r="A493" s="1" t="s">
        <v>1965</v>
      </c>
      <c r="B493" s="1" t="s">
        <v>1964</v>
      </c>
      <c r="C493" s="1" t="s">
        <v>1564</v>
      </c>
      <c r="D493" s="1">
        <v>4</v>
      </c>
      <c r="E493" s="1">
        <v>0</v>
      </c>
      <c r="F493" s="1" t="b">
        <v>0</v>
      </c>
      <c r="G493">
        <f>VLOOKUP(C493,Products!A:D,4,FALSE)</f>
        <v>3680</v>
      </c>
      <c r="H493" t="str">
        <f>VLOOKUP(C493,Products!A:D,3,FALSE)</f>
        <v>Home &amp; Kitchen</v>
      </c>
      <c r="I493">
        <f t="shared" si="7"/>
        <v>14720</v>
      </c>
      <c r="J493" s="2">
        <f>VLOOKUP(B493,Orders!A:C,3,FALSE)</f>
        <v>45944</v>
      </c>
      <c r="K493" s="1" t="str">
        <f>VLOOKUP(B493,Orders!A:B,2,FALSE)</f>
        <v>C0202</v>
      </c>
    </row>
    <row r="494" spans="1:11" x14ac:dyDescent="0.3">
      <c r="A494" s="1" t="s">
        <v>1966</v>
      </c>
      <c r="B494" s="1" t="s">
        <v>1964</v>
      </c>
      <c r="C494" s="1" t="s">
        <v>1242</v>
      </c>
      <c r="D494" s="1">
        <v>3</v>
      </c>
      <c r="E494" s="1">
        <v>0</v>
      </c>
      <c r="F494" s="1" t="b">
        <v>0</v>
      </c>
      <c r="G494">
        <f>VLOOKUP(C494,Products!A:D,4,FALSE)</f>
        <v>2720</v>
      </c>
      <c r="H494" t="str">
        <f>VLOOKUP(C494,Products!A:D,3,FALSE)</f>
        <v>Beauty</v>
      </c>
      <c r="I494">
        <f t="shared" si="7"/>
        <v>8160</v>
      </c>
      <c r="J494" s="2">
        <f>VLOOKUP(B494,Orders!A:C,3,FALSE)</f>
        <v>45944</v>
      </c>
      <c r="K494" s="1" t="str">
        <f>VLOOKUP(B494,Orders!A:B,2,FALSE)</f>
        <v>C0202</v>
      </c>
    </row>
    <row r="495" spans="1:11" x14ac:dyDescent="0.3">
      <c r="A495" s="1" t="s">
        <v>1967</v>
      </c>
      <c r="B495" s="1" t="s">
        <v>1968</v>
      </c>
      <c r="C495" s="1" t="s">
        <v>1431</v>
      </c>
      <c r="D495" s="1">
        <v>4</v>
      </c>
      <c r="E495" s="1">
        <v>0.2</v>
      </c>
      <c r="F495" s="1" t="b">
        <v>0</v>
      </c>
      <c r="G495">
        <f>VLOOKUP(C495,Products!A:D,4,FALSE)</f>
        <v>2920</v>
      </c>
      <c r="H495" t="str">
        <f>VLOOKUP(C495,Products!A:D,3,FALSE)</f>
        <v>Home &amp; Kitchen</v>
      </c>
      <c r="I495">
        <f t="shared" si="7"/>
        <v>9344</v>
      </c>
      <c r="J495" s="2">
        <f>VLOOKUP(B495,Orders!A:C,3,FALSE)</f>
        <v>46273</v>
      </c>
      <c r="K495" s="1" t="str">
        <f>VLOOKUP(B495,Orders!A:B,2,FALSE)</f>
        <v>C0286</v>
      </c>
    </row>
    <row r="496" spans="1:11" x14ac:dyDescent="0.3">
      <c r="A496" s="1" t="s">
        <v>1969</v>
      </c>
      <c r="B496" s="1" t="s">
        <v>1968</v>
      </c>
      <c r="C496" s="1" t="s">
        <v>1106</v>
      </c>
      <c r="D496" s="1">
        <v>2</v>
      </c>
      <c r="E496" s="1">
        <v>0.15</v>
      </c>
      <c r="F496" s="1" t="b">
        <v>0</v>
      </c>
      <c r="G496">
        <f>VLOOKUP(C496,Products!A:D,4,FALSE)</f>
        <v>1130</v>
      </c>
      <c r="H496" t="str">
        <f>VLOOKUP(C496,Products!A:D,3,FALSE)</f>
        <v>Books</v>
      </c>
      <c r="I496">
        <f t="shared" si="7"/>
        <v>1921</v>
      </c>
      <c r="J496" s="2">
        <f>VLOOKUP(B496,Orders!A:C,3,FALSE)</f>
        <v>46273</v>
      </c>
      <c r="K496" s="1" t="str">
        <f>VLOOKUP(B496,Orders!A:B,2,FALSE)</f>
        <v>C0286</v>
      </c>
    </row>
    <row r="497" spans="1:11" x14ac:dyDescent="0.3">
      <c r="A497" s="1" t="s">
        <v>1970</v>
      </c>
      <c r="B497" s="1" t="s">
        <v>1968</v>
      </c>
      <c r="C497" s="1" t="s">
        <v>1333</v>
      </c>
      <c r="D497" s="1">
        <v>1</v>
      </c>
      <c r="E497" s="1">
        <v>0.15</v>
      </c>
      <c r="F497" s="1" t="b">
        <v>0</v>
      </c>
      <c r="G497">
        <f>VLOOKUP(C497,Products!A:D,4,FALSE)</f>
        <v>1440</v>
      </c>
      <c r="H497" t="str">
        <f>VLOOKUP(C497,Products!A:D,3,FALSE)</f>
        <v>Home &amp; Kitchen</v>
      </c>
      <c r="I497">
        <f t="shared" si="7"/>
        <v>1224</v>
      </c>
      <c r="J497" s="2">
        <f>VLOOKUP(B497,Orders!A:C,3,FALSE)</f>
        <v>46273</v>
      </c>
      <c r="K497" s="1" t="str">
        <f>VLOOKUP(B497,Orders!A:B,2,FALSE)</f>
        <v>C0286</v>
      </c>
    </row>
    <row r="498" spans="1:11" x14ac:dyDescent="0.3">
      <c r="A498" s="1" t="s">
        <v>1971</v>
      </c>
      <c r="B498" s="1" t="s">
        <v>1972</v>
      </c>
      <c r="C498" s="1" t="s">
        <v>1247</v>
      </c>
      <c r="D498" s="1">
        <v>1</v>
      </c>
      <c r="E498" s="1">
        <v>0</v>
      </c>
      <c r="F498" s="1" t="b">
        <v>0</v>
      </c>
      <c r="G498">
        <f>VLOOKUP(C498,Products!A:D,4,FALSE)</f>
        <v>2210</v>
      </c>
      <c r="H498" t="str">
        <f>VLOOKUP(C498,Products!A:D,3,FALSE)</f>
        <v>Beauty</v>
      </c>
      <c r="I498">
        <f t="shared" si="7"/>
        <v>2210</v>
      </c>
      <c r="J498" s="2">
        <f>VLOOKUP(B498,Orders!A:C,3,FALSE)</f>
        <v>46070</v>
      </c>
      <c r="K498" s="1" t="str">
        <f>VLOOKUP(B498,Orders!A:B,2,FALSE)</f>
        <v>C0102</v>
      </c>
    </row>
    <row r="499" spans="1:11" x14ac:dyDescent="0.3">
      <c r="A499" s="1" t="s">
        <v>1973</v>
      </c>
      <c r="B499" s="1" t="s">
        <v>1972</v>
      </c>
      <c r="C499" s="1" t="s">
        <v>1116</v>
      </c>
      <c r="D499" s="1">
        <v>1</v>
      </c>
      <c r="E499" s="1">
        <v>0</v>
      </c>
      <c r="F499" s="1" t="b">
        <v>0</v>
      </c>
      <c r="G499">
        <f>VLOOKUP(C499,Products!A:D,4,FALSE)</f>
        <v>3000</v>
      </c>
      <c r="H499" t="str">
        <f>VLOOKUP(C499,Products!A:D,3,FALSE)</f>
        <v>Home &amp; Kitchen</v>
      </c>
      <c r="I499">
        <f t="shared" si="7"/>
        <v>3000</v>
      </c>
      <c r="J499" s="2">
        <f>VLOOKUP(B499,Orders!A:C,3,FALSE)</f>
        <v>46070</v>
      </c>
      <c r="K499" s="1" t="str">
        <f>VLOOKUP(B499,Orders!A:B,2,FALSE)</f>
        <v>C0102</v>
      </c>
    </row>
    <row r="500" spans="1:11" x14ac:dyDescent="0.3">
      <c r="A500" s="1" t="s">
        <v>1974</v>
      </c>
      <c r="B500" s="1" t="s">
        <v>1975</v>
      </c>
      <c r="C500" s="1" t="s">
        <v>1433</v>
      </c>
      <c r="D500" s="1">
        <v>3</v>
      </c>
      <c r="E500" s="1">
        <v>0.1</v>
      </c>
      <c r="F500" s="1" t="b">
        <v>1</v>
      </c>
      <c r="G500">
        <f>VLOOKUP(C500,Products!A:D,4,FALSE)</f>
        <v>110</v>
      </c>
      <c r="H500" t="str">
        <f>VLOOKUP(C500,Products!A:D,3,FALSE)</f>
        <v>Home &amp; Kitchen</v>
      </c>
      <c r="I500">
        <f t="shared" si="7"/>
        <v>297</v>
      </c>
      <c r="J500" s="2">
        <f>VLOOKUP(B500,Orders!A:C,3,FALSE)</f>
        <v>46019</v>
      </c>
      <c r="K500" s="1" t="str">
        <f>VLOOKUP(B500,Orders!A:B,2,FALSE)</f>
        <v>C0257</v>
      </c>
    </row>
    <row r="501" spans="1:11" x14ac:dyDescent="0.3">
      <c r="A501" s="1" t="s">
        <v>1976</v>
      </c>
      <c r="B501" s="1" t="s">
        <v>1975</v>
      </c>
      <c r="C501" s="1" t="s">
        <v>1299</v>
      </c>
      <c r="D501" s="1">
        <v>2</v>
      </c>
      <c r="E501" s="1">
        <v>0</v>
      </c>
      <c r="F501" s="1" t="b">
        <v>0</v>
      </c>
      <c r="G501">
        <f>VLOOKUP(C501,Products!A:D,4,FALSE)</f>
        <v>1080</v>
      </c>
      <c r="H501" t="str">
        <f>VLOOKUP(C501,Products!A:D,3,FALSE)</f>
        <v>Beauty</v>
      </c>
      <c r="I501">
        <f t="shared" si="7"/>
        <v>2160</v>
      </c>
      <c r="J501" s="2">
        <f>VLOOKUP(B501,Orders!A:C,3,FALSE)</f>
        <v>46019</v>
      </c>
      <c r="K501" s="1" t="str">
        <f>VLOOKUP(B501,Orders!A:B,2,FALSE)</f>
        <v>C0257</v>
      </c>
    </row>
    <row r="502" spans="1:11" x14ac:dyDescent="0.3">
      <c r="A502" s="1" t="s">
        <v>1977</v>
      </c>
      <c r="B502" s="1" t="s">
        <v>1978</v>
      </c>
      <c r="C502" s="1" t="s">
        <v>1315</v>
      </c>
      <c r="D502" s="1">
        <v>4</v>
      </c>
      <c r="E502" s="1">
        <v>0.2</v>
      </c>
      <c r="F502" s="1" t="b">
        <v>0</v>
      </c>
      <c r="G502">
        <f>VLOOKUP(C502,Products!A:D,4,FALSE)</f>
        <v>2190</v>
      </c>
      <c r="H502" t="str">
        <f>VLOOKUP(C502,Products!A:D,3,FALSE)</f>
        <v>Electronics</v>
      </c>
      <c r="I502">
        <f t="shared" si="7"/>
        <v>7008</v>
      </c>
      <c r="J502" s="2">
        <f>VLOOKUP(B502,Orders!A:C,3,FALSE)</f>
        <v>46123</v>
      </c>
      <c r="K502" s="1" t="str">
        <f>VLOOKUP(B502,Orders!A:B,2,FALSE)</f>
        <v>C0071</v>
      </c>
    </row>
    <row r="503" spans="1:11" x14ac:dyDescent="0.3">
      <c r="A503" s="1" t="s">
        <v>1979</v>
      </c>
      <c r="B503" s="1" t="s">
        <v>1978</v>
      </c>
      <c r="C503" s="1" t="s">
        <v>1391</v>
      </c>
      <c r="D503" s="1">
        <v>5</v>
      </c>
      <c r="E503" s="1">
        <v>0.1</v>
      </c>
      <c r="F503" s="1" t="b">
        <v>0</v>
      </c>
      <c r="G503">
        <f>VLOOKUP(C503,Products!A:D,4,FALSE)</f>
        <v>1900</v>
      </c>
      <c r="H503" t="str">
        <f>VLOOKUP(C503,Products!A:D,3,FALSE)</f>
        <v>Beauty</v>
      </c>
      <c r="I503">
        <f t="shared" si="7"/>
        <v>8550</v>
      </c>
      <c r="J503" s="2">
        <f>VLOOKUP(B503,Orders!A:C,3,FALSE)</f>
        <v>46123</v>
      </c>
      <c r="K503" s="1" t="str">
        <f>VLOOKUP(B503,Orders!A:B,2,FALSE)</f>
        <v>C0071</v>
      </c>
    </row>
    <row r="504" spans="1:11" x14ac:dyDescent="0.3">
      <c r="A504" s="1" t="s">
        <v>1980</v>
      </c>
      <c r="B504" s="1" t="s">
        <v>1981</v>
      </c>
      <c r="C504" s="1" t="s">
        <v>1431</v>
      </c>
      <c r="D504" s="1">
        <v>3</v>
      </c>
      <c r="E504" s="1">
        <v>0.2</v>
      </c>
      <c r="F504" s="1" t="b">
        <v>0</v>
      </c>
      <c r="G504">
        <f>VLOOKUP(C504,Products!A:D,4,FALSE)</f>
        <v>2920</v>
      </c>
      <c r="H504" t="str">
        <f>VLOOKUP(C504,Products!A:D,3,FALSE)</f>
        <v>Home &amp; Kitchen</v>
      </c>
      <c r="I504">
        <f t="shared" si="7"/>
        <v>7008</v>
      </c>
      <c r="J504" s="2">
        <f>VLOOKUP(B504,Orders!A:C,3,FALSE)</f>
        <v>46061</v>
      </c>
      <c r="K504" s="1" t="str">
        <f>VLOOKUP(B504,Orders!A:B,2,FALSE)</f>
        <v>C0266</v>
      </c>
    </row>
    <row r="505" spans="1:11" x14ac:dyDescent="0.3">
      <c r="A505" s="1" t="s">
        <v>1982</v>
      </c>
      <c r="B505" s="1" t="s">
        <v>1983</v>
      </c>
      <c r="C505" s="1" t="s">
        <v>1330</v>
      </c>
      <c r="D505" s="1">
        <v>3</v>
      </c>
      <c r="E505" s="1">
        <v>0</v>
      </c>
      <c r="F505" s="1" t="b">
        <v>0</v>
      </c>
      <c r="G505">
        <f>VLOOKUP(C505,Products!A:D,4,FALSE)</f>
        <v>580</v>
      </c>
      <c r="H505" t="str">
        <f>VLOOKUP(C505,Products!A:D,3,FALSE)</f>
        <v>Books</v>
      </c>
      <c r="I505">
        <f t="shared" si="7"/>
        <v>1740</v>
      </c>
      <c r="J505" s="2">
        <f>VLOOKUP(B505,Orders!A:C,3,FALSE)</f>
        <v>46252</v>
      </c>
      <c r="K505" s="1" t="str">
        <f>VLOOKUP(B505,Orders!A:B,2,FALSE)</f>
        <v>C0264</v>
      </c>
    </row>
    <row r="506" spans="1:11" x14ac:dyDescent="0.3">
      <c r="A506" s="1" t="s">
        <v>1984</v>
      </c>
      <c r="B506" s="1" t="s">
        <v>1985</v>
      </c>
      <c r="C506" s="1" t="s">
        <v>1118</v>
      </c>
      <c r="D506" s="1">
        <v>5</v>
      </c>
      <c r="E506" s="1">
        <v>0.05</v>
      </c>
      <c r="F506" s="1" t="b">
        <v>0</v>
      </c>
      <c r="G506">
        <f>VLOOKUP(C506,Products!A:D,4,FALSE)</f>
        <v>5550</v>
      </c>
      <c r="H506" t="str">
        <f>VLOOKUP(C506,Products!A:D,3,FALSE)</f>
        <v>Home &amp; Kitchen</v>
      </c>
      <c r="I506">
        <f t="shared" si="7"/>
        <v>26362.5</v>
      </c>
      <c r="J506" s="2">
        <f>VLOOKUP(B506,Orders!A:C,3,FALSE)</f>
        <v>46183</v>
      </c>
      <c r="K506" s="1" t="str">
        <f>VLOOKUP(B506,Orders!A:B,2,FALSE)</f>
        <v>C0164</v>
      </c>
    </row>
    <row r="507" spans="1:11" x14ac:dyDescent="0.3">
      <c r="A507" s="1" t="s">
        <v>1986</v>
      </c>
      <c r="B507" s="1" t="s">
        <v>1987</v>
      </c>
      <c r="C507" s="1" t="s">
        <v>1403</v>
      </c>
      <c r="D507" s="1">
        <v>5</v>
      </c>
      <c r="E507" s="1">
        <v>0.05</v>
      </c>
      <c r="F507" s="1" t="b">
        <v>0</v>
      </c>
      <c r="G507">
        <f>VLOOKUP(C507,Products!A:D,4,FALSE)</f>
        <v>1340</v>
      </c>
      <c r="H507" t="str">
        <f>VLOOKUP(C507,Products!A:D,3,FALSE)</f>
        <v>Electronics</v>
      </c>
      <c r="I507">
        <f t="shared" si="7"/>
        <v>6365</v>
      </c>
      <c r="J507" s="2">
        <f>VLOOKUP(B507,Orders!A:C,3,FALSE)</f>
        <v>46084</v>
      </c>
      <c r="K507" s="1" t="str">
        <f>VLOOKUP(B507,Orders!A:B,2,FALSE)</f>
        <v>C0154</v>
      </c>
    </row>
    <row r="508" spans="1:11" x14ac:dyDescent="0.3">
      <c r="A508" s="1" t="s">
        <v>1988</v>
      </c>
      <c r="B508" s="1" t="s">
        <v>1989</v>
      </c>
      <c r="C508" s="1" t="s">
        <v>1330</v>
      </c>
      <c r="D508" s="1">
        <v>2</v>
      </c>
      <c r="E508" s="1">
        <v>0.05</v>
      </c>
      <c r="F508" s="1" t="b">
        <v>0</v>
      </c>
      <c r="G508">
        <f>VLOOKUP(C508,Products!A:D,4,FALSE)</f>
        <v>580</v>
      </c>
      <c r="H508" t="str">
        <f>VLOOKUP(C508,Products!A:D,3,FALSE)</f>
        <v>Books</v>
      </c>
      <c r="I508">
        <f t="shared" si="7"/>
        <v>1102</v>
      </c>
      <c r="J508" s="2">
        <f>VLOOKUP(B508,Orders!A:C,3,FALSE)</f>
        <v>45974</v>
      </c>
      <c r="K508" s="1" t="str">
        <f>VLOOKUP(B508,Orders!A:B,2,FALSE)</f>
        <v>C0261</v>
      </c>
    </row>
    <row r="509" spans="1:11" x14ac:dyDescent="0.3">
      <c r="A509" s="1" t="s">
        <v>1990</v>
      </c>
      <c r="B509" s="1" t="s">
        <v>1989</v>
      </c>
      <c r="C509" s="1" t="s">
        <v>1267</v>
      </c>
      <c r="D509" s="1">
        <v>2</v>
      </c>
      <c r="E509" s="1">
        <v>0.05</v>
      </c>
      <c r="F509" s="1" t="b">
        <v>0</v>
      </c>
      <c r="G509">
        <f>VLOOKUP(C509,Products!A:D,4,FALSE)</f>
        <v>3650</v>
      </c>
      <c r="H509" t="str">
        <f>VLOOKUP(C509,Products!A:D,3,FALSE)</f>
        <v>Books</v>
      </c>
      <c r="I509">
        <f t="shared" si="7"/>
        <v>6935</v>
      </c>
      <c r="J509" s="2">
        <f>VLOOKUP(B509,Orders!A:C,3,FALSE)</f>
        <v>45974</v>
      </c>
      <c r="K509" s="1" t="str">
        <f>VLOOKUP(B509,Orders!A:B,2,FALSE)</f>
        <v>C0261</v>
      </c>
    </row>
    <row r="510" spans="1:11" x14ac:dyDescent="0.3">
      <c r="A510" s="1" t="s">
        <v>1991</v>
      </c>
      <c r="B510" s="1" t="s">
        <v>1992</v>
      </c>
      <c r="C510" s="1" t="s">
        <v>1564</v>
      </c>
      <c r="D510" s="1">
        <v>2</v>
      </c>
      <c r="E510" s="1">
        <v>0.1</v>
      </c>
      <c r="F510" s="1" t="b">
        <v>0</v>
      </c>
      <c r="G510">
        <f>VLOOKUP(C510,Products!A:D,4,FALSE)</f>
        <v>3680</v>
      </c>
      <c r="H510" t="str">
        <f>VLOOKUP(C510,Products!A:D,3,FALSE)</f>
        <v>Home &amp; Kitchen</v>
      </c>
      <c r="I510">
        <f t="shared" si="7"/>
        <v>6624</v>
      </c>
      <c r="J510" s="2">
        <f>VLOOKUP(B510,Orders!A:C,3,FALSE)</f>
        <v>45844</v>
      </c>
      <c r="K510" s="1" t="str">
        <f>VLOOKUP(B510,Orders!A:B,2,FALSE)</f>
        <v>C0154</v>
      </c>
    </row>
    <row r="511" spans="1:11" x14ac:dyDescent="0.3">
      <c r="A511" s="1" t="s">
        <v>1993</v>
      </c>
      <c r="B511" s="1" t="s">
        <v>1994</v>
      </c>
      <c r="C511" s="1" t="s">
        <v>1116</v>
      </c>
      <c r="D511" s="1">
        <v>2</v>
      </c>
      <c r="E511" s="1">
        <v>0</v>
      </c>
      <c r="F511" s="1" t="b">
        <v>0</v>
      </c>
      <c r="G511">
        <f>VLOOKUP(C511,Products!A:D,4,FALSE)</f>
        <v>3000</v>
      </c>
      <c r="H511" t="str">
        <f>VLOOKUP(C511,Products!A:D,3,FALSE)</f>
        <v>Home &amp; Kitchen</v>
      </c>
      <c r="I511">
        <f t="shared" si="7"/>
        <v>6000</v>
      </c>
      <c r="J511" s="2">
        <f>VLOOKUP(B511,Orders!A:C,3,FALSE)</f>
        <v>46093</v>
      </c>
      <c r="K511" s="1" t="str">
        <f>VLOOKUP(B511,Orders!A:B,2,FALSE)</f>
        <v>C0189</v>
      </c>
    </row>
    <row r="512" spans="1:11" x14ac:dyDescent="0.3">
      <c r="A512" s="1" t="s">
        <v>1995</v>
      </c>
      <c r="B512" s="1" t="s">
        <v>1994</v>
      </c>
      <c r="C512" s="1" t="s">
        <v>1111</v>
      </c>
      <c r="D512" s="1">
        <v>3</v>
      </c>
      <c r="E512" s="1">
        <v>0.2</v>
      </c>
      <c r="F512" s="1" t="b">
        <v>0</v>
      </c>
      <c r="G512">
        <f>VLOOKUP(C512,Products!A:D,4,FALSE)</f>
        <v>2450</v>
      </c>
      <c r="H512" t="str">
        <f>VLOOKUP(C512,Products!A:D,3,FALSE)</f>
        <v>Sports</v>
      </c>
      <c r="I512">
        <f t="shared" ref="I512:I575" si="8">G512*D512*(1-E512)</f>
        <v>5880</v>
      </c>
      <c r="J512" s="2">
        <f>VLOOKUP(B512,Orders!A:C,3,FALSE)</f>
        <v>46093</v>
      </c>
      <c r="K512" s="1" t="str">
        <f>VLOOKUP(B512,Orders!A:B,2,FALSE)</f>
        <v>C0189</v>
      </c>
    </row>
    <row r="513" spans="1:11" x14ac:dyDescent="0.3">
      <c r="A513" s="1" t="s">
        <v>1996</v>
      </c>
      <c r="B513" s="1" t="s">
        <v>1997</v>
      </c>
      <c r="C513" s="1" t="s">
        <v>1564</v>
      </c>
      <c r="D513" s="1">
        <v>1</v>
      </c>
      <c r="E513" s="1">
        <v>0</v>
      </c>
      <c r="F513" s="1" t="b">
        <v>0</v>
      </c>
      <c r="G513">
        <f>VLOOKUP(C513,Products!A:D,4,FALSE)</f>
        <v>3680</v>
      </c>
      <c r="H513" t="str">
        <f>VLOOKUP(C513,Products!A:D,3,FALSE)</f>
        <v>Home &amp; Kitchen</v>
      </c>
      <c r="I513">
        <f t="shared" si="8"/>
        <v>3680</v>
      </c>
      <c r="J513" s="2">
        <f>VLOOKUP(B513,Orders!A:C,3,FALSE)</f>
        <v>46174</v>
      </c>
      <c r="K513" s="1" t="str">
        <f>VLOOKUP(B513,Orders!A:B,2,FALSE)</f>
        <v>C0214</v>
      </c>
    </row>
    <row r="514" spans="1:11" x14ac:dyDescent="0.3">
      <c r="A514" s="1" t="s">
        <v>1998</v>
      </c>
      <c r="B514" s="1" t="s">
        <v>1999</v>
      </c>
      <c r="C514" s="1" t="s">
        <v>1140</v>
      </c>
      <c r="D514" s="1">
        <v>3</v>
      </c>
      <c r="E514" s="1">
        <v>0</v>
      </c>
      <c r="F514" s="1" t="b">
        <v>0</v>
      </c>
      <c r="G514">
        <f>VLOOKUP(C514,Products!A:D,4,FALSE)</f>
        <v>3040</v>
      </c>
      <c r="H514" t="str">
        <f>VLOOKUP(C514,Products!A:D,3,FALSE)</f>
        <v>Electronics</v>
      </c>
      <c r="I514">
        <f t="shared" si="8"/>
        <v>9120</v>
      </c>
      <c r="J514" s="2">
        <f>VLOOKUP(B514,Orders!A:C,3,FALSE)</f>
        <v>45890</v>
      </c>
      <c r="K514" s="1" t="str">
        <f>VLOOKUP(B514,Orders!A:B,2,FALSE)</f>
        <v>C0243</v>
      </c>
    </row>
    <row r="515" spans="1:11" x14ac:dyDescent="0.3">
      <c r="A515" s="1" t="s">
        <v>2000</v>
      </c>
      <c r="B515" s="1" t="s">
        <v>1999</v>
      </c>
      <c r="C515" s="1" t="s">
        <v>1149</v>
      </c>
      <c r="D515" s="1">
        <v>3</v>
      </c>
      <c r="E515" s="1">
        <v>0</v>
      </c>
      <c r="F515" s="1" t="b">
        <v>0</v>
      </c>
      <c r="G515">
        <f>VLOOKUP(C515,Products!A:D,4,FALSE)</f>
        <v>1150</v>
      </c>
      <c r="H515" t="str">
        <f>VLOOKUP(C515,Products!A:D,3,FALSE)</f>
        <v>Apparel</v>
      </c>
      <c r="I515">
        <f t="shared" si="8"/>
        <v>3450</v>
      </c>
      <c r="J515" s="2">
        <f>VLOOKUP(B515,Orders!A:C,3,FALSE)</f>
        <v>45890</v>
      </c>
      <c r="K515" s="1" t="str">
        <f>VLOOKUP(B515,Orders!A:B,2,FALSE)</f>
        <v>C0243</v>
      </c>
    </row>
    <row r="516" spans="1:11" x14ac:dyDescent="0.3">
      <c r="A516" s="1" t="s">
        <v>2001</v>
      </c>
      <c r="B516" s="1" t="s">
        <v>2002</v>
      </c>
      <c r="C516" s="1" t="s">
        <v>1249</v>
      </c>
      <c r="D516" s="1">
        <v>3</v>
      </c>
      <c r="E516" s="1">
        <v>0</v>
      </c>
      <c r="F516" s="1" t="b">
        <v>0</v>
      </c>
      <c r="G516">
        <f>VLOOKUP(C516,Products!A:D,4,FALSE)</f>
        <v>3630</v>
      </c>
      <c r="H516" t="str">
        <f>VLOOKUP(C516,Products!A:D,3,FALSE)</f>
        <v>Electronics</v>
      </c>
      <c r="I516">
        <f t="shared" si="8"/>
        <v>10890</v>
      </c>
      <c r="J516" s="2">
        <f>VLOOKUP(B516,Orders!A:C,3,FALSE)</f>
        <v>45752</v>
      </c>
      <c r="K516" s="1" t="str">
        <f>VLOOKUP(B516,Orders!A:B,2,FALSE)</f>
        <v>C0296</v>
      </c>
    </row>
    <row r="517" spans="1:11" x14ac:dyDescent="0.3">
      <c r="A517" s="1" t="s">
        <v>2003</v>
      </c>
      <c r="B517" s="1" t="s">
        <v>2002</v>
      </c>
      <c r="C517" s="1" t="s">
        <v>1152</v>
      </c>
      <c r="D517" s="1">
        <v>5</v>
      </c>
      <c r="E517" s="1">
        <v>0.2</v>
      </c>
      <c r="F517" s="1" t="b">
        <v>0</v>
      </c>
      <c r="G517">
        <f>VLOOKUP(C517,Products!A:D,4,FALSE)</f>
        <v>2250</v>
      </c>
      <c r="H517" t="str">
        <f>VLOOKUP(C517,Products!A:D,3,FALSE)</f>
        <v>Home &amp; Kitchen</v>
      </c>
      <c r="I517">
        <f t="shared" si="8"/>
        <v>9000</v>
      </c>
      <c r="J517" s="2">
        <f>VLOOKUP(B517,Orders!A:C,3,FALSE)</f>
        <v>45752</v>
      </c>
      <c r="K517" s="1" t="str">
        <f>VLOOKUP(B517,Orders!A:B,2,FALSE)</f>
        <v>C0296</v>
      </c>
    </row>
    <row r="518" spans="1:11" x14ac:dyDescent="0.3">
      <c r="A518" s="1" t="s">
        <v>2004</v>
      </c>
      <c r="B518" s="1" t="s">
        <v>2005</v>
      </c>
      <c r="C518" s="1" t="s">
        <v>1182</v>
      </c>
      <c r="D518" s="1">
        <v>5</v>
      </c>
      <c r="E518" s="1">
        <v>0</v>
      </c>
      <c r="F518" s="1" t="b">
        <v>0</v>
      </c>
      <c r="G518">
        <f>VLOOKUP(C518,Products!A:D,4,FALSE)</f>
        <v>790</v>
      </c>
      <c r="H518" t="str">
        <f>VLOOKUP(C518,Products!A:D,3,FALSE)</f>
        <v>Sports</v>
      </c>
      <c r="I518">
        <f t="shared" si="8"/>
        <v>3950</v>
      </c>
      <c r="J518" s="2">
        <f>VLOOKUP(B518,Orders!A:C,3,FALSE)</f>
        <v>46062</v>
      </c>
      <c r="K518" s="1" t="str">
        <f>VLOOKUP(B518,Orders!A:B,2,FALSE)</f>
        <v>C0299</v>
      </c>
    </row>
    <row r="519" spans="1:11" x14ac:dyDescent="0.3">
      <c r="A519" s="1" t="s">
        <v>2006</v>
      </c>
      <c r="B519" s="1" t="s">
        <v>2005</v>
      </c>
      <c r="C519" s="1" t="s">
        <v>1182</v>
      </c>
      <c r="D519" s="1">
        <v>1</v>
      </c>
      <c r="E519" s="1">
        <v>0.2</v>
      </c>
      <c r="F519" s="1" t="b">
        <v>0</v>
      </c>
      <c r="G519">
        <f>VLOOKUP(C519,Products!A:D,4,FALSE)</f>
        <v>790</v>
      </c>
      <c r="H519" t="str">
        <f>VLOOKUP(C519,Products!A:D,3,FALSE)</f>
        <v>Sports</v>
      </c>
      <c r="I519">
        <f t="shared" si="8"/>
        <v>632</v>
      </c>
      <c r="J519" s="2">
        <f>VLOOKUP(B519,Orders!A:C,3,FALSE)</f>
        <v>46062</v>
      </c>
      <c r="K519" s="1" t="str">
        <f>VLOOKUP(B519,Orders!A:B,2,FALSE)</f>
        <v>C0299</v>
      </c>
    </row>
    <row r="520" spans="1:11" x14ac:dyDescent="0.3">
      <c r="A520" s="1" t="s">
        <v>2007</v>
      </c>
      <c r="B520" s="1" t="s">
        <v>2005</v>
      </c>
      <c r="C520" s="1" t="s">
        <v>1168</v>
      </c>
      <c r="D520" s="1">
        <v>2</v>
      </c>
      <c r="E520" s="1">
        <v>0.15</v>
      </c>
      <c r="F520" s="1" t="b">
        <v>0</v>
      </c>
      <c r="G520">
        <f>VLOOKUP(C520,Products!A:D,4,FALSE)</f>
        <v>1440</v>
      </c>
      <c r="H520" t="str">
        <f>VLOOKUP(C520,Products!A:D,3,FALSE)</f>
        <v>Sports</v>
      </c>
      <c r="I520">
        <f t="shared" si="8"/>
        <v>2448</v>
      </c>
      <c r="J520" s="2">
        <f>VLOOKUP(B520,Orders!A:C,3,FALSE)</f>
        <v>46062</v>
      </c>
      <c r="K520" s="1" t="str">
        <f>VLOOKUP(B520,Orders!A:B,2,FALSE)</f>
        <v>C0299</v>
      </c>
    </row>
    <row r="521" spans="1:11" x14ac:dyDescent="0.3">
      <c r="A521" s="1" t="s">
        <v>2008</v>
      </c>
      <c r="B521" s="1" t="s">
        <v>2005</v>
      </c>
      <c r="C521" s="1" t="s">
        <v>1462</v>
      </c>
      <c r="D521" s="1">
        <v>2</v>
      </c>
      <c r="E521" s="1">
        <v>0.2</v>
      </c>
      <c r="F521" s="1" t="b">
        <v>0</v>
      </c>
      <c r="G521">
        <f>VLOOKUP(C521,Products!A:D,4,FALSE)</f>
        <v>3070</v>
      </c>
      <c r="H521" t="str">
        <f>VLOOKUP(C521,Products!A:D,3,FALSE)</f>
        <v>Apparel</v>
      </c>
      <c r="I521">
        <f t="shared" si="8"/>
        <v>4912</v>
      </c>
      <c r="J521" s="2">
        <f>VLOOKUP(B521,Orders!A:C,3,FALSE)</f>
        <v>46062</v>
      </c>
      <c r="K521" s="1" t="str">
        <f>VLOOKUP(B521,Orders!A:B,2,FALSE)</f>
        <v>C0299</v>
      </c>
    </row>
    <row r="522" spans="1:11" x14ac:dyDescent="0.3">
      <c r="A522" s="1" t="s">
        <v>2009</v>
      </c>
      <c r="B522" s="1" t="s">
        <v>2010</v>
      </c>
      <c r="C522" s="1" t="s">
        <v>1602</v>
      </c>
      <c r="D522" s="1">
        <v>1</v>
      </c>
      <c r="E522" s="1">
        <v>0.15</v>
      </c>
      <c r="F522" s="1" t="b">
        <v>0</v>
      </c>
      <c r="G522">
        <f>VLOOKUP(C522,Products!A:D,4,FALSE)</f>
        <v>1240</v>
      </c>
      <c r="H522" t="str">
        <f>VLOOKUP(C522,Products!A:D,3,FALSE)</f>
        <v>Apparel</v>
      </c>
      <c r="I522">
        <f t="shared" si="8"/>
        <v>1054</v>
      </c>
      <c r="J522" s="2">
        <f>VLOOKUP(B522,Orders!A:C,3,FALSE)</f>
        <v>46016</v>
      </c>
      <c r="K522" s="1" t="str">
        <f>VLOOKUP(B522,Orders!A:B,2,FALSE)</f>
        <v>C0269</v>
      </c>
    </row>
    <row r="523" spans="1:11" x14ac:dyDescent="0.3">
      <c r="A523" s="1" t="s">
        <v>2011</v>
      </c>
      <c r="B523" s="1" t="s">
        <v>2010</v>
      </c>
      <c r="C523" s="1" t="s">
        <v>1118</v>
      </c>
      <c r="D523" s="1">
        <v>2</v>
      </c>
      <c r="E523" s="1">
        <v>0.1</v>
      </c>
      <c r="F523" s="1" t="b">
        <v>0</v>
      </c>
      <c r="G523">
        <f>VLOOKUP(C523,Products!A:D,4,FALSE)</f>
        <v>5550</v>
      </c>
      <c r="H523" t="str">
        <f>VLOOKUP(C523,Products!A:D,3,FALSE)</f>
        <v>Home &amp; Kitchen</v>
      </c>
      <c r="I523">
        <f t="shared" si="8"/>
        <v>9990</v>
      </c>
      <c r="J523" s="2">
        <f>VLOOKUP(B523,Orders!A:C,3,FALSE)</f>
        <v>46016</v>
      </c>
      <c r="K523" s="1" t="str">
        <f>VLOOKUP(B523,Orders!A:B,2,FALSE)</f>
        <v>C0269</v>
      </c>
    </row>
    <row r="524" spans="1:11" x14ac:dyDescent="0.3">
      <c r="A524" s="1" t="s">
        <v>2012</v>
      </c>
      <c r="B524" s="1" t="s">
        <v>2013</v>
      </c>
      <c r="C524" s="1" t="s">
        <v>1197</v>
      </c>
      <c r="D524" s="1">
        <v>1</v>
      </c>
      <c r="E524" s="1">
        <v>0</v>
      </c>
      <c r="F524" s="1" t="b">
        <v>0</v>
      </c>
      <c r="G524">
        <f>VLOOKUP(C524,Products!A:D,4,FALSE)</f>
        <v>2050</v>
      </c>
      <c r="H524" t="str">
        <f>VLOOKUP(C524,Products!A:D,3,FALSE)</f>
        <v>Apparel</v>
      </c>
      <c r="I524">
        <f t="shared" si="8"/>
        <v>2050</v>
      </c>
      <c r="J524" s="2">
        <f>VLOOKUP(B524,Orders!A:C,3,FALSE)</f>
        <v>45860</v>
      </c>
      <c r="K524" s="1" t="str">
        <f>VLOOKUP(B524,Orders!A:B,2,FALSE)</f>
        <v>C0195</v>
      </c>
    </row>
    <row r="525" spans="1:11" x14ac:dyDescent="0.3">
      <c r="A525" s="1" t="s">
        <v>2014</v>
      </c>
      <c r="B525" s="1" t="s">
        <v>2013</v>
      </c>
      <c r="C525" s="1" t="s">
        <v>1213</v>
      </c>
      <c r="D525" s="1">
        <v>3</v>
      </c>
      <c r="E525" s="1">
        <v>0.05</v>
      </c>
      <c r="F525" s="1" t="b">
        <v>0</v>
      </c>
      <c r="G525">
        <f>VLOOKUP(C525,Products!A:D,4,FALSE)</f>
        <v>1765</v>
      </c>
      <c r="H525" t="str">
        <f>VLOOKUP(C525,Products!A:D,3,FALSE)</f>
        <v>Beauty</v>
      </c>
      <c r="I525">
        <f t="shared" si="8"/>
        <v>5030.25</v>
      </c>
      <c r="J525" s="2">
        <f>VLOOKUP(B525,Orders!A:C,3,FALSE)</f>
        <v>45860</v>
      </c>
      <c r="K525" s="1" t="str">
        <f>VLOOKUP(B525,Orders!A:B,2,FALSE)</f>
        <v>C0195</v>
      </c>
    </row>
    <row r="526" spans="1:11" x14ac:dyDescent="0.3">
      <c r="A526" s="1" t="s">
        <v>2015</v>
      </c>
      <c r="B526" s="1" t="s">
        <v>2013</v>
      </c>
      <c r="C526" s="1" t="s">
        <v>1302</v>
      </c>
      <c r="D526" s="1">
        <v>1</v>
      </c>
      <c r="E526" s="1">
        <v>0</v>
      </c>
      <c r="F526" s="1" t="b">
        <v>0</v>
      </c>
      <c r="G526">
        <f>VLOOKUP(C526,Products!A:D,4,FALSE)</f>
        <v>1220</v>
      </c>
      <c r="H526" t="str">
        <f>VLOOKUP(C526,Products!A:D,3,FALSE)</f>
        <v>Home &amp; Kitchen</v>
      </c>
      <c r="I526">
        <f t="shared" si="8"/>
        <v>1220</v>
      </c>
      <c r="J526" s="2">
        <f>VLOOKUP(B526,Orders!A:C,3,FALSE)</f>
        <v>45860</v>
      </c>
      <c r="K526" s="1" t="str">
        <f>VLOOKUP(B526,Orders!A:B,2,FALSE)</f>
        <v>C0195</v>
      </c>
    </row>
    <row r="527" spans="1:11" x14ac:dyDescent="0.3">
      <c r="A527" s="1" t="s">
        <v>2016</v>
      </c>
      <c r="B527" s="1" t="s">
        <v>2017</v>
      </c>
      <c r="C527" s="1" t="s">
        <v>1143</v>
      </c>
      <c r="D527" s="1">
        <v>2</v>
      </c>
      <c r="E527" s="1">
        <v>0</v>
      </c>
      <c r="F527" s="1" t="b">
        <v>0</v>
      </c>
      <c r="G527">
        <f>VLOOKUP(C527,Products!A:D,4,FALSE)</f>
        <v>2230</v>
      </c>
      <c r="H527" t="str">
        <f>VLOOKUP(C527,Products!A:D,3,FALSE)</f>
        <v>Home &amp; Kitchen</v>
      </c>
      <c r="I527">
        <f t="shared" si="8"/>
        <v>4460</v>
      </c>
      <c r="J527" s="2">
        <f>VLOOKUP(B527,Orders!A:C,3,FALSE)</f>
        <v>45826</v>
      </c>
      <c r="K527" s="1" t="str">
        <f>VLOOKUP(B527,Orders!A:B,2,FALSE)</f>
        <v>C0017</v>
      </c>
    </row>
    <row r="528" spans="1:11" x14ac:dyDescent="0.3">
      <c r="A528" s="1" t="s">
        <v>2018</v>
      </c>
      <c r="B528" s="1" t="s">
        <v>2019</v>
      </c>
      <c r="C528" s="1" t="s">
        <v>1202</v>
      </c>
      <c r="D528" s="1">
        <v>5</v>
      </c>
      <c r="E528" s="1">
        <v>0.05</v>
      </c>
      <c r="F528" s="1" t="b">
        <v>0</v>
      </c>
      <c r="G528">
        <f>VLOOKUP(C528,Products!A:D,4,FALSE)</f>
        <v>530</v>
      </c>
      <c r="H528" t="str">
        <f>VLOOKUP(C528,Products!A:D,3,FALSE)</f>
        <v>Beauty</v>
      </c>
      <c r="I528">
        <f t="shared" si="8"/>
        <v>2517.5</v>
      </c>
      <c r="J528" s="2">
        <f>VLOOKUP(B528,Orders!A:C,3,FALSE)</f>
        <v>45753</v>
      </c>
      <c r="K528" s="1" t="str">
        <f>VLOOKUP(B528,Orders!A:B,2,FALSE)</f>
        <v>C0098</v>
      </c>
    </row>
    <row r="529" spans="1:11" x14ac:dyDescent="0.3">
      <c r="A529" s="1" t="s">
        <v>2020</v>
      </c>
      <c r="B529" s="1" t="s">
        <v>2019</v>
      </c>
      <c r="C529" s="1" t="s">
        <v>1191</v>
      </c>
      <c r="D529" s="1">
        <v>2</v>
      </c>
      <c r="E529" s="1">
        <v>0.15</v>
      </c>
      <c r="F529" s="1" t="b">
        <v>0</v>
      </c>
      <c r="G529">
        <f>VLOOKUP(C529,Products!A:D,4,FALSE)</f>
        <v>99</v>
      </c>
      <c r="H529" t="str">
        <f>VLOOKUP(C529,Products!A:D,3,FALSE)</f>
        <v>Sports</v>
      </c>
      <c r="I529">
        <f t="shared" si="8"/>
        <v>168.29999999999998</v>
      </c>
      <c r="J529" s="2">
        <f>VLOOKUP(B529,Orders!A:C,3,FALSE)</f>
        <v>45753</v>
      </c>
      <c r="K529" s="1" t="str">
        <f>VLOOKUP(B529,Orders!A:B,2,FALSE)</f>
        <v>C0098</v>
      </c>
    </row>
    <row r="530" spans="1:11" x14ac:dyDescent="0.3">
      <c r="A530" s="1" t="s">
        <v>2021</v>
      </c>
      <c r="B530" s="1" t="s">
        <v>2022</v>
      </c>
      <c r="C530" s="1" t="s">
        <v>1288</v>
      </c>
      <c r="D530" s="1">
        <v>4</v>
      </c>
      <c r="E530" s="1">
        <v>0.1</v>
      </c>
      <c r="F530" s="1" t="b">
        <v>0</v>
      </c>
      <c r="G530">
        <f>VLOOKUP(C530,Products!A:D,4,FALSE)</f>
        <v>2580</v>
      </c>
      <c r="H530" t="str">
        <f>VLOOKUP(C530,Products!A:D,3,FALSE)</f>
        <v>Beauty</v>
      </c>
      <c r="I530">
        <f t="shared" si="8"/>
        <v>9288</v>
      </c>
      <c r="J530" s="2">
        <f>VLOOKUP(B530,Orders!A:C,3,FALSE)</f>
        <v>45865</v>
      </c>
      <c r="K530" s="1" t="str">
        <f>VLOOKUP(B530,Orders!A:B,2,FALSE)</f>
        <v>C0215</v>
      </c>
    </row>
    <row r="531" spans="1:11" x14ac:dyDescent="0.3">
      <c r="A531" s="1" t="s">
        <v>2023</v>
      </c>
      <c r="B531" s="1" t="s">
        <v>2022</v>
      </c>
      <c r="C531" s="1" t="s">
        <v>1116</v>
      </c>
      <c r="D531" s="1">
        <v>1</v>
      </c>
      <c r="E531" s="1">
        <v>0</v>
      </c>
      <c r="F531" s="1" t="b">
        <v>0</v>
      </c>
      <c r="G531">
        <f>VLOOKUP(C531,Products!A:D,4,FALSE)</f>
        <v>3000</v>
      </c>
      <c r="H531" t="str">
        <f>VLOOKUP(C531,Products!A:D,3,FALSE)</f>
        <v>Home &amp; Kitchen</v>
      </c>
      <c r="I531">
        <f t="shared" si="8"/>
        <v>3000</v>
      </c>
      <c r="J531" s="2">
        <f>VLOOKUP(B531,Orders!A:C,3,FALSE)</f>
        <v>45865</v>
      </c>
      <c r="K531" s="1" t="str">
        <f>VLOOKUP(B531,Orders!A:B,2,FALSE)</f>
        <v>C0215</v>
      </c>
    </row>
    <row r="532" spans="1:11" x14ac:dyDescent="0.3">
      <c r="A532" s="1" t="s">
        <v>2024</v>
      </c>
      <c r="B532" s="1" t="s">
        <v>2025</v>
      </c>
      <c r="C532" s="1" t="s">
        <v>1197</v>
      </c>
      <c r="D532" s="1">
        <v>2</v>
      </c>
      <c r="E532" s="1">
        <v>0.2</v>
      </c>
      <c r="F532" s="1" t="b">
        <v>0</v>
      </c>
      <c r="G532">
        <f>VLOOKUP(C532,Products!A:D,4,FALSE)</f>
        <v>2050</v>
      </c>
      <c r="H532" t="str">
        <f>VLOOKUP(C532,Products!A:D,3,FALSE)</f>
        <v>Apparel</v>
      </c>
      <c r="I532">
        <f t="shared" si="8"/>
        <v>3280</v>
      </c>
      <c r="J532" s="2">
        <f>VLOOKUP(B532,Orders!A:C,3,FALSE)</f>
        <v>45734</v>
      </c>
      <c r="K532" s="1" t="str">
        <f>VLOOKUP(B532,Orders!A:B,2,FALSE)</f>
        <v>C0211</v>
      </c>
    </row>
    <row r="533" spans="1:11" x14ac:dyDescent="0.3">
      <c r="A533" s="1" t="s">
        <v>2026</v>
      </c>
      <c r="B533" s="1" t="s">
        <v>2027</v>
      </c>
      <c r="C533" s="1" t="s">
        <v>1719</v>
      </c>
      <c r="D533" s="1">
        <v>1</v>
      </c>
      <c r="E533" s="1">
        <v>0.05</v>
      </c>
      <c r="F533" s="1" t="b">
        <v>0</v>
      </c>
      <c r="G533">
        <f>VLOOKUP(C533,Products!A:D,4,FALSE)</f>
        <v>2790</v>
      </c>
      <c r="H533" t="str">
        <f>VLOOKUP(C533,Products!A:D,3,FALSE)</f>
        <v>Sports</v>
      </c>
      <c r="I533">
        <f t="shared" si="8"/>
        <v>2650.5</v>
      </c>
      <c r="J533" s="2">
        <f>VLOOKUP(B533,Orders!A:C,3,FALSE)</f>
        <v>45820</v>
      </c>
      <c r="K533" s="1" t="str">
        <f>VLOOKUP(B533,Orders!A:B,2,FALSE)</f>
        <v>C0242</v>
      </c>
    </row>
    <row r="534" spans="1:11" x14ac:dyDescent="0.3">
      <c r="A534" s="1" t="s">
        <v>2028</v>
      </c>
      <c r="B534" s="1" t="s">
        <v>2027</v>
      </c>
      <c r="C534" s="1" t="s">
        <v>1146</v>
      </c>
      <c r="D534" s="1">
        <v>1</v>
      </c>
      <c r="E534" s="1">
        <v>0.05</v>
      </c>
      <c r="F534" s="1" t="b">
        <v>0</v>
      </c>
      <c r="G534">
        <f>VLOOKUP(C534,Products!A:D,4,FALSE)</f>
        <v>1630</v>
      </c>
      <c r="H534" t="str">
        <f>VLOOKUP(C534,Products!A:D,3,FALSE)</f>
        <v>Beauty</v>
      </c>
      <c r="I534">
        <f t="shared" si="8"/>
        <v>1548.5</v>
      </c>
      <c r="J534" s="2">
        <f>VLOOKUP(B534,Orders!A:C,3,FALSE)</f>
        <v>45820</v>
      </c>
      <c r="K534" s="1" t="str">
        <f>VLOOKUP(B534,Orders!A:B,2,FALSE)</f>
        <v>C0242</v>
      </c>
    </row>
    <row r="535" spans="1:11" x14ac:dyDescent="0.3">
      <c r="A535" s="1" t="s">
        <v>2029</v>
      </c>
      <c r="B535" s="1" t="s">
        <v>2030</v>
      </c>
      <c r="C535" s="1" t="s">
        <v>1174</v>
      </c>
      <c r="D535" s="1">
        <v>1</v>
      </c>
      <c r="E535" s="1">
        <v>0</v>
      </c>
      <c r="F535" s="1" t="b">
        <v>0</v>
      </c>
      <c r="G535">
        <f>VLOOKUP(C535,Products!A:D,4,FALSE)</f>
        <v>1250</v>
      </c>
      <c r="H535" t="str">
        <f>VLOOKUP(C535,Products!A:D,3,FALSE)</f>
        <v>Sports</v>
      </c>
      <c r="I535">
        <f t="shared" si="8"/>
        <v>1250</v>
      </c>
      <c r="J535" s="2">
        <f>VLOOKUP(B535,Orders!A:C,3,FALSE)</f>
        <v>46280</v>
      </c>
      <c r="K535" s="1" t="str">
        <f>VLOOKUP(B535,Orders!A:B,2,FALSE)</f>
        <v>C0071</v>
      </c>
    </row>
    <row r="536" spans="1:11" x14ac:dyDescent="0.3">
      <c r="A536" s="1" t="s">
        <v>2031</v>
      </c>
      <c r="B536" s="1" t="s">
        <v>2030</v>
      </c>
      <c r="C536" s="1" t="s">
        <v>1307</v>
      </c>
      <c r="D536" s="1">
        <v>4</v>
      </c>
      <c r="E536" s="1">
        <v>0</v>
      </c>
      <c r="F536" s="1" t="b">
        <v>0</v>
      </c>
      <c r="G536">
        <f>VLOOKUP(C536,Products!A:D,4,FALSE)</f>
        <v>99</v>
      </c>
      <c r="H536" t="str">
        <f>VLOOKUP(C536,Products!A:D,3,FALSE)</f>
        <v>Sports</v>
      </c>
      <c r="I536">
        <f t="shared" si="8"/>
        <v>396</v>
      </c>
      <c r="J536" s="2">
        <f>VLOOKUP(B536,Orders!A:C,3,FALSE)</f>
        <v>46280</v>
      </c>
      <c r="K536" s="1" t="str">
        <f>VLOOKUP(B536,Orders!A:B,2,FALSE)</f>
        <v>C0071</v>
      </c>
    </row>
    <row r="537" spans="1:11" x14ac:dyDescent="0.3">
      <c r="A537" s="1" t="s">
        <v>2032</v>
      </c>
      <c r="B537" s="1" t="s">
        <v>2033</v>
      </c>
      <c r="C537" s="1" t="s">
        <v>1195</v>
      </c>
      <c r="D537" s="1">
        <v>1</v>
      </c>
      <c r="E537" s="1">
        <v>0</v>
      </c>
      <c r="F537" s="1" t="b">
        <v>0</v>
      </c>
      <c r="G537">
        <f>VLOOKUP(C537,Products!A:D,4,FALSE)</f>
        <v>3430</v>
      </c>
      <c r="H537" t="str">
        <f>VLOOKUP(C537,Products!A:D,3,FALSE)</f>
        <v>Books</v>
      </c>
      <c r="I537">
        <f t="shared" si="8"/>
        <v>3430</v>
      </c>
      <c r="J537" s="2">
        <f>VLOOKUP(B537,Orders!A:C,3,FALSE)</f>
        <v>46161</v>
      </c>
      <c r="K537" s="1" t="str">
        <f>VLOOKUP(B537,Orders!A:B,2,FALSE)</f>
        <v>C0167</v>
      </c>
    </row>
    <row r="538" spans="1:11" x14ac:dyDescent="0.3">
      <c r="A538" s="1" t="s">
        <v>2034</v>
      </c>
      <c r="B538" s="1" t="s">
        <v>2033</v>
      </c>
      <c r="C538" s="1" t="s">
        <v>1135</v>
      </c>
      <c r="D538" s="1">
        <v>5</v>
      </c>
      <c r="E538" s="1">
        <v>0.1</v>
      </c>
      <c r="F538" s="1" t="b">
        <v>0</v>
      </c>
      <c r="G538">
        <f>VLOOKUP(C538,Products!A:D,4,FALSE)</f>
        <v>470</v>
      </c>
      <c r="H538" t="str">
        <f>VLOOKUP(C538,Products!A:D,3,FALSE)</f>
        <v>Apparel</v>
      </c>
      <c r="I538">
        <f t="shared" si="8"/>
        <v>2115</v>
      </c>
      <c r="J538" s="2">
        <f>VLOOKUP(B538,Orders!A:C,3,FALSE)</f>
        <v>46161</v>
      </c>
      <c r="K538" s="1" t="str">
        <f>VLOOKUP(B538,Orders!A:B,2,FALSE)</f>
        <v>C0167</v>
      </c>
    </row>
    <row r="539" spans="1:11" x14ac:dyDescent="0.3">
      <c r="A539" s="1" t="s">
        <v>2035</v>
      </c>
      <c r="B539" s="1" t="s">
        <v>2033</v>
      </c>
      <c r="C539" s="1" t="s">
        <v>1216</v>
      </c>
      <c r="D539" s="1">
        <v>2</v>
      </c>
      <c r="E539" s="1">
        <v>0</v>
      </c>
      <c r="F539" s="1" t="b">
        <v>0</v>
      </c>
      <c r="G539">
        <f>VLOOKUP(C539,Products!A:D,4,FALSE)</f>
        <v>1240</v>
      </c>
      <c r="H539" t="str">
        <f>VLOOKUP(C539,Products!A:D,3,FALSE)</f>
        <v>Apparel</v>
      </c>
      <c r="I539">
        <f t="shared" si="8"/>
        <v>2480</v>
      </c>
      <c r="J539" s="2">
        <f>VLOOKUP(B539,Orders!A:C,3,FALSE)</f>
        <v>46161</v>
      </c>
      <c r="K539" s="1" t="str">
        <f>VLOOKUP(B539,Orders!A:B,2,FALSE)</f>
        <v>C0167</v>
      </c>
    </row>
    <row r="540" spans="1:11" x14ac:dyDescent="0.3">
      <c r="A540" s="1" t="s">
        <v>2036</v>
      </c>
      <c r="B540" s="1" t="s">
        <v>2033</v>
      </c>
      <c r="C540" s="1" t="s">
        <v>1113</v>
      </c>
      <c r="D540" s="1">
        <v>4</v>
      </c>
      <c r="E540" s="1">
        <v>0.1</v>
      </c>
      <c r="F540" s="1" t="b">
        <v>0</v>
      </c>
      <c r="G540">
        <f>VLOOKUP(C540,Products!A:D,4,FALSE)</f>
        <v>2780</v>
      </c>
      <c r="H540" t="str">
        <f>VLOOKUP(C540,Products!A:D,3,FALSE)</f>
        <v>Apparel</v>
      </c>
      <c r="I540">
        <f t="shared" si="8"/>
        <v>10008</v>
      </c>
      <c r="J540" s="2">
        <f>VLOOKUP(B540,Orders!A:C,3,FALSE)</f>
        <v>46161</v>
      </c>
      <c r="K540" s="1" t="str">
        <f>VLOOKUP(B540,Orders!A:B,2,FALSE)</f>
        <v>C0167</v>
      </c>
    </row>
    <row r="541" spans="1:11" x14ac:dyDescent="0.3">
      <c r="A541" s="1" t="s">
        <v>2037</v>
      </c>
      <c r="B541" s="1" t="s">
        <v>2038</v>
      </c>
      <c r="C541" s="1" t="s">
        <v>1288</v>
      </c>
      <c r="D541" s="1">
        <v>1</v>
      </c>
      <c r="E541" s="1">
        <v>0</v>
      </c>
      <c r="F541" s="1" t="b">
        <v>0</v>
      </c>
      <c r="G541">
        <f>VLOOKUP(C541,Products!A:D,4,FALSE)</f>
        <v>2580</v>
      </c>
      <c r="H541" t="str">
        <f>VLOOKUP(C541,Products!A:D,3,FALSE)</f>
        <v>Beauty</v>
      </c>
      <c r="I541">
        <f t="shared" si="8"/>
        <v>2580</v>
      </c>
      <c r="J541" s="2">
        <f>VLOOKUP(B541,Orders!A:C,3,FALSE)</f>
        <v>45927</v>
      </c>
      <c r="K541" s="1" t="str">
        <f>VLOOKUP(B541,Orders!A:B,2,FALSE)</f>
        <v>C0270</v>
      </c>
    </row>
    <row r="542" spans="1:11" x14ac:dyDescent="0.3">
      <c r="A542" s="1" t="s">
        <v>2039</v>
      </c>
      <c r="B542" s="1" t="s">
        <v>2038</v>
      </c>
      <c r="C542" s="1" t="s">
        <v>1116</v>
      </c>
      <c r="D542" s="1">
        <v>3</v>
      </c>
      <c r="E542" s="1">
        <v>0</v>
      </c>
      <c r="F542" s="1" t="b">
        <v>0</v>
      </c>
      <c r="G542">
        <f>VLOOKUP(C542,Products!A:D,4,FALSE)</f>
        <v>3000</v>
      </c>
      <c r="H542" t="str">
        <f>VLOOKUP(C542,Products!A:D,3,FALSE)</f>
        <v>Home &amp; Kitchen</v>
      </c>
      <c r="I542">
        <f t="shared" si="8"/>
        <v>9000</v>
      </c>
      <c r="J542" s="2">
        <f>VLOOKUP(B542,Orders!A:C,3,FALSE)</f>
        <v>45927</v>
      </c>
      <c r="K542" s="1" t="str">
        <f>VLOOKUP(B542,Orders!A:B,2,FALSE)</f>
        <v>C0270</v>
      </c>
    </row>
    <row r="543" spans="1:11" x14ac:dyDescent="0.3">
      <c r="A543" s="1" t="s">
        <v>2040</v>
      </c>
      <c r="B543" s="1" t="s">
        <v>2038</v>
      </c>
      <c r="C543" s="1" t="s">
        <v>1135</v>
      </c>
      <c r="D543" s="1">
        <v>4</v>
      </c>
      <c r="E543" s="1">
        <v>0.15</v>
      </c>
      <c r="F543" s="1" t="b">
        <v>0</v>
      </c>
      <c r="G543">
        <f>VLOOKUP(C543,Products!A:D,4,FALSE)</f>
        <v>470</v>
      </c>
      <c r="H543" t="str">
        <f>VLOOKUP(C543,Products!A:D,3,FALSE)</f>
        <v>Apparel</v>
      </c>
      <c r="I543">
        <f t="shared" si="8"/>
        <v>1598</v>
      </c>
      <c r="J543" s="2">
        <f>VLOOKUP(B543,Orders!A:C,3,FALSE)</f>
        <v>45927</v>
      </c>
      <c r="K543" s="1" t="str">
        <f>VLOOKUP(B543,Orders!A:B,2,FALSE)</f>
        <v>C0270</v>
      </c>
    </row>
    <row r="544" spans="1:11" x14ac:dyDescent="0.3">
      <c r="A544" s="1" t="s">
        <v>2041</v>
      </c>
      <c r="B544" s="1" t="s">
        <v>2042</v>
      </c>
      <c r="C544" s="1" t="s">
        <v>1152</v>
      </c>
      <c r="D544" s="1">
        <v>3</v>
      </c>
      <c r="E544" s="1">
        <v>0</v>
      </c>
      <c r="F544" s="1" t="b">
        <v>0</v>
      </c>
      <c r="G544">
        <f>VLOOKUP(C544,Products!A:D,4,FALSE)</f>
        <v>2250</v>
      </c>
      <c r="H544" t="str">
        <f>VLOOKUP(C544,Products!A:D,3,FALSE)</f>
        <v>Home &amp; Kitchen</v>
      </c>
      <c r="I544">
        <f t="shared" si="8"/>
        <v>6750</v>
      </c>
      <c r="J544" s="2">
        <f>VLOOKUP(B544,Orders!A:C,3,FALSE)</f>
        <v>45950</v>
      </c>
      <c r="K544" s="1" t="str">
        <f>VLOOKUP(B544,Orders!A:B,2,FALSE)</f>
        <v>C0236</v>
      </c>
    </row>
    <row r="545" spans="1:11" x14ac:dyDescent="0.3">
      <c r="A545" s="1" t="s">
        <v>2043</v>
      </c>
      <c r="B545" s="1" t="s">
        <v>2044</v>
      </c>
      <c r="C545" s="1" t="s">
        <v>1484</v>
      </c>
      <c r="D545" s="1">
        <v>5</v>
      </c>
      <c r="E545" s="1">
        <v>0</v>
      </c>
      <c r="F545" s="1" t="b">
        <v>0</v>
      </c>
      <c r="G545">
        <f>VLOOKUP(C545,Products!A:D,4,FALSE)</f>
        <v>1080</v>
      </c>
      <c r="H545" t="str">
        <f>VLOOKUP(C545,Products!A:D,3,FALSE)</f>
        <v>Home &amp; Kitchen</v>
      </c>
      <c r="I545">
        <f t="shared" si="8"/>
        <v>5400</v>
      </c>
      <c r="J545" s="2">
        <f>VLOOKUP(B545,Orders!A:C,3,FALSE)</f>
        <v>46055</v>
      </c>
      <c r="K545" s="1" t="str">
        <f>VLOOKUP(B545,Orders!A:B,2,FALSE)</f>
        <v>C0280</v>
      </c>
    </row>
    <row r="546" spans="1:11" x14ac:dyDescent="0.3">
      <c r="A546" s="1" t="s">
        <v>2045</v>
      </c>
      <c r="B546" s="1" t="s">
        <v>2044</v>
      </c>
      <c r="C546" s="1" t="s">
        <v>1242</v>
      </c>
      <c r="D546" s="1">
        <v>3</v>
      </c>
      <c r="E546" s="1">
        <v>0.05</v>
      </c>
      <c r="F546" s="1" t="b">
        <v>0</v>
      </c>
      <c r="G546">
        <f>VLOOKUP(C546,Products!A:D,4,FALSE)</f>
        <v>2720</v>
      </c>
      <c r="H546" t="str">
        <f>VLOOKUP(C546,Products!A:D,3,FALSE)</f>
        <v>Beauty</v>
      </c>
      <c r="I546">
        <f t="shared" si="8"/>
        <v>7752</v>
      </c>
      <c r="J546" s="2">
        <f>VLOOKUP(B546,Orders!A:C,3,FALSE)</f>
        <v>46055</v>
      </c>
      <c r="K546" s="1" t="str">
        <f>VLOOKUP(B546,Orders!A:B,2,FALSE)</f>
        <v>C0280</v>
      </c>
    </row>
    <row r="547" spans="1:11" x14ac:dyDescent="0.3">
      <c r="A547" s="1" t="s">
        <v>2046</v>
      </c>
      <c r="B547" s="1" t="s">
        <v>2047</v>
      </c>
      <c r="C547" s="1" t="s">
        <v>1249</v>
      </c>
      <c r="D547" s="1">
        <v>5</v>
      </c>
      <c r="E547" s="1">
        <v>0</v>
      </c>
      <c r="F547" s="1" t="b">
        <v>0</v>
      </c>
      <c r="G547">
        <f>VLOOKUP(C547,Products!A:D,4,FALSE)</f>
        <v>3630</v>
      </c>
      <c r="H547" t="str">
        <f>VLOOKUP(C547,Products!A:D,3,FALSE)</f>
        <v>Electronics</v>
      </c>
      <c r="I547">
        <f t="shared" si="8"/>
        <v>18150</v>
      </c>
      <c r="J547" s="2">
        <f>VLOOKUP(B547,Orders!A:C,3,FALSE)</f>
        <v>46017</v>
      </c>
      <c r="K547" s="1" t="str">
        <f>VLOOKUP(B547,Orders!A:B,2,FALSE)</f>
        <v>C0248</v>
      </c>
    </row>
    <row r="548" spans="1:11" x14ac:dyDescent="0.3">
      <c r="A548" s="1" t="s">
        <v>2048</v>
      </c>
      <c r="B548" s="1" t="s">
        <v>2047</v>
      </c>
      <c r="C548" s="1" t="s">
        <v>1299</v>
      </c>
      <c r="D548" s="1">
        <v>2</v>
      </c>
      <c r="E548" s="1">
        <v>0</v>
      </c>
      <c r="F548" s="1" t="b">
        <v>0</v>
      </c>
      <c r="G548">
        <f>VLOOKUP(C548,Products!A:D,4,FALSE)</f>
        <v>1080</v>
      </c>
      <c r="H548" t="str">
        <f>VLOOKUP(C548,Products!A:D,3,FALSE)</f>
        <v>Beauty</v>
      </c>
      <c r="I548">
        <f t="shared" si="8"/>
        <v>2160</v>
      </c>
      <c r="J548" s="2">
        <f>VLOOKUP(B548,Orders!A:C,3,FALSE)</f>
        <v>46017</v>
      </c>
      <c r="K548" s="1" t="str">
        <f>VLOOKUP(B548,Orders!A:B,2,FALSE)</f>
        <v>C0248</v>
      </c>
    </row>
    <row r="549" spans="1:11" x14ac:dyDescent="0.3">
      <c r="A549" s="1" t="s">
        <v>2049</v>
      </c>
      <c r="B549" s="1" t="s">
        <v>2047</v>
      </c>
      <c r="C549" s="1" t="s">
        <v>1315</v>
      </c>
      <c r="D549" s="1">
        <v>2</v>
      </c>
      <c r="E549" s="1">
        <v>0</v>
      </c>
      <c r="F549" s="1" t="b">
        <v>0</v>
      </c>
      <c r="G549">
        <f>VLOOKUP(C549,Products!A:D,4,FALSE)</f>
        <v>2190</v>
      </c>
      <c r="H549" t="str">
        <f>VLOOKUP(C549,Products!A:D,3,FALSE)</f>
        <v>Electronics</v>
      </c>
      <c r="I549">
        <f t="shared" si="8"/>
        <v>4380</v>
      </c>
      <c r="J549" s="2">
        <f>VLOOKUP(B549,Orders!A:C,3,FALSE)</f>
        <v>46017</v>
      </c>
      <c r="K549" s="1" t="str">
        <f>VLOOKUP(B549,Orders!A:B,2,FALSE)</f>
        <v>C0248</v>
      </c>
    </row>
    <row r="550" spans="1:11" x14ac:dyDescent="0.3">
      <c r="A550" s="1" t="s">
        <v>2050</v>
      </c>
      <c r="B550" s="1" t="s">
        <v>2051</v>
      </c>
      <c r="C550" s="1" t="s">
        <v>1160</v>
      </c>
      <c r="D550" s="1">
        <v>3</v>
      </c>
      <c r="E550" s="1">
        <v>0.2</v>
      </c>
      <c r="F550" s="1" t="b">
        <v>1</v>
      </c>
      <c r="G550">
        <f>VLOOKUP(C550,Products!A:D,4,FALSE)</f>
        <v>1710</v>
      </c>
      <c r="H550" t="str">
        <f>VLOOKUP(C550,Products!A:D,3,FALSE)</f>
        <v>Home &amp; Kitchen</v>
      </c>
      <c r="I550">
        <f t="shared" si="8"/>
        <v>4104</v>
      </c>
      <c r="J550" s="2">
        <f>VLOOKUP(B550,Orders!A:C,3,FALSE)</f>
        <v>46137</v>
      </c>
      <c r="K550" s="1" t="str">
        <f>VLOOKUP(B550,Orders!A:B,2,FALSE)</f>
        <v>C0143</v>
      </c>
    </row>
    <row r="551" spans="1:11" x14ac:dyDescent="0.3">
      <c r="A551" s="1" t="s">
        <v>2052</v>
      </c>
      <c r="B551" s="1" t="s">
        <v>2051</v>
      </c>
      <c r="C551" s="1" t="s">
        <v>1393</v>
      </c>
      <c r="D551" s="1">
        <v>2</v>
      </c>
      <c r="E551" s="1">
        <v>0.05</v>
      </c>
      <c r="F551" s="1" t="b">
        <v>0</v>
      </c>
      <c r="G551">
        <f>VLOOKUP(C551,Products!A:D,4,FALSE)</f>
        <v>1520</v>
      </c>
      <c r="H551" t="str">
        <f>VLOOKUP(C551,Products!A:D,3,FALSE)</f>
        <v>Electronics</v>
      </c>
      <c r="I551">
        <f t="shared" si="8"/>
        <v>2888</v>
      </c>
      <c r="J551" s="2">
        <f>VLOOKUP(B551,Orders!A:C,3,FALSE)</f>
        <v>46137</v>
      </c>
      <c r="K551" s="1" t="str">
        <f>VLOOKUP(B551,Orders!A:B,2,FALSE)</f>
        <v>C0143</v>
      </c>
    </row>
    <row r="552" spans="1:11" x14ac:dyDescent="0.3">
      <c r="A552" s="1" t="s">
        <v>2053</v>
      </c>
      <c r="B552" s="1" t="s">
        <v>2054</v>
      </c>
      <c r="C552" s="1" t="s">
        <v>1433</v>
      </c>
      <c r="D552" s="1">
        <v>4</v>
      </c>
      <c r="E552" s="1">
        <v>0</v>
      </c>
      <c r="F552" s="1" t="b">
        <v>0</v>
      </c>
      <c r="G552">
        <f>VLOOKUP(C552,Products!A:D,4,FALSE)</f>
        <v>110</v>
      </c>
      <c r="H552" t="str">
        <f>VLOOKUP(C552,Products!A:D,3,FALSE)</f>
        <v>Home &amp; Kitchen</v>
      </c>
      <c r="I552">
        <f t="shared" si="8"/>
        <v>440</v>
      </c>
      <c r="J552" s="2">
        <f>VLOOKUP(B552,Orders!A:C,3,FALSE)</f>
        <v>45771</v>
      </c>
      <c r="K552" s="1" t="str">
        <f>VLOOKUP(B552,Orders!A:B,2,FALSE)</f>
        <v>C0153</v>
      </c>
    </row>
    <row r="553" spans="1:11" x14ac:dyDescent="0.3">
      <c r="A553" s="1" t="s">
        <v>2055</v>
      </c>
      <c r="B553" s="1" t="s">
        <v>2056</v>
      </c>
      <c r="C553" s="1" t="s">
        <v>1127</v>
      </c>
      <c r="D553" s="1">
        <v>4</v>
      </c>
      <c r="E553" s="1">
        <v>0.1</v>
      </c>
      <c r="F553" s="1" t="b">
        <v>0</v>
      </c>
      <c r="G553">
        <f>VLOOKUP(C553,Products!A:D,4,FALSE)</f>
        <v>1660</v>
      </c>
      <c r="H553" t="str">
        <f>VLOOKUP(C553,Products!A:D,3,FALSE)</f>
        <v>Apparel</v>
      </c>
      <c r="I553">
        <f t="shared" si="8"/>
        <v>5976</v>
      </c>
      <c r="J553" s="2">
        <f>VLOOKUP(B553,Orders!A:C,3,FALSE)</f>
        <v>45783</v>
      </c>
      <c r="K553" s="1" t="str">
        <f>VLOOKUP(B553,Orders!A:B,2,FALSE)</f>
        <v>C0251</v>
      </c>
    </row>
    <row r="554" spans="1:11" x14ac:dyDescent="0.3">
      <c r="A554" s="1" t="s">
        <v>2057</v>
      </c>
      <c r="B554" s="1" t="s">
        <v>2056</v>
      </c>
      <c r="C554" s="1" t="s">
        <v>1330</v>
      </c>
      <c r="D554" s="1">
        <v>2</v>
      </c>
      <c r="E554" s="1">
        <v>0.15</v>
      </c>
      <c r="F554" s="1" t="b">
        <v>0</v>
      </c>
      <c r="G554">
        <f>VLOOKUP(C554,Products!A:D,4,FALSE)</f>
        <v>580</v>
      </c>
      <c r="H554" t="str">
        <f>VLOOKUP(C554,Products!A:D,3,FALSE)</f>
        <v>Books</v>
      </c>
      <c r="I554">
        <f t="shared" si="8"/>
        <v>986</v>
      </c>
      <c r="J554" s="2">
        <f>VLOOKUP(B554,Orders!A:C,3,FALSE)</f>
        <v>45783</v>
      </c>
      <c r="K554" s="1" t="str">
        <f>VLOOKUP(B554,Orders!A:B,2,FALSE)</f>
        <v>C0251</v>
      </c>
    </row>
    <row r="555" spans="1:11" x14ac:dyDescent="0.3">
      <c r="A555" s="1" t="s">
        <v>2058</v>
      </c>
      <c r="B555" s="1" t="s">
        <v>2056</v>
      </c>
      <c r="C555" s="1" t="s">
        <v>1163</v>
      </c>
      <c r="D555" s="1">
        <v>5</v>
      </c>
      <c r="E555" s="1">
        <v>0.1</v>
      </c>
      <c r="F555" s="1" t="b">
        <v>0</v>
      </c>
      <c r="G555">
        <f>VLOOKUP(C555,Products!A:D,4,FALSE)</f>
        <v>2180</v>
      </c>
      <c r="H555" t="str">
        <f>VLOOKUP(C555,Products!A:D,3,FALSE)</f>
        <v>Electronics</v>
      </c>
      <c r="I555">
        <f t="shared" si="8"/>
        <v>9810</v>
      </c>
      <c r="J555" s="2">
        <f>VLOOKUP(B555,Orders!A:C,3,FALSE)</f>
        <v>45783</v>
      </c>
      <c r="K555" s="1" t="str">
        <f>VLOOKUP(B555,Orders!A:B,2,FALSE)</f>
        <v>C0251</v>
      </c>
    </row>
    <row r="556" spans="1:11" x14ac:dyDescent="0.3">
      <c r="A556" s="1" t="s">
        <v>2059</v>
      </c>
      <c r="B556" s="1" t="s">
        <v>2060</v>
      </c>
      <c r="C556" s="1" t="s">
        <v>1644</v>
      </c>
      <c r="D556" s="1">
        <v>2</v>
      </c>
      <c r="E556" s="1">
        <v>0</v>
      </c>
      <c r="F556" s="1" t="b">
        <v>0</v>
      </c>
      <c r="G556">
        <f>VLOOKUP(C556,Products!A:D,4,FALSE)</f>
        <v>1930</v>
      </c>
      <c r="H556" t="str">
        <f>VLOOKUP(C556,Products!A:D,3,FALSE)</f>
        <v>Home &amp; Kitchen</v>
      </c>
      <c r="I556">
        <f t="shared" si="8"/>
        <v>3860</v>
      </c>
      <c r="J556" s="2">
        <f>VLOOKUP(B556,Orders!A:C,3,FALSE)</f>
        <v>45889</v>
      </c>
      <c r="K556" s="1" t="str">
        <f>VLOOKUP(B556,Orders!A:B,2,FALSE)</f>
        <v>C0287</v>
      </c>
    </row>
    <row r="557" spans="1:11" x14ac:dyDescent="0.3">
      <c r="A557" s="1" t="s">
        <v>2061</v>
      </c>
      <c r="B557" s="1" t="s">
        <v>2060</v>
      </c>
      <c r="C557" s="1" t="s">
        <v>1116</v>
      </c>
      <c r="D557" s="1">
        <v>2</v>
      </c>
      <c r="E557" s="1">
        <v>0.05</v>
      </c>
      <c r="F557" s="1" t="b">
        <v>0</v>
      </c>
      <c r="G557">
        <f>VLOOKUP(C557,Products!A:D,4,FALSE)</f>
        <v>3000</v>
      </c>
      <c r="H557" t="str">
        <f>VLOOKUP(C557,Products!A:D,3,FALSE)</f>
        <v>Home &amp; Kitchen</v>
      </c>
      <c r="I557">
        <f t="shared" si="8"/>
        <v>5700</v>
      </c>
      <c r="J557" s="2">
        <f>VLOOKUP(B557,Orders!A:C,3,FALSE)</f>
        <v>45889</v>
      </c>
      <c r="K557" s="1" t="str">
        <f>VLOOKUP(B557,Orders!A:B,2,FALSE)</f>
        <v>C0287</v>
      </c>
    </row>
    <row r="558" spans="1:11" x14ac:dyDescent="0.3">
      <c r="A558" s="1" t="s">
        <v>2062</v>
      </c>
      <c r="B558" s="1" t="s">
        <v>2063</v>
      </c>
      <c r="C558" s="1" t="s">
        <v>1459</v>
      </c>
      <c r="D558" s="1">
        <v>5</v>
      </c>
      <c r="E558" s="1">
        <v>0</v>
      </c>
      <c r="F558" s="1" t="b">
        <v>0</v>
      </c>
      <c r="G558">
        <f>VLOOKUP(C558,Products!A:D,4,FALSE)</f>
        <v>710</v>
      </c>
      <c r="H558" t="str">
        <f>VLOOKUP(C558,Products!A:D,3,FALSE)</f>
        <v>Sports</v>
      </c>
      <c r="I558">
        <f t="shared" si="8"/>
        <v>3550</v>
      </c>
      <c r="J558" s="2">
        <f>VLOOKUP(B558,Orders!A:C,3,FALSE)</f>
        <v>46188</v>
      </c>
      <c r="K558" s="1" t="str">
        <f>VLOOKUP(B558,Orders!A:B,2,FALSE)</f>
        <v>C0148</v>
      </c>
    </row>
    <row r="559" spans="1:11" x14ac:dyDescent="0.3">
      <c r="A559" s="1" t="s">
        <v>2064</v>
      </c>
      <c r="B559" s="1" t="s">
        <v>2063</v>
      </c>
      <c r="C559" s="1" t="s">
        <v>1225</v>
      </c>
      <c r="D559" s="1">
        <v>1</v>
      </c>
      <c r="E559" s="1">
        <v>0.1</v>
      </c>
      <c r="F559" s="1" t="b">
        <v>0</v>
      </c>
      <c r="G559">
        <f>VLOOKUP(C559,Products!A:D,4,FALSE)</f>
        <v>2690</v>
      </c>
      <c r="H559" t="str">
        <f>VLOOKUP(C559,Products!A:D,3,FALSE)</f>
        <v>Beauty</v>
      </c>
      <c r="I559">
        <f t="shared" si="8"/>
        <v>2421</v>
      </c>
      <c r="J559" s="2">
        <f>VLOOKUP(B559,Orders!A:C,3,FALSE)</f>
        <v>46188</v>
      </c>
      <c r="K559" s="1" t="str">
        <f>VLOOKUP(B559,Orders!A:B,2,FALSE)</f>
        <v>C0148</v>
      </c>
    </row>
    <row r="560" spans="1:11" x14ac:dyDescent="0.3">
      <c r="A560" s="1" t="s">
        <v>2065</v>
      </c>
      <c r="B560" s="1" t="s">
        <v>2063</v>
      </c>
      <c r="C560" s="1" t="s">
        <v>1143</v>
      </c>
      <c r="D560" s="1">
        <v>1</v>
      </c>
      <c r="E560" s="1">
        <v>0</v>
      </c>
      <c r="F560" s="1" t="b">
        <v>0</v>
      </c>
      <c r="G560">
        <f>VLOOKUP(C560,Products!A:D,4,FALSE)</f>
        <v>2230</v>
      </c>
      <c r="H560" t="str">
        <f>VLOOKUP(C560,Products!A:D,3,FALSE)</f>
        <v>Home &amp; Kitchen</v>
      </c>
      <c r="I560">
        <f t="shared" si="8"/>
        <v>2230</v>
      </c>
      <c r="J560" s="2">
        <f>VLOOKUP(B560,Orders!A:C,3,FALSE)</f>
        <v>46188</v>
      </c>
      <c r="K560" s="1" t="str">
        <f>VLOOKUP(B560,Orders!A:B,2,FALSE)</f>
        <v>C0148</v>
      </c>
    </row>
    <row r="561" spans="1:11" x14ac:dyDescent="0.3">
      <c r="A561" s="1" t="s">
        <v>2066</v>
      </c>
      <c r="B561" s="1" t="s">
        <v>2063</v>
      </c>
      <c r="C561" s="1" t="s">
        <v>1225</v>
      </c>
      <c r="D561" s="1">
        <v>2</v>
      </c>
      <c r="E561" s="1">
        <v>0.15</v>
      </c>
      <c r="F561" s="1" t="b">
        <v>0</v>
      </c>
      <c r="G561">
        <f>VLOOKUP(C561,Products!A:D,4,FALSE)</f>
        <v>2690</v>
      </c>
      <c r="H561" t="str">
        <f>VLOOKUP(C561,Products!A:D,3,FALSE)</f>
        <v>Beauty</v>
      </c>
      <c r="I561">
        <f t="shared" si="8"/>
        <v>4573</v>
      </c>
      <c r="J561" s="2">
        <f>VLOOKUP(B561,Orders!A:C,3,FALSE)</f>
        <v>46188</v>
      </c>
      <c r="K561" s="1" t="str">
        <f>VLOOKUP(B561,Orders!A:B,2,FALSE)</f>
        <v>C0148</v>
      </c>
    </row>
    <row r="562" spans="1:11" x14ac:dyDescent="0.3">
      <c r="A562" s="1" t="s">
        <v>2067</v>
      </c>
      <c r="B562" s="1" t="s">
        <v>2068</v>
      </c>
      <c r="C562" s="1" t="s">
        <v>1225</v>
      </c>
      <c r="D562" s="1">
        <v>4</v>
      </c>
      <c r="E562" s="1">
        <v>0.05</v>
      </c>
      <c r="F562" s="1" t="b">
        <v>0</v>
      </c>
      <c r="G562">
        <f>VLOOKUP(C562,Products!A:D,4,FALSE)</f>
        <v>2690</v>
      </c>
      <c r="H562" t="str">
        <f>VLOOKUP(C562,Products!A:D,3,FALSE)</f>
        <v>Beauty</v>
      </c>
      <c r="I562">
        <f t="shared" si="8"/>
        <v>10222</v>
      </c>
      <c r="J562" s="2">
        <f>VLOOKUP(B562,Orders!A:C,3,FALSE)</f>
        <v>46235</v>
      </c>
      <c r="K562" s="1" t="str">
        <f>VLOOKUP(B562,Orders!A:B,2,FALSE)</f>
        <v>C0279</v>
      </c>
    </row>
    <row r="563" spans="1:11" x14ac:dyDescent="0.3">
      <c r="A563" s="1" t="s">
        <v>2069</v>
      </c>
      <c r="B563" s="1" t="s">
        <v>2070</v>
      </c>
      <c r="C563" s="1" t="s">
        <v>1278</v>
      </c>
      <c r="D563" s="1">
        <v>2</v>
      </c>
      <c r="E563" s="1">
        <v>0.2</v>
      </c>
      <c r="F563" s="1" t="b">
        <v>0</v>
      </c>
      <c r="G563">
        <f>VLOOKUP(C563,Products!A:D,4,FALSE)</f>
        <v>330</v>
      </c>
      <c r="H563" t="str">
        <f>VLOOKUP(C563,Products!A:D,3,FALSE)</f>
        <v>Books</v>
      </c>
      <c r="I563">
        <f t="shared" si="8"/>
        <v>528</v>
      </c>
      <c r="J563" s="2">
        <f>VLOOKUP(B563,Orders!A:C,3,FALSE)</f>
        <v>45924</v>
      </c>
      <c r="K563" s="1" t="str">
        <f>VLOOKUP(B563,Orders!A:B,2,FALSE)</f>
        <v>C0177</v>
      </c>
    </row>
    <row r="564" spans="1:11" x14ac:dyDescent="0.3">
      <c r="A564" s="1" t="s">
        <v>2071</v>
      </c>
      <c r="B564" s="1" t="s">
        <v>2072</v>
      </c>
      <c r="C564" s="1" t="s">
        <v>1330</v>
      </c>
      <c r="D564" s="1">
        <v>2</v>
      </c>
      <c r="E564" s="1">
        <v>0</v>
      </c>
      <c r="F564" s="1" t="b">
        <v>0</v>
      </c>
      <c r="G564">
        <f>VLOOKUP(C564,Products!A:D,4,FALSE)</f>
        <v>580</v>
      </c>
      <c r="H564" t="str">
        <f>VLOOKUP(C564,Products!A:D,3,FALSE)</f>
        <v>Books</v>
      </c>
      <c r="I564">
        <f t="shared" si="8"/>
        <v>1160</v>
      </c>
      <c r="J564" s="2">
        <f>VLOOKUP(B564,Orders!A:C,3,FALSE)</f>
        <v>46261</v>
      </c>
      <c r="K564" s="1" t="str">
        <f>VLOOKUP(B564,Orders!A:B,2,FALSE)</f>
        <v>C0149</v>
      </c>
    </row>
    <row r="565" spans="1:11" x14ac:dyDescent="0.3">
      <c r="A565" s="1" t="s">
        <v>2073</v>
      </c>
      <c r="B565" s="1" t="s">
        <v>2074</v>
      </c>
      <c r="C565" s="1" t="s">
        <v>1137</v>
      </c>
      <c r="D565" s="1">
        <v>5</v>
      </c>
      <c r="E565" s="1">
        <v>0</v>
      </c>
      <c r="F565" s="1" t="b">
        <v>0</v>
      </c>
      <c r="G565">
        <f>VLOOKUP(C565,Products!A:D,4,FALSE)</f>
        <v>1910</v>
      </c>
      <c r="H565" t="str">
        <f>VLOOKUP(C565,Products!A:D,3,FALSE)</f>
        <v>Apparel</v>
      </c>
      <c r="I565">
        <f t="shared" si="8"/>
        <v>9550</v>
      </c>
      <c r="J565" s="2">
        <f>VLOOKUP(B565,Orders!A:C,3,FALSE)</f>
        <v>45885</v>
      </c>
      <c r="K565" s="1" t="str">
        <f>VLOOKUP(B565,Orders!A:B,2,FALSE)</f>
        <v>C0178</v>
      </c>
    </row>
    <row r="566" spans="1:11" x14ac:dyDescent="0.3">
      <c r="A566" s="1" t="s">
        <v>2075</v>
      </c>
      <c r="B566" s="1" t="s">
        <v>2074</v>
      </c>
      <c r="C566" s="1" t="s">
        <v>1333</v>
      </c>
      <c r="D566" s="1">
        <v>5</v>
      </c>
      <c r="E566" s="1">
        <v>0.1</v>
      </c>
      <c r="F566" s="1" t="b">
        <v>0</v>
      </c>
      <c r="G566">
        <f>VLOOKUP(C566,Products!A:D,4,FALSE)</f>
        <v>1440</v>
      </c>
      <c r="H566" t="str">
        <f>VLOOKUP(C566,Products!A:D,3,FALSE)</f>
        <v>Home &amp; Kitchen</v>
      </c>
      <c r="I566">
        <f t="shared" si="8"/>
        <v>6480</v>
      </c>
      <c r="J566" s="2">
        <f>VLOOKUP(B566,Orders!A:C,3,FALSE)</f>
        <v>45885</v>
      </c>
      <c r="K566" s="1" t="str">
        <f>VLOOKUP(B566,Orders!A:B,2,FALSE)</f>
        <v>C0178</v>
      </c>
    </row>
    <row r="567" spans="1:11" x14ac:dyDescent="0.3">
      <c r="A567" s="1" t="s">
        <v>2076</v>
      </c>
      <c r="B567" s="1" t="s">
        <v>2077</v>
      </c>
      <c r="C567" s="1" t="s">
        <v>1168</v>
      </c>
      <c r="D567" s="1">
        <v>2</v>
      </c>
      <c r="E567" s="1">
        <v>0.15</v>
      </c>
      <c r="F567" s="1" t="b">
        <v>0</v>
      </c>
      <c r="G567">
        <f>VLOOKUP(C567,Products!A:D,4,FALSE)</f>
        <v>1440</v>
      </c>
      <c r="H567" t="str">
        <f>VLOOKUP(C567,Products!A:D,3,FALSE)</f>
        <v>Sports</v>
      </c>
      <c r="I567">
        <f t="shared" si="8"/>
        <v>2448</v>
      </c>
      <c r="J567" s="2">
        <f>VLOOKUP(B567,Orders!A:C,3,FALSE)</f>
        <v>46066</v>
      </c>
      <c r="K567" s="1" t="str">
        <f>VLOOKUP(B567,Orders!A:B,2,FALSE)</f>
        <v>C0246</v>
      </c>
    </row>
    <row r="568" spans="1:11" x14ac:dyDescent="0.3">
      <c r="A568" s="1" t="s">
        <v>2078</v>
      </c>
      <c r="B568" s="1" t="s">
        <v>2079</v>
      </c>
      <c r="C568" s="1" t="s">
        <v>1602</v>
      </c>
      <c r="D568" s="1">
        <v>4</v>
      </c>
      <c r="E568" s="1">
        <v>0</v>
      </c>
      <c r="F568" s="1" t="b">
        <v>0</v>
      </c>
      <c r="G568">
        <f>VLOOKUP(C568,Products!A:D,4,FALSE)</f>
        <v>1240</v>
      </c>
      <c r="H568" t="str">
        <f>VLOOKUP(C568,Products!A:D,3,FALSE)</f>
        <v>Apparel</v>
      </c>
      <c r="I568">
        <f t="shared" si="8"/>
        <v>4960</v>
      </c>
      <c r="J568" s="2">
        <f>VLOOKUP(B568,Orders!A:C,3,FALSE)</f>
        <v>45840</v>
      </c>
      <c r="K568" s="1" t="str">
        <f>VLOOKUP(B568,Orders!A:B,2,FALSE)</f>
        <v>C0139</v>
      </c>
    </row>
    <row r="569" spans="1:11" x14ac:dyDescent="0.3">
      <c r="A569" s="1" t="s">
        <v>2080</v>
      </c>
      <c r="B569" s="1" t="s">
        <v>2081</v>
      </c>
      <c r="C569" s="1" t="s">
        <v>1333</v>
      </c>
      <c r="D569" s="1">
        <v>4</v>
      </c>
      <c r="E569" s="1">
        <v>0.15</v>
      </c>
      <c r="F569" s="1" t="b">
        <v>0</v>
      </c>
      <c r="G569">
        <f>VLOOKUP(C569,Products!A:D,4,FALSE)</f>
        <v>1440</v>
      </c>
      <c r="H569" t="str">
        <f>VLOOKUP(C569,Products!A:D,3,FALSE)</f>
        <v>Home &amp; Kitchen</v>
      </c>
      <c r="I569">
        <f t="shared" si="8"/>
        <v>4896</v>
      </c>
      <c r="J569" s="2">
        <f>VLOOKUP(B569,Orders!A:C,3,FALSE)</f>
        <v>46243</v>
      </c>
      <c r="K569" s="1" t="str">
        <f>VLOOKUP(B569,Orders!A:B,2,FALSE)</f>
        <v>C0071</v>
      </c>
    </row>
    <row r="570" spans="1:11" x14ac:dyDescent="0.3">
      <c r="A570" s="1" t="s">
        <v>2082</v>
      </c>
      <c r="B570" s="1" t="s">
        <v>2081</v>
      </c>
      <c r="C570" s="1" t="s">
        <v>1462</v>
      </c>
      <c r="D570" s="1">
        <v>2</v>
      </c>
      <c r="E570" s="1">
        <v>0.2</v>
      </c>
      <c r="F570" s="1" t="b">
        <v>0</v>
      </c>
      <c r="G570">
        <f>VLOOKUP(C570,Products!A:D,4,FALSE)</f>
        <v>3070</v>
      </c>
      <c r="H570" t="str">
        <f>VLOOKUP(C570,Products!A:D,3,FALSE)</f>
        <v>Apparel</v>
      </c>
      <c r="I570">
        <f t="shared" si="8"/>
        <v>4912</v>
      </c>
      <c r="J570" s="2">
        <f>VLOOKUP(B570,Orders!A:C,3,FALSE)</f>
        <v>46243</v>
      </c>
      <c r="K570" s="1" t="str">
        <f>VLOOKUP(B570,Orders!A:B,2,FALSE)</f>
        <v>C0071</v>
      </c>
    </row>
    <row r="571" spans="1:11" x14ac:dyDescent="0.3">
      <c r="A571" s="1" t="s">
        <v>2083</v>
      </c>
      <c r="B571" s="1" t="s">
        <v>2084</v>
      </c>
      <c r="C571" s="1" t="s">
        <v>1302</v>
      </c>
      <c r="D571" s="1">
        <v>2</v>
      </c>
      <c r="E571" s="1">
        <v>0</v>
      </c>
      <c r="F571" s="1" t="b">
        <v>0</v>
      </c>
      <c r="G571">
        <f>VLOOKUP(C571,Products!A:D,4,FALSE)</f>
        <v>1220</v>
      </c>
      <c r="H571" t="str">
        <f>VLOOKUP(C571,Products!A:D,3,FALSE)</f>
        <v>Home &amp; Kitchen</v>
      </c>
      <c r="I571">
        <f t="shared" si="8"/>
        <v>2440</v>
      </c>
      <c r="J571" s="2">
        <f>VLOOKUP(B571,Orders!A:C,3,FALSE)</f>
        <v>46049</v>
      </c>
      <c r="K571" s="1" t="str">
        <f>VLOOKUP(B571,Orders!A:B,2,FALSE)</f>
        <v>C0123</v>
      </c>
    </row>
    <row r="572" spans="1:11" x14ac:dyDescent="0.3">
      <c r="A572" s="1" t="s">
        <v>2085</v>
      </c>
      <c r="B572" s="1" t="s">
        <v>2086</v>
      </c>
      <c r="C572" s="1" t="s">
        <v>1393</v>
      </c>
      <c r="D572" s="1">
        <v>4</v>
      </c>
      <c r="E572" s="1">
        <v>0.2</v>
      </c>
      <c r="F572" s="1" t="b">
        <v>0</v>
      </c>
      <c r="G572">
        <f>VLOOKUP(C572,Products!A:D,4,FALSE)</f>
        <v>1520</v>
      </c>
      <c r="H572" t="str">
        <f>VLOOKUP(C572,Products!A:D,3,FALSE)</f>
        <v>Electronics</v>
      </c>
      <c r="I572">
        <f t="shared" si="8"/>
        <v>4864</v>
      </c>
      <c r="J572" s="2">
        <f>VLOOKUP(B572,Orders!A:C,3,FALSE)</f>
        <v>45877</v>
      </c>
      <c r="K572" s="1" t="str">
        <f>VLOOKUP(B572,Orders!A:B,2,FALSE)</f>
        <v>C0116</v>
      </c>
    </row>
    <row r="573" spans="1:11" x14ac:dyDescent="0.3">
      <c r="A573" s="1" t="s">
        <v>2087</v>
      </c>
      <c r="B573" s="1" t="s">
        <v>2088</v>
      </c>
      <c r="C573" s="1" t="s">
        <v>1719</v>
      </c>
      <c r="D573" s="1">
        <v>4</v>
      </c>
      <c r="E573" s="1">
        <v>0</v>
      </c>
      <c r="F573" s="1" t="b">
        <v>0</v>
      </c>
      <c r="G573">
        <f>VLOOKUP(C573,Products!A:D,4,FALSE)</f>
        <v>2790</v>
      </c>
      <c r="H573" t="str">
        <f>VLOOKUP(C573,Products!A:D,3,FALSE)</f>
        <v>Sports</v>
      </c>
      <c r="I573">
        <f t="shared" si="8"/>
        <v>11160</v>
      </c>
      <c r="J573" s="2">
        <f>VLOOKUP(B573,Orders!A:C,3,FALSE)</f>
        <v>45957</v>
      </c>
      <c r="K573" s="1" t="str">
        <f>VLOOKUP(B573,Orders!A:B,2,FALSE)</f>
        <v>C0052</v>
      </c>
    </row>
    <row r="574" spans="1:11" x14ac:dyDescent="0.3">
      <c r="A574" s="1" t="s">
        <v>2089</v>
      </c>
      <c r="B574" s="1" t="s">
        <v>2088</v>
      </c>
      <c r="C574" s="1" t="s">
        <v>1644</v>
      </c>
      <c r="D574" s="1">
        <v>2</v>
      </c>
      <c r="E574" s="1">
        <v>0</v>
      </c>
      <c r="F574" s="1" t="b">
        <v>0</v>
      </c>
      <c r="G574">
        <f>VLOOKUP(C574,Products!A:D,4,FALSE)</f>
        <v>1930</v>
      </c>
      <c r="H574" t="str">
        <f>VLOOKUP(C574,Products!A:D,3,FALSE)</f>
        <v>Home &amp; Kitchen</v>
      </c>
      <c r="I574">
        <f t="shared" si="8"/>
        <v>3860</v>
      </c>
      <c r="J574" s="2">
        <f>VLOOKUP(B574,Orders!A:C,3,FALSE)</f>
        <v>45957</v>
      </c>
      <c r="K574" s="1" t="str">
        <f>VLOOKUP(B574,Orders!A:B,2,FALSE)</f>
        <v>C0052</v>
      </c>
    </row>
    <row r="575" spans="1:11" x14ac:dyDescent="0.3">
      <c r="A575" s="1" t="s">
        <v>2090</v>
      </c>
      <c r="B575" s="1" t="s">
        <v>2088</v>
      </c>
      <c r="C575" s="1" t="s">
        <v>1328</v>
      </c>
      <c r="D575" s="1">
        <v>4</v>
      </c>
      <c r="E575" s="1">
        <v>0.2</v>
      </c>
      <c r="F575" s="1" t="b">
        <v>0</v>
      </c>
      <c r="G575">
        <f>VLOOKUP(C575,Products!A:D,4,FALSE)</f>
        <v>1880</v>
      </c>
      <c r="H575" t="str">
        <f>VLOOKUP(C575,Products!A:D,3,FALSE)</f>
        <v>Apparel</v>
      </c>
      <c r="I575">
        <f t="shared" si="8"/>
        <v>6016</v>
      </c>
      <c r="J575" s="2">
        <f>VLOOKUP(B575,Orders!A:C,3,FALSE)</f>
        <v>45957</v>
      </c>
      <c r="K575" s="1" t="str">
        <f>VLOOKUP(B575,Orders!A:B,2,FALSE)</f>
        <v>C0052</v>
      </c>
    </row>
    <row r="576" spans="1:11" x14ac:dyDescent="0.3">
      <c r="A576" s="1" t="s">
        <v>2091</v>
      </c>
      <c r="B576" s="1" t="s">
        <v>2088</v>
      </c>
      <c r="C576" s="1" t="s">
        <v>1137</v>
      </c>
      <c r="D576" s="1">
        <v>4</v>
      </c>
      <c r="E576" s="1">
        <v>0.15</v>
      </c>
      <c r="F576" s="1" t="b">
        <v>0</v>
      </c>
      <c r="G576">
        <f>VLOOKUP(C576,Products!A:D,4,FALSE)</f>
        <v>1910</v>
      </c>
      <c r="H576" t="str">
        <f>VLOOKUP(C576,Products!A:D,3,FALSE)</f>
        <v>Apparel</v>
      </c>
      <c r="I576">
        <f t="shared" ref="I576:I639" si="9">G576*D576*(1-E576)</f>
        <v>6494</v>
      </c>
      <c r="J576" s="2">
        <f>VLOOKUP(B576,Orders!A:C,3,FALSE)</f>
        <v>45957</v>
      </c>
      <c r="K576" s="1" t="str">
        <f>VLOOKUP(B576,Orders!A:B,2,FALSE)</f>
        <v>C0052</v>
      </c>
    </row>
    <row r="577" spans="1:11" x14ac:dyDescent="0.3">
      <c r="A577" s="1" t="s">
        <v>2092</v>
      </c>
      <c r="B577" s="1" t="s">
        <v>2093</v>
      </c>
      <c r="C577" s="1" t="s">
        <v>1123</v>
      </c>
      <c r="D577" s="1">
        <v>2</v>
      </c>
      <c r="E577" s="1">
        <v>0.05</v>
      </c>
      <c r="F577" s="1" t="b">
        <v>0</v>
      </c>
      <c r="G577">
        <f>VLOOKUP(C577,Products!A:D,4,FALSE)</f>
        <v>2200</v>
      </c>
      <c r="H577" t="str">
        <f>VLOOKUP(C577,Products!A:D,3,FALSE)</f>
        <v>Electronics</v>
      </c>
      <c r="I577">
        <f t="shared" si="9"/>
        <v>4180</v>
      </c>
      <c r="J577" s="2">
        <f>VLOOKUP(B577,Orders!A:C,3,FALSE)</f>
        <v>45792</v>
      </c>
      <c r="K577" s="1" t="str">
        <f>VLOOKUP(B577,Orders!A:B,2,FALSE)</f>
        <v>C0052</v>
      </c>
    </row>
    <row r="578" spans="1:11" x14ac:dyDescent="0.3">
      <c r="A578" s="1" t="s">
        <v>2094</v>
      </c>
      <c r="B578" s="1" t="s">
        <v>2095</v>
      </c>
      <c r="C578" s="1" t="s">
        <v>1157</v>
      </c>
      <c r="D578" s="1">
        <v>5</v>
      </c>
      <c r="E578" s="1">
        <v>0.15</v>
      </c>
      <c r="F578" s="1" t="b">
        <v>0</v>
      </c>
      <c r="G578">
        <f>VLOOKUP(C578,Products!A:D,4,FALSE)</f>
        <v>1520</v>
      </c>
      <c r="H578" t="str">
        <f>VLOOKUP(C578,Products!A:D,3,FALSE)</f>
        <v>Books</v>
      </c>
      <c r="I578">
        <f t="shared" si="9"/>
        <v>6460</v>
      </c>
      <c r="J578" s="2">
        <f>VLOOKUP(B578,Orders!A:C,3,FALSE)</f>
        <v>45773</v>
      </c>
      <c r="K578" s="1" t="str">
        <f>VLOOKUP(B578,Orders!A:B,2,FALSE)</f>
        <v>C0003</v>
      </c>
    </row>
    <row r="579" spans="1:11" x14ac:dyDescent="0.3">
      <c r="A579" s="1" t="s">
        <v>2096</v>
      </c>
      <c r="B579" s="1" t="s">
        <v>2097</v>
      </c>
      <c r="C579" s="1" t="s">
        <v>1225</v>
      </c>
      <c r="D579" s="1">
        <v>4</v>
      </c>
      <c r="E579" s="1">
        <v>0.1</v>
      </c>
      <c r="F579" s="1" t="b">
        <v>0</v>
      </c>
      <c r="G579">
        <f>VLOOKUP(C579,Products!A:D,4,FALSE)</f>
        <v>2690</v>
      </c>
      <c r="H579" t="str">
        <f>VLOOKUP(C579,Products!A:D,3,FALSE)</f>
        <v>Beauty</v>
      </c>
      <c r="I579">
        <f t="shared" si="9"/>
        <v>9684</v>
      </c>
      <c r="J579" s="2">
        <f>VLOOKUP(B579,Orders!A:C,3,FALSE)</f>
        <v>45895</v>
      </c>
      <c r="K579" s="1" t="str">
        <f>VLOOKUP(B579,Orders!A:B,2,FALSE)</f>
        <v>C0209</v>
      </c>
    </row>
    <row r="580" spans="1:11" x14ac:dyDescent="0.3">
      <c r="A580" s="1" t="s">
        <v>2098</v>
      </c>
      <c r="B580" s="1" t="s">
        <v>2097</v>
      </c>
      <c r="C580" s="1" t="s">
        <v>1564</v>
      </c>
      <c r="D580" s="1">
        <v>5</v>
      </c>
      <c r="E580" s="1">
        <v>0.1</v>
      </c>
      <c r="F580" s="1" t="b">
        <v>0</v>
      </c>
      <c r="G580">
        <f>VLOOKUP(C580,Products!A:D,4,FALSE)</f>
        <v>3680</v>
      </c>
      <c r="H580" t="str">
        <f>VLOOKUP(C580,Products!A:D,3,FALSE)</f>
        <v>Home &amp; Kitchen</v>
      </c>
      <c r="I580">
        <f t="shared" si="9"/>
        <v>16560</v>
      </c>
      <c r="J580" s="2">
        <f>VLOOKUP(B580,Orders!A:C,3,FALSE)</f>
        <v>45895</v>
      </c>
      <c r="K580" s="1" t="str">
        <f>VLOOKUP(B580,Orders!A:B,2,FALSE)</f>
        <v>C0209</v>
      </c>
    </row>
    <row r="581" spans="1:11" x14ac:dyDescent="0.3">
      <c r="A581" s="1" t="s">
        <v>2099</v>
      </c>
      <c r="B581" s="1" t="s">
        <v>2097</v>
      </c>
      <c r="C581" s="1" t="s">
        <v>1116</v>
      </c>
      <c r="D581" s="1">
        <v>1</v>
      </c>
      <c r="E581" s="1">
        <v>0.1</v>
      </c>
      <c r="F581" s="1" t="b">
        <v>0</v>
      </c>
      <c r="G581">
        <f>VLOOKUP(C581,Products!A:D,4,FALSE)</f>
        <v>3000</v>
      </c>
      <c r="H581" t="str">
        <f>VLOOKUP(C581,Products!A:D,3,FALSE)</f>
        <v>Home &amp; Kitchen</v>
      </c>
      <c r="I581">
        <f t="shared" si="9"/>
        <v>2700</v>
      </c>
      <c r="J581" s="2">
        <f>VLOOKUP(B581,Orders!A:C,3,FALSE)</f>
        <v>45895</v>
      </c>
      <c r="K581" s="1" t="str">
        <f>VLOOKUP(B581,Orders!A:B,2,FALSE)</f>
        <v>C0209</v>
      </c>
    </row>
    <row r="582" spans="1:11" x14ac:dyDescent="0.3">
      <c r="A582" s="1" t="s">
        <v>2100</v>
      </c>
      <c r="B582" s="1" t="s">
        <v>2101</v>
      </c>
      <c r="C582" s="1" t="s">
        <v>1123</v>
      </c>
      <c r="D582" s="1">
        <v>1</v>
      </c>
      <c r="E582" s="1">
        <v>0</v>
      </c>
      <c r="F582" s="1" t="b">
        <v>0</v>
      </c>
      <c r="G582">
        <f>VLOOKUP(C582,Products!A:D,4,FALSE)</f>
        <v>2200</v>
      </c>
      <c r="H582" t="str">
        <f>VLOOKUP(C582,Products!A:D,3,FALSE)</f>
        <v>Electronics</v>
      </c>
      <c r="I582">
        <f t="shared" si="9"/>
        <v>2200</v>
      </c>
      <c r="J582" s="2">
        <f>VLOOKUP(B582,Orders!A:C,3,FALSE)</f>
        <v>46252</v>
      </c>
      <c r="K582" s="1" t="str">
        <f>VLOOKUP(B582,Orders!A:B,2,FALSE)</f>
        <v>C0245</v>
      </c>
    </row>
    <row r="583" spans="1:11" x14ac:dyDescent="0.3">
      <c r="A583" s="1" t="s">
        <v>2102</v>
      </c>
      <c r="B583" s="1" t="s">
        <v>2103</v>
      </c>
      <c r="C583" s="1" t="s">
        <v>1315</v>
      </c>
      <c r="D583" s="1">
        <v>1</v>
      </c>
      <c r="E583" s="1">
        <v>0.1</v>
      </c>
      <c r="F583" s="1" t="b">
        <v>0</v>
      </c>
      <c r="G583">
        <f>VLOOKUP(C583,Products!A:D,4,FALSE)</f>
        <v>2190</v>
      </c>
      <c r="H583" t="str">
        <f>VLOOKUP(C583,Products!A:D,3,FALSE)</f>
        <v>Electronics</v>
      </c>
      <c r="I583">
        <f t="shared" si="9"/>
        <v>1971</v>
      </c>
      <c r="J583" s="2">
        <f>VLOOKUP(B583,Orders!A:C,3,FALSE)</f>
        <v>46174</v>
      </c>
      <c r="K583" s="1" t="str">
        <f>VLOOKUP(B583,Orders!A:B,2,FALSE)</f>
        <v>C0165</v>
      </c>
    </row>
    <row r="584" spans="1:11" x14ac:dyDescent="0.3">
      <c r="A584" s="1" t="s">
        <v>2104</v>
      </c>
      <c r="B584" s="1" t="s">
        <v>2103</v>
      </c>
      <c r="C584" s="1" t="s">
        <v>1265</v>
      </c>
      <c r="D584" s="1">
        <v>5</v>
      </c>
      <c r="E584" s="1">
        <v>0.2</v>
      </c>
      <c r="F584" s="1" t="b">
        <v>0</v>
      </c>
      <c r="G584">
        <f>VLOOKUP(C584,Products!A:D,4,FALSE)</f>
        <v>99</v>
      </c>
      <c r="H584" t="str">
        <f>VLOOKUP(C584,Products!A:D,3,FALSE)</f>
        <v>Beauty</v>
      </c>
      <c r="I584">
        <f t="shared" si="9"/>
        <v>396</v>
      </c>
      <c r="J584" s="2">
        <f>VLOOKUP(B584,Orders!A:C,3,FALSE)</f>
        <v>46174</v>
      </c>
      <c r="K584" s="1" t="str">
        <f>VLOOKUP(B584,Orders!A:B,2,FALSE)</f>
        <v>C0165</v>
      </c>
    </row>
    <row r="585" spans="1:11" x14ac:dyDescent="0.3">
      <c r="A585" s="1" t="s">
        <v>2105</v>
      </c>
      <c r="B585" s="1" t="s">
        <v>2106</v>
      </c>
      <c r="C585" s="1" t="s">
        <v>1118</v>
      </c>
      <c r="D585" s="1">
        <v>2</v>
      </c>
      <c r="E585" s="1">
        <v>0</v>
      </c>
      <c r="F585" s="1" t="b">
        <v>0</v>
      </c>
      <c r="G585">
        <f>VLOOKUP(C585,Products!A:D,4,FALSE)</f>
        <v>5550</v>
      </c>
      <c r="H585" t="str">
        <f>VLOOKUP(C585,Products!A:D,3,FALSE)</f>
        <v>Home &amp; Kitchen</v>
      </c>
      <c r="I585">
        <f t="shared" si="9"/>
        <v>11100</v>
      </c>
      <c r="J585" s="2">
        <f>VLOOKUP(B585,Orders!A:C,3,FALSE)</f>
        <v>46258</v>
      </c>
      <c r="K585" s="1" t="str">
        <f>VLOOKUP(B585,Orders!A:B,2,FALSE)</f>
        <v>C0046</v>
      </c>
    </row>
    <row r="586" spans="1:11" x14ac:dyDescent="0.3">
      <c r="A586" s="1" t="s">
        <v>2107</v>
      </c>
      <c r="B586" s="1" t="s">
        <v>2106</v>
      </c>
      <c r="C586" s="1" t="s">
        <v>1182</v>
      </c>
      <c r="D586" s="1">
        <v>4</v>
      </c>
      <c r="E586" s="1">
        <v>0</v>
      </c>
      <c r="F586" s="1" t="b">
        <v>0</v>
      </c>
      <c r="G586">
        <f>VLOOKUP(C586,Products!A:D,4,FALSE)</f>
        <v>790</v>
      </c>
      <c r="H586" t="str">
        <f>VLOOKUP(C586,Products!A:D,3,FALSE)</f>
        <v>Sports</v>
      </c>
      <c r="I586">
        <f t="shared" si="9"/>
        <v>3160</v>
      </c>
      <c r="J586" s="2">
        <f>VLOOKUP(B586,Orders!A:C,3,FALSE)</f>
        <v>46258</v>
      </c>
      <c r="K586" s="1" t="str">
        <f>VLOOKUP(B586,Orders!A:B,2,FALSE)</f>
        <v>C0046</v>
      </c>
    </row>
    <row r="587" spans="1:11" x14ac:dyDescent="0.3">
      <c r="A587" s="1" t="s">
        <v>2108</v>
      </c>
      <c r="B587" s="1" t="s">
        <v>2109</v>
      </c>
      <c r="C587" s="1" t="s">
        <v>1197</v>
      </c>
      <c r="D587" s="1">
        <v>4</v>
      </c>
      <c r="E587" s="1">
        <v>0</v>
      </c>
      <c r="F587" s="1" t="b">
        <v>0</v>
      </c>
      <c r="G587">
        <f>VLOOKUP(C587,Products!A:D,4,FALSE)</f>
        <v>2050</v>
      </c>
      <c r="H587" t="str">
        <f>VLOOKUP(C587,Products!A:D,3,FALSE)</f>
        <v>Apparel</v>
      </c>
      <c r="I587">
        <f t="shared" si="9"/>
        <v>8200</v>
      </c>
      <c r="J587" s="2">
        <f>VLOOKUP(B587,Orders!A:C,3,FALSE)</f>
        <v>46214</v>
      </c>
      <c r="K587" s="1" t="str">
        <f>VLOOKUP(B587,Orders!A:B,2,FALSE)</f>
        <v>C0274</v>
      </c>
    </row>
    <row r="588" spans="1:11" x14ac:dyDescent="0.3">
      <c r="A588" s="1" t="s">
        <v>2110</v>
      </c>
      <c r="B588" s="1" t="s">
        <v>2109</v>
      </c>
      <c r="C588" s="1" t="s">
        <v>1140</v>
      </c>
      <c r="D588" s="1">
        <v>3</v>
      </c>
      <c r="E588" s="1">
        <v>0.1</v>
      </c>
      <c r="F588" s="1" t="b">
        <v>0</v>
      </c>
      <c r="G588">
        <f>VLOOKUP(C588,Products!A:D,4,FALSE)</f>
        <v>3040</v>
      </c>
      <c r="H588" t="str">
        <f>VLOOKUP(C588,Products!A:D,3,FALSE)</f>
        <v>Electronics</v>
      </c>
      <c r="I588">
        <f t="shared" si="9"/>
        <v>8208</v>
      </c>
      <c r="J588" s="2">
        <f>VLOOKUP(B588,Orders!A:C,3,FALSE)</f>
        <v>46214</v>
      </c>
      <c r="K588" s="1" t="str">
        <f>VLOOKUP(B588,Orders!A:B,2,FALSE)</f>
        <v>C0274</v>
      </c>
    </row>
    <row r="589" spans="1:11" x14ac:dyDescent="0.3">
      <c r="A589" s="1" t="s">
        <v>2111</v>
      </c>
      <c r="B589" s="1" t="s">
        <v>2112</v>
      </c>
      <c r="C589" s="1" t="s">
        <v>1160</v>
      </c>
      <c r="D589" s="1">
        <v>2</v>
      </c>
      <c r="E589" s="1">
        <v>0.05</v>
      </c>
      <c r="F589" s="1" t="b">
        <v>0</v>
      </c>
      <c r="G589">
        <f>VLOOKUP(C589,Products!A:D,4,FALSE)</f>
        <v>1710</v>
      </c>
      <c r="H589" t="str">
        <f>VLOOKUP(C589,Products!A:D,3,FALSE)</f>
        <v>Home &amp; Kitchen</v>
      </c>
      <c r="I589">
        <f t="shared" si="9"/>
        <v>3249</v>
      </c>
      <c r="J589" s="2">
        <f>VLOOKUP(B589,Orders!A:C,3,FALSE)</f>
        <v>46179</v>
      </c>
      <c r="K589" s="1" t="str">
        <f>VLOOKUP(B589,Orders!A:B,2,FALSE)</f>
        <v>C0090</v>
      </c>
    </row>
    <row r="590" spans="1:11" x14ac:dyDescent="0.3">
      <c r="A590" s="1" t="s">
        <v>2113</v>
      </c>
      <c r="B590" s="1" t="s">
        <v>2112</v>
      </c>
      <c r="C590" s="1" t="s">
        <v>1412</v>
      </c>
      <c r="D590" s="1">
        <v>1</v>
      </c>
      <c r="E590" s="1">
        <v>0.15</v>
      </c>
      <c r="F590" s="1" t="b">
        <v>0</v>
      </c>
      <c r="G590">
        <f>VLOOKUP(C590,Products!A:D,4,FALSE)</f>
        <v>1430</v>
      </c>
      <c r="H590" t="str">
        <f>VLOOKUP(C590,Products!A:D,3,FALSE)</f>
        <v>Books</v>
      </c>
      <c r="I590">
        <f t="shared" si="9"/>
        <v>1215.5</v>
      </c>
      <c r="J590" s="2">
        <f>VLOOKUP(B590,Orders!A:C,3,FALSE)</f>
        <v>46179</v>
      </c>
      <c r="K590" s="1" t="str">
        <f>VLOOKUP(B590,Orders!A:B,2,FALSE)</f>
        <v>C0090</v>
      </c>
    </row>
    <row r="591" spans="1:11" x14ac:dyDescent="0.3">
      <c r="A591" s="1" t="s">
        <v>2114</v>
      </c>
      <c r="B591" s="1" t="s">
        <v>2112</v>
      </c>
      <c r="C591" s="1" t="s">
        <v>1113</v>
      </c>
      <c r="D591" s="1">
        <v>1</v>
      </c>
      <c r="E591" s="1">
        <v>0</v>
      </c>
      <c r="F591" s="1" t="b">
        <v>0</v>
      </c>
      <c r="G591">
        <f>VLOOKUP(C591,Products!A:D,4,FALSE)</f>
        <v>2780</v>
      </c>
      <c r="H591" t="str">
        <f>VLOOKUP(C591,Products!A:D,3,FALSE)</f>
        <v>Apparel</v>
      </c>
      <c r="I591">
        <f t="shared" si="9"/>
        <v>2780</v>
      </c>
      <c r="J591" s="2">
        <f>VLOOKUP(B591,Orders!A:C,3,FALSE)</f>
        <v>46179</v>
      </c>
      <c r="K591" s="1" t="str">
        <f>VLOOKUP(B591,Orders!A:B,2,FALSE)</f>
        <v>C0090</v>
      </c>
    </row>
    <row r="592" spans="1:11" x14ac:dyDescent="0.3">
      <c r="A592" s="1" t="s">
        <v>2115</v>
      </c>
      <c r="B592" s="1" t="s">
        <v>2116</v>
      </c>
      <c r="C592" s="1" t="s">
        <v>1418</v>
      </c>
      <c r="D592" s="1">
        <v>2</v>
      </c>
      <c r="E592" s="1">
        <v>0.05</v>
      </c>
      <c r="F592" s="1" t="b">
        <v>0</v>
      </c>
      <c r="G592">
        <f>VLOOKUP(C592,Products!A:D,4,FALSE)</f>
        <v>1030</v>
      </c>
      <c r="H592" t="str">
        <f>VLOOKUP(C592,Products!A:D,3,FALSE)</f>
        <v>Beauty</v>
      </c>
      <c r="I592">
        <f t="shared" si="9"/>
        <v>1957</v>
      </c>
      <c r="J592" s="2">
        <f>VLOOKUP(B592,Orders!A:C,3,FALSE)</f>
        <v>46049</v>
      </c>
      <c r="K592" s="1" t="str">
        <f>VLOOKUP(B592,Orders!A:B,2,FALSE)</f>
        <v>C0091</v>
      </c>
    </row>
    <row r="593" spans="1:11" x14ac:dyDescent="0.3">
      <c r="A593" s="1" t="s">
        <v>2117</v>
      </c>
      <c r="B593" s="1" t="s">
        <v>2116</v>
      </c>
      <c r="C593" s="1" t="s">
        <v>1290</v>
      </c>
      <c r="D593" s="1">
        <v>3</v>
      </c>
      <c r="E593" s="1">
        <v>0.05</v>
      </c>
      <c r="F593" s="1" t="b">
        <v>0</v>
      </c>
      <c r="G593">
        <f>VLOOKUP(C593,Products!A:D,4,FALSE)</f>
        <v>990</v>
      </c>
      <c r="H593" t="str">
        <f>VLOOKUP(C593,Products!A:D,3,FALSE)</f>
        <v>Books</v>
      </c>
      <c r="I593">
        <f t="shared" si="9"/>
        <v>2821.5</v>
      </c>
      <c r="J593" s="2">
        <f>VLOOKUP(B593,Orders!A:C,3,FALSE)</f>
        <v>46049</v>
      </c>
      <c r="K593" s="1" t="str">
        <f>VLOOKUP(B593,Orders!A:B,2,FALSE)</f>
        <v>C0091</v>
      </c>
    </row>
    <row r="594" spans="1:11" x14ac:dyDescent="0.3">
      <c r="A594" s="1" t="s">
        <v>2118</v>
      </c>
      <c r="B594" s="1" t="s">
        <v>2119</v>
      </c>
      <c r="C594" s="1" t="s">
        <v>1123</v>
      </c>
      <c r="D594" s="1">
        <v>5</v>
      </c>
      <c r="E594" s="1">
        <v>0.15</v>
      </c>
      <c r="F594" s="1" t="b">
        <v>0</v>
      </c>
      <c r="G594">
        <f>VLOOKUP(C594,Products!A:D,4,FALSE)</f>
        <v>2200</v>
      </c>
      <c r="H594" t="str">
        <f>VLOOKUP(C594,Products!A:D,3,FALSE)</f>
        <v>Electronics</v>
      </c>
      <c r="I594">
        <f t="shared" si="9"/>
        <v>9350</v>
      </c>
      <c r="J594" s="2">
        <f>VLOOKUP(B594,Orders!A:C,3,FALSE)</f>
        <v>46114</v>
      </c>
      <c r="K594" s="1" t="str">
        <f>VLOOKUP(B594,Orders!A:B,2,FALSE)</f>
        <v>C0204</v>
      </c>
    </row>
    <row r="595" spans="1:11" x14ac:dyDescent="0.3">
      <c r="A595" s="1" t="s">
        <v>2120</v>
      </c>
      <c r="B595" s="1" t="s">
        <v>2121</v>
      </c>
      <c r="C595" s="1" t="s">
        <v>1123</v>
      </c>
      <c r="D595" s="1">
        <v>1</v>
      </c>
      <c r="E595" s="1">
        <v>0</v>
      </c>
      <c r="F595" s="1" t="b">
        <v>0</v>
      </c>
      <c r="G595">
        <f>VLOOKUP(C595,Products!A:D,4,FALSE)</f>
        <v>2200</v>
      </c>
      <c r="H595" t="str">
        <f>VLOOKUP(C595,Products!A:D,3,FALSE)</f>
        <v>Electronics</v>
      </c>
      <c r="I595">
        <f t="shared" si="9"/>
        <v>2200</v>
      </c>
      <c r="J595" s="2">
        <f>VLOOKUP(B595,Orders!A:C,3,FALSE)</f>
        <v>46263</v>
      </c>
      <c r="K595" s="1" t="str">
        <f>VLOOKUP(B595,Orders!A:B,2,FALSE)</f>
        <v>C0149</v>
      </c>
    </row>
    <row r="596" spans="1:11" x14ac:dyDescent="0.3">
      <c r="A596" s="1" t="s">
        <v>2122</v>
      </c>
      <c r="B596" s="1" t="s">
        <v>2121</v>
      </c>
      <c r="C596" s="1" t="s">
        <v>1276</v>
      </c>
      <c r="D596" s="1">
        <v>2</v>
      </c>
      <c r="E596" s="1">
        <v>0.15</v>
      </c>
      <c r="F596" s="1" t="b">
        <v>0</v>
      </c>
      <c r="G596">
        <f>VLOOKUP(C596,Products!A:D,4,FALSE)</f>
        <v>2010</v>
      </c>
      <c r="H596" t="str">
        <f>VLOOKUP(C596,Products!A:D,3,FALSE)</f>
        <v>Beauty</v>
      </c>
      <c r="I596">
        <f t="shared" si="9"/>
        <v>3417</v>
      </c>
      <c r="J596" s="2">
        <f>VLOOKUP(B596,Orders!A:C,3,FALSE)</f>
        <v>46263</v>
      </c>
      <c r="K596" s="1" t="str">
        <f>VLOOKUP(B596,Orders!A:B,2,FALSE)</f>
        <v>C0149</v>
      </c>
    </row>
    <row r="597" spans="1:11" x14ac:dyDescent="0.3">
      <c r="A597" s="1" t="s">
        <v>2123</v>
      </c>
      <c r="B597" s="1" t="s">
        <v>2121</v>
      </c>
      <c r="C597" s="1" t="s">
        <v>1106</v>
      </c>
      <c r="D597" s="1">
        <v>1</v>
      </c>
      <c r="E597" s="1">
        <v>0</v>
      </c>
      <c r="F597" s="1" t="b">
        <v>0</v>
      </c>
      <c r="G597">
        <f>VLOOKUP(C597,Products!A:D,4,FALSE)</f>
        <v>1130</v>
      </c>
      <c r="H597" t="str">
        <f>VLOOKUP(C597,Products!A:D,3,FALSE)</f>
        <v>Books</v>
      </c>
      <c r="I597">
        <f t="shared" si="9"/>
        <v>1130</v>
      </c>
      <c r="J597" s="2">
        <f>VLOOKUP(B597,Orders!A:C,3,FALSE)</f>
        <v>46263</v>
      </c>
      <c r="K597" s="1" t="str">
        <f>VLOOKUP(B597,Orders!A:B,2,FALSE)</f>
        <v>C0149</v>
      </c>
    </row>
    <row r="598" spans="1:11" x14ac:dyDescent="0.3">
      <c r="A598" s="1" t="s">
        <v>2124</v>
      </c>
      <c r="B598" s="1" t="s">
        <v>2125</v>
      </c>
      <c r="C598" s="1" t="s">
        <v>1174</v>
      </c>
      <c r="D598" s="1">
        <v>1</v>
      </c>
      <c r="E598" s="1">
        <v>0.1</v>
      </c>
      <c r="F598" s="1" t="b">
        <v>0</v>
      </c>
      <c r="G598">
        <f>VLOOKUP(C598,Products!A:D,4,FALSE)</f>
        <v>1250</v>
      </c>
      <c r="H598" t="str">
        <f>VLOOKUP(C598,Products!A:D,3,FALSE)</f>
        <v>Sports</v>
      </c>
      <c r="I598">
        <f t="shared" si="9"/>
        <v>1125</v>
      </c>
      <c r="J598" s="2">
        <f>VLOOKUP(B598,Orders!A:C,3,FALSE)</f>
        <v>46042</v>
      </c>
      <c r="K598" s="1" t="str">
        <f>VLOOKUP(B598,Orders!A:B,2,FALSE)</f>
        <v>C0153</v>
      </c>
    </row>
    <row r="599" spans="1:11" x14ac:dyDescent="0.3">
      <c r="A599" s="1" t="s">
        <v>2126</v>
      </c>
      <c r="B599" s="1" t="s">
        <v>2125</v>
      </c>
      <c r="C599" s="1" t="s">
        <v>1265</v>
      </c>
      <c r="D599" s="1">
        <v>5</v>
      </c>
      <c r="E599" s="1">
        <v>0.1</v>
      </c>
      <c r="F599" s="1" t="b">
        <v>0</v>
      </c>
      <c r="G599">
        <f>VLOOKUP(C599,Products!A:D,4,FALSE)</f>
        <v>99</v>
      </c>
      <c r="H599" t="str">
        <f>VLOOKUP(C599,Products!A:D,3,FALSE)</f>
        <v>Beauty</v>
      </c>
      <c r="I599">
        <f t="shared" si="9"/>
        <v>445.5</v>
      </c>
      <c r="J599" s="2">
        <f>VLOOKUP(B599,Orders!A:C,3,FALSE)</f>
        <v>46042</v>
      </c>
      <c r="K599" s="1" t="str">
        <f>VLOOKUP(B599,Orders!A:B,2,FALSE)</f>
        <v>C0153</v>
      </c>
    </row>
    <row r="600" spans="1:11" x14ac:dyDescent="0.3">
      <c r="A600" s="1" t="s">
        <v>2127</v>
      </c>
      <c r="B600" s="1" t="s">
        <v>2128</v>
      </c>
      <c r="C600" s="1" t="s">
        <v>1247</v>
      </c>
      <c r="D600" s="1">
        <v>3</v>
      </c>
      <c r="E600" s="1">
        <v>0.05</v>
      </c>
      <c r="F600" s="1" t="b">
        <v>1</v>
      </c>
      <c r="G600">
        <f>VLOOKUP(C600,Products!A:D,4,FALSE)</f>
        <v>2210</v>
      </c>
      <c r="H600" t="str">
        <f>VLOOKUP(C600,Products!A:D,3,FALSE)</f>
        <v>Beauty</v>
      </c>
      <c r="I600">
        <f t="shared" si="9"/>
        <v>6298.5</v>
      </c>
      <c r="J600" s="2">
        <f>VLOOKUP(B600,Orders!A:C,3,FALSE)</f>
        <v>46155</v>
      </c>
      <c r="K600" s="1" t="str">
        <f>VLOOKUP(B600,Orders!A:B,2,FALSE)</f>
        <v>C0172</v>
      </c>
    </row>
    <row r="601" spans="1:11" x14ac:dyDescent="0.3">
      <c r="A601" s="1" t="s">
        <v>2129</v>
      </c>
      <c r="B601" s="1" t="s">
        <v>2128</v>
      </c>
      <c r="C601" s="1" t="s">
        <v>1157</v>
      </c>
      <c r="D601" s="1">
        <v>2</v>
      </c>
      <c r="E601" s="1">
        <v>0</v>
      </c>
      <c r="F601" s="1" t="b">
        <v>0</v>
      </c>
      <c r="G601">
        <f>VLOOKUP(C601,Products!A:D,4,FALSE)</f>
        <v>1520</v>
      </c>
      <c r="H601" t="str">
        <f>VLOOKUP(C601,Products!A:D,3,FALSE)</f>
        <v>Books</v>
      </c>
      <c r="I601">
        <f t="shared" si="9"/>
        <v>3040</v>
      </c>
      <c r="J601" s="2">
        <f>VLOOKUP(B601,Orders!A:C,3,FALSE)</f>
        <v>46155</v>
      </c>
      <c r="K601" s="1" t="str">
        <f>VLOOKUP(B601,Orders!A:B,2,FALSE)</f>
        <v>C0172</v>
      </c>
    </row>
    <row r="602" spans="1:11" x14ac:dyDescent="0.3">
      <c r="A602" s="1" t="s">
        <v>2130</v>
      </c>
      <c r="B602" s="1" t="s">
        <v>2128</v>
      </c>
      <c r="C602" s="1" t="s">
        <v>1257</v>
      </c>
      <c r="D602" s="1">
        <v>2</v>
      </c>
      <c r="E602" s="1">
        <v>0</v>
      </c>
      <c r="F602" s="1" t="b">
        <v>0</v>
      </c>
      <c r="G602">
        <f>VLOOKUP(C602,Products!A:D,4,FALSE)</f>
        <v>1760</v>
      </c>
      <c r="H602" t="str">
        <f>VLOOKUP(C602,Products!A:D,3,FALSE)</f>
        <v>Books</v>
      </c>
      <c r="I602">
        <f t="shared" si="9"/>
        <v>3520</v>
      </c>
      <c r="J602" s="2">
        <f>VLOOKUP(B602,Orders!A:C,3,FALSE)</f>
        <v>46155</v>
      </c>
      <c r="K602" s="1" t="str">
        <f>VLOOKUP(B602,Orders!A:B,2,FALSE)</f>
        <v>C0172</v>
      </c>
    </row>
    <row r="603" spans="1:11" x14ac:dyDescent="0.3">
      <c r="A603" s="1" t="s">
        <v>2131</v>
      </c>
      <c r="B603" s="1" t="s">
        <v>2132</v>
      </c>
      <c r="C603" s="1" t="s">
        <v>1328</v>
      </c>
      <c r="D603" s="1">
        <v>1</v>
      </c>
      <c r="E603" s="1">
        <v>0.05</v>
      </c>
      <c r="F603" s="1" t="b">
        <v>0</v>
      </c>
      <c r="G603">
        <f>VLOOKUP(C603,Products!A:D,4,FALSE)</f>
        <v>1880</v>
      </c>
      <c r="H603" t="str">
        <f>VLOOKUP(C603,Products!A:D,3,FALSE)</f>
        <v>Apparel</v>
      </c>
      <c r="I603">
        <f t="shared" si="9"/>
        <v>1786</v>
      </c>
      <c r="J603" s="2">
        <f>VLOOKUP(B603,Orders!A:C,3,FALSE)</f>
        <v>46149</v>
      </c>
      <c r="K603" s="1" t="str">
        <f>VLOOKUP(B603,Orders!A:B,2,FALSE)</f>
        <v>C0269</v>
      </c>
    </row>
    <row r="604" spans="1:11" x14ac:dyDescent="0.3">
      <c r="A604" s="1" t="s">
        <v>2133</v>
      </c>
      <c r="B604" s="1" t="s">
        <v>2132</v>
      </c>
      <c r="C604" s="1" t="s">
        <v>1468</v>
      </c>
      <c r="D604" s="1">
        <v>3</v>
      </c>
      <c r="E604" s="1">
        <v>0.15</v>
      </c>
      <c r="F604" s="1" t="b">
        <v>0</v>
      </c>
      <c r="G604">
        <f>VLOOKUP(C604,Products!A:D,4,FALSE)</f>
        <v>2040</v>
      </c>
      <c r="H604" t="str">
        <f>VLOOKUP(C604,Products!A:D,3,FALSE)</f>
        <v>Books</v>
      </c>
      <c r="I604">
        <f t="shared" si="9"/>
        <v>5202</v>
      </c>
      <c r="J604" s="2">
        <f>VLOOKUP(B604,Orders!A:C,3,FALSE)</f>
        <v>46149</v>
      </c>
      <c r="K604" s="1" t="str">
        <f>VLOOKUP(B604,Orders!A:B,2,FALSE)</f>
        <v>C0269</v>
      </c>
    </row>
    <row r="605" spans="1:11" x14ac:dyDescent="0.3">
      <c r="A605" s="1" t="s">
        <v>2134</v>
      </c>
      <c r="B605" s="1" t="s">
        <v>2132</v>
      </c>
      <c r="C605" s="1" t="s">
        <v>1412</v>
      </c>
      <c r="D605" s="1">
        <v>3</v>
      </c>
      <c r="E605" s="1">
        <v>0.15</v>
      </c>
      <c r="F605" s="1" t="b">
        <v>0</v>
      </c>
      <c r="G605">
        <f>VLOOKUP(C605,Products!A:D,4,FALSE)</f>
        <v>1430</v>
      </c>
      <c r="H605" t="str">
        <f>VLOOKUP(C605,Products!A:D,3,FALSE)</f>
        <v>Books</v>
      </c>
      <c r="I605">
        <f t="shared" si="9"/>
        <v>3646.5</v>
      </c>
      <c r="J605" s="2">
        <f>VLOOKUP(B605,Orders!A:C,3,FALSE)</f>
        <v>46149</v>
      </c>
      <c r="K605" s="1" t="str">
        <f>VLOOKUP(B605,Orders!A:B,2,FALSE)</f>
        <v>C0269</v>
      </c>
    </row>
    <row r="606" spans="1:11" x14ac:dyDescent="0.3">
      <c r="A606" s="1" t="s">
        <v>2135</v>
      </c>
      <c r="B606" s="1" t="s">
        <v>2136</v>
      </c>
      <c r="C606" s="1" t="s">
        <v>1330</v>
      </c>
      <c r="D606" s="1">
        <v>2</v>
      </c>
      <c r="E606" s="1">
        <v>0</v>
      </c>
      <c r="F606" s="1" t="b">
        <v>0</v>
      </c>
      <c r="G606">
        <f>VLOOKUP(C606,Products!A:D,4,FALSE)</f>
        <v>580</v>
      </c>
      <c r="H606" t="str">
        <f>VLOOKUP(C606,Products!A:D,3,FALSE)</f>
        <v>Books</v>
      </c>
      <c r="I606">
        <f t="shared" si="9"/>
        <v>1160</v>
      </c>
      <c r="J606" s="2">
        <f>VLOOKUP(B606,Orders!A:C,3,FALSE)</f>
        <v>46260</v>
      </c>
      <c r="K606" s="1" t="str">
        <f>VLOOKUP(B606,Orders!A:B,2,FALSE)</f>
        <v>C0259</v>
      </c>
    </row>
    <row r="607" spans="1:11" x14ac:dyDescent="0.3">
      <c r="A607" s="1" t="s">
        <v>2137</v>
      </c>
      <c r="B607" s="1" t="s">
        <v>2138</v>
      </c>
      <c r="C607" s="1" t="s">
        <v>1176</v>
      </c>
      <c r="D607" s="1">
        <v>1</v>
      </c>
      <c r="E607" s="1">
        <v>0.05</v>
      </c>
      <c r="F607" s="1" t="b">
        <v>0</v>
      </c>
      <c r="G607">
        <f>VLOOKUP(C607,Products!A:D,4,FALSE)</f>
        <v>2670</v>
      </c>
      <c r="H607" t="str">
        <f>VLOOKUP(C607,Products!A:D,3,FALSE)</f>
        <v>Beauty</v>
      </c>
      <c r="I607">
        <f t="shared" si="9"/>
        <v>2536.5</v>
      </c>
      <c r="J607" s="2">
        <f>VLOOKUP(B607,Orders!A:C,3,FALSE)</f>
        <v>45985</v>
      </c>
      <c r="K607" s="1" t="str">
        <f>VLOOKUP(B607,Orders!A:B,2,FALSE)</f>
        <v>C0058</v>
      </c>
    </row>
    <row r="608" spans="1:11" x14ac:dyDescent="0.3">
      <c r="A608" s="1" t="s">
        <v>2139</v>
      </c>
      <c r="B608" s="1" t="s">
        <v>2138</v>
      </c>
      <c r="C608" s="1" t="s">
        <v>1273</v>
      </c>
      <c r="D608" s="1">
        <v>4</v>
      </c>
      <c r="E608" s="1">
        <v>0.1</v>
      </c>
      <c r="F608" s="1" t="b">
        <v>0</v>
      </c>
      <c r="G608">
        <f>VLOOKUP(C608,Products!A:D,4,FALSE)</f>
        <v>360</v>
      </c>
      <c r="H608" t="str">
        <f>VLOOKUP(C608,Products!A:D,3,FALSE)</f>
        <v>Beauty</v>
      </c>
      <c r="I608">
        <f t="shared" si="9"/>
        <v>1296</v>
      </c>
      <c r="J608" s="2">
        <f>VLOOKUP(B608,Orders!A:C,3,FALSE)</f>
        <v>45985</v>
      </c>
      <c r="K608" s="1" t="str">
        <f>VLOOKUP(B608,Orders!A:B,2,FALSE)</f>
        <v>C0058</v>
      </c>
    </row>
    <row r="609" spans="1:11" x14ac:dyDescent="0.3">
      <c r="A609" s="1" t="s">
        <v>2140</v>
      </c>
      <c r="B609" s="1" t="s">
        <v>2141</v>
      </c>
      <c r="C609" s="1" t="s">
        <v>1333</v>
      </c>
      <c r="D609" s="1">
        <v>4</v>
      </c>
      <c r="E609" s="1">
        <v>0</v>
      </c>
      <c r="F609" s="1" t="b">
        <v>0</v>
      </c>
      <c r="G609">
        <f>VLOOKUP(C609,Products!A:D,4,FALSE)</f>
        <v>1440</v>
      </c>
      <c r="H609" t="str">
        <f>VLOOKUP(C609,Products!A:D,3,FALSE)</f>
        <v>Home &amp; Kitchen</v>
      </c>
      <c r="I609">
        <f t="shared" si="9"/>
        <v>5760</v>
      </c>
      <c r="J609" s="2">
        <f>VLOOKUP(B609,Orders!A:C,3,FALSE)</f>
        <v>45986</v>
      </c>
      <c r="K609" s="1" t="str">
        <f>VLOOKUP(B609,Orders!A:B,2,FALSE)</f>
        <v>C0132</v>
      </c>
    </row>
    <row r="610" spans="1:11" x14ac:dyDescent="0.3">
      <c r="A610" s="1" t="s">
        <v>2142</v>
      </c>
      <c r="B610" s="1" t="s">
        <v>2141</v>
      </c>
      <c r="C610" s="1" t="s">
        <v>1171</v>
      </c>
      <c r="D610" s="1">
        <v>5</v>
      </c>
      <c r="E610" s="1">
        <v>0.15</v>
      </c>
      <c r="F610" s="1" t="b">
        <v>0</v>
      </c>
      <c r="G610">
        <f>VLOOKUP(C610,Products!A:D,4,FALSE)</f>
        <v>2250</v>
      </c>
      <c r="H610" t="str">
        <f>VLOOKUP(C610,Products!A:D,3,FALSE)</f>
        <v>Home &amp; Kitchen</v>
      </c>
      <c r="I610">
        <f t="shared" si="9"/>
        <v>9562.5</v>
      </c>
      <c r="J610" s="2">
        <f>VLOOKUP(B610,Orders!A:C,3,FALSE)</f>
        <v>45986</v>
      </c>
      <c r="K610" s="1" t="str">
        <f>VLOOKUP(B610,Orders!A:B,2,FALSE)</f>
        <v>C0132</v>
      </c>
    </row>
    <row r="611" spans="1:11" x14ac:dyDescent="0.3">
      <c r="A611" s="1" t="s">
        <v>2143</v>
      </c>
      <c r="B611" s="1" t="s">
        <v>2141</v>
      </c>
      <c r="C611" s="1" t="s">
        <v>1302</v>
      </c>
      <c r="D611" s="1">
        <v>4</v>
      </c>
      <c r="E611" s="1">
        <v>0.05</v>
      </c>
      <c r="F611" s="1" t="b">
        <v>0</v>
      </c>
      <c r="G611">
        <f>VLOOKUP(C611,Products!A:D,4,FALSE)</f>
        <v>1220</v>
      </c>
      <c r="H611" t="str">
        <f>VLOOKUP(C611,Products!A:D,3,FALSE)</f>
        <v>Home &amp; Kitchen</v>
      </c>
      <c r="I611">
        <f t="shared" si="9"/>
        <v>4636</v>
      </c>
      <c r="J611" s="2">
        <f>VLOOKUP(B611,Orders!A:C,3,FALSE)</f>
        <v>45986</v>
      </c>
      <c r="K611" s="1" t="str">
        <f>VLOOKUP(B611,Orders!A:B,2,FALSE)</f>
        <v>C0132</v>
      </c>
    </row>
    <row r="612" spans="1:11" x14ac:dyDescent="0.3">
      <c r="A612" s="1" t="s">
        <v>2144</v>
      </c>
      <c r="B612" s="1" t="s">
        <v>2145</v>
      </c>
      <c r="C612" s="1" t="s">
        <v>1391</v>
      </c>
      <c r="D612" s="1">
        <v>5</v>
      </c>
      <c r="E612" s="1">
        <v>0</v>
      </c>
      <c r="F612" s="1" t="b">
        <v>0</v>
      </c>
      <c r="G612">
        <f>VLOOKUP(C612,Products!A:D,4,FALSE)</f>
        <v>1900</v>
      </c>
      <c r="H612" t="str">
        <f>VLOOKUP(C612,Products!A:D,3,FALSE)</f>
        <v>Beauty</v>
      </c>
      <c r="I612">
        <f t="shared" si="9"/>
        <v>9500</v>
      </c>
      <c r="J612" s="2">
        <f>VLOOKUP(B612,Orders!A:C,3,FALSE)</f>
        <v>46055</v>
      </c>
      <c r="K612" s="1" t="str">
        <f>VLOOKUP(B612,Orders!A:B,2,FALSE)</f>
        <v>C0173</v>
      </c>
    </row>
    <row r="613" spans="1:11" x14ac:dyDescent="0.3">
      <c r="A613" s="1" t="s">
        <v>2146</v>
      </c>
      <c r="B613" s="1" t="s">
        <v>2147</v>
      </c>
      <c r="C613" s="1" t="s">
        <v>1184</v>
      </c>
      <c r="D613" s="1">
        <v>3</v>
      </c>
      <c r="E613" s="1">
        <v>0.1</v>
      </c>
      <c r="F613" s="1" t="b">
        <v>0</v>
      </c>
      <c r="G613">
        <f>VLOOKUP(C613,Products!A:D,4,FALSE)</f>
        <v>2230</v>
      </c>
      <c r="H613" t="str">
        <f>VLOOKUP(C613,Products!A:D,3,FALSE)</f>
        <v>Sports</v>
      </c>
      <c r="I613">
        <f t="shared" si="9"/>
        <v>6021</v>
      </c>
      <c r="J613" s="2">
        <f>VLOOKUP(B613,Orders!A:C,3,FALSE)</f>
        <v>45748</v>
      </c>
      <c r="K613" s="1" t="str">
        <f>VLOOKUP(B613,Orders!A:B,2,FALSE)</f>
        <v>C0099</v>
      </c>
    </row>
    <row r="614" spans="1:11" x14ac:dyDescent="0.3">
      <c r="A614" s="1" t="s">
        <v>2148</v>
      </c>
      <c r="B614" s="1" t="s">
        <v>2149</v>
      </c>
      <c r="C614" s="1" t="s">
        <v>1132</v>
      </c>
      <c r="D614" s="1">
        <v>1</v>
      </c>
      <c r="E614" s="1">
        <v>0</v>
      </c>
      <c r="F614" s="1" t="b">
        <v>0</v>
      </c>
      <c r="G614">
        <f>VLOOKUP(C614,Products!A:D,4,FALSE)</f>
        <v>420</v>
      </c>
      <c r="H614" t="str">
        <f>VLOOKUP(C614,Products!A:D,3,FALSE)</f>
        <v>Beauty</v>
      </c>
      <c r="I614">
        <f t="shared" si="9"/>
        <v>420</v>
      </c>
      <c r="J614" s="2">
        <f>VLOOKUP(B614,Orders!A:C,3,FALSE)</f>
        <v>45797</v>
      </c>
      <c r="K614" s="1" t="str">
        <f>VLOOKUP(B614,Orders!A:B,2,FALSE)</f>
        <v>C0219</v>
      </c>
    </row>
    <row r="615" spans="1:11" x14ac:dyDescent="0.3">
      <c r="A615" s="1" t="s">
        <v>2150</v>
      </c>
      <c r="B615" s="1" t="s">
        <v>2149</v>
      </c>
      <c r="C615" s="1" t="s">
        <v>1459</v>
      </c>
      <c r="D615" s="1">
        <v>1</v>
      </c>
      <c r="E615" s="1">
        <v>0.15</v>
      </c>
      <c r="F615" s="1" t="b">
        <v>0</v>
      </c>
      <c r="G615">
        <f>VLOOKUP(C615,Products!A:D,4,FALSE)</f>
        <v>710</v>
      </c>
      <c r="H615" t="str">
        <f>VLOOKUP(C615,Products!A:D,3,FALSE)</f>
        <v>Sports</v>
      </c>
      <c r="I615">
        <f t="shared" si="9"/>
        <v>603.5</v>
      </c>
      <c r="J615" s="2">
        <f>VLOOKUP(B615,Orders!A:C,3,FALSE)</f>
        <v>45797</v>
      </c>
      <c r="K615" s="1" t="str">
        <f>VLOOKUP(B615,Orders!A:B,2,FALSE)</f>
        <v>C0219</v>
      </c>
    </row>
    <row r="616" spans="1:11" x14ac:dyDescent="0.3">
      <c r="A616" s="1" t="s">
        <v>2151</v>
      </c>
      <c r="B616" s="1" t="s">
        <v>2152</v>
      </c>
      <c r="C616" s="1" t="s">
        <v>1459</v>
      </c>
      <c r="D616" s="1">
        <v>1</v>
      </c>
      <c r="E616" s="1">
        <v>0.15</v>
      </c>
      <c r="F616" s="1" t="b">
        <v>0</v>
      </c>
      <c r="G616">
        <f>VLOOKUP(C616,Products!A:D,4,FALSE)</f>
        <v>710</v>
      </c>
      <c r="H616" t="str">
        <f>VLOOKUP(C616,Products!A:D,3,FALSE)</f>
        <v>Sports</v>
      </c>
      <c r="I616">
        <f t="shared" si="9"/>
        <v>603.5</v>
      </c>
      <c r="J616" s="2">
        <f>VLOOKUP(B616,Orders!A:C,3,FALSE)</f>
        <v>45771</v>
      </c>
      <c r="K616" s="1" t="str">
        <f>VLOOKUP(B616,Orders!A:B,2,FALSE)</f>
        <v>C0206</v>
      </c>
    </row>
    <row r="617" spans="1:11" x14ac:dyDescent="0.3">
      <c r="A617" s="1" t="s">
        <v>2153</v>
      </c>
      <c r="B617" s="1" t="s">
        <v>2154</v>
      </c>
      <c r="C617" s="1" t="s">
        <v>1333</v>
      </c>
      <c r="D617" s="1">
        <v>3</v>
      </c>
      <c r="E617" s="1">
        <v>0</v>
      </c>
      <c r="F617" s="1" t="b">
        <v>0</v>
      </c>
      <c r="G617">
        <f>VLOOKUP(C617,Products!A:D,4,FALSE)</f>
        <v>1440</v>
      </c>
      <c r="H617" t="str">
        <f>VLOOKUP(C617,Products!A:D,3,FALSE)</f>
        <v>Home &amp; Kitchen</v>
      </c>
      <c r="I617">
        <f t="shared" si="9"/>
        <v>4320</v>
      </c>
      <c r="J617" s="2">
        <f>VLOOKUP(B617,Orders!A:C,3,FALSE)</f>
        <v>46081</v>
      </c>
      <c r="K617" s="1" t="str">
        <f>VLOOKUP(B617,Orders!A:B,2,FALSE)</f>
        <v>C0072</v>
      </c>
    </row>
    <row r="618" spans="1:11" x14ac:dyDescent="0.3">
      <c r="A618" s="1" t="s">
        <v>2155</v>
      </c>
      <c r="B618" s="1" t="s">
        <v>2154</v>
      </c>
      <c r="C618" s="1" t="s">
        <v>1216</v>
      </c>
      <c r="D618" s="1">
        <v>1</v>
      </c>
      <c r="E618" s="1">
        <v>0</v>
      </c>
      <c r="F618" s="1" t="b">
        <v>0</v>
      </c>
      <c r="G618">
        <f>VLOOKUP(C618,Products!A:D,4,FALSE)</f>
        <v>1240</v>
      </c>
      <c r="H618" t="str">
        <f>VLOOKUP(C618,Products!A:D,3,FALSE)</f>
        <v>Apparel</v>
      </c>
      <c r="I618">
        <f t="shared" si="9"/>
        <v>1240</v>
      </c>
      <c r="J618" s="2">
        <f>VLOOKUP(B618,Orders!A:C,3,FALSE)</f>
        <v>46081</v>
      </c>
      <c r="K618" s="1" t="str">
        <f>VLOOKUP(B618,Orders!A:B,2,FALSE)</f>
        <v>C0072</v>
      </c>
    </row>
    <row r="619" spans="1:11" x14ac:dyDescent="0.3">
      <c r="A619" s="1" t="s">
        <v>2156</v>
      </c>
      <c r="B619" s="1" t="s">
        <v>2157</v>
      </c>
      <c r="C619" s="1" t="s">
        <v>1328</v>
      </c>
      <c r="D619" s="1">
        <v>2</v>
      </c>
      <c r="E619" s="1">
        <v>0.15</v>
      </c>
      <c r="F619" s="1" t="b">
        <v>0</v>
      </c>
      <c r="G619">
        <f>VLOOKUP(C619,Products!A:D,4,FALSE)</f>
        <v>1880</v>
      </c>
      <c r="H619" t="str">
        <f>VLOOKUP(C619,Products!A:D,3,FALSE)</f>
        <v>Apparel</v>
      </c>
      <c r="I619">
        <f t="shared" si="9"/>
        <v>3196</v>
      </c>
      <c r="J619" s="2">
        <f>VLOOKUP(B619,Orders!A:C,3,FALSE)</f>
        <v>46278</v>
      </c>
      <c r="K619" s="1" t="str">
        <f>VLOOKUP(B619,Orders!A:B,2,FALSE)</f>
        <v>C0004</v>
      </c>
    </row>
    <row r="620" spans="1:11" x14ac:dyDescent="0.3">
      <c r="A620" s="1" t="s">
        <v>2158</v>
      </c>
      <c r="B620" s="1" t="s">
        <v>2159</v>
      </c>
      <c r="C620" s="1" t="s">
        <v>1391</v>
      </c>
      <c r="D620" s="1">
        <v>5</v>
      </c>
      <c r="E620" s="1">
        <v>0.2</v>
      </c>
      <c r="F620" s="1" t="b">
        <v>0</v>
      </c>
      <c r="G620">
        <f>VLOOKUP(C620,Products!A:D,4,FALSE)</f>
        <v>1900</v>
      </c>
      <c r="H620" t="str">
        <f>VLOOKUP(C620,Products!A:D,3,FALSE)</f>
        <v>Beauty</v>
      </c>
      <c r="I620">
        <f t="shared" si="9"/>
        <v>7600</v>
      </c>
      <c r="J620" s="2">
        <f>VLOOKUP(B620,Orders!A:C,3,FALSE)</f>
        <v>46104</v>
      </c>
      <c r="K620" s="1" t="str">
        <f>VLOOKUP(B620,Orders!A:B,2,FALSE)</f>
        <v>C0229</v>
      </c>
    </row>
    <row r="621" spans="1:11" x14ac:dyDescent="0.3">
      <c r="A621" s="1" t="s">
        <v>2160</v>
      </c>
      <c r="B621" s="1" t="s">
        <v>2161</v>
      </c>
      <c r="C621" s="1" t="s">
        <v>1123</v>
      </c>
      <c r="D621" s="1">
        <v>5</v>
      </c>
      <c r="E621" s="1">
        <v>0</v>
      </c>
      <c r="F621" s="1" t="b">
        <v>0</v>
      </c>
      <c r="G621">
        <f>VLOOKUP(C621,Products!A:D,4,FALSE)</f>
        <v>2200</v>
      </c>
      <c r="H621" t="str">
        <f>VLOOKUP(C621,Products!A:D,3,FALSE)</f>
        <v>Electronics</v>
      </c>
      <c r="I621">
        <f t="shared" si="9"/>
        <v>11000</v>
      </c>
      <c r="J621" s="2">
        <f>VLOOKUP(B621,Orders!A:C,3,FALSE)</f>
        <v>45860</v>
      </c>
      <c r="K621" s="1" t="str">
        <f>VLOOKUP(B621,Orders!A:B,2,FALSE)</f>
        <v>C0155</v>
      </c>
    </row>
    <row r="622" spans="1:11" x14ac:dyDescent="0.3">
      <c r="A622" s="1" t="s">
        <v>2162</v>
      </c>
      <c r="B622" s="1" t="s">
        <v>2161</v>
      </c>
      <c r="C622" s="1" t="s">
        <v>1393</v>
      </c>
      <c r="D622" s="1">
        <v>1</v>
      </c>
      <c r="E622" s="1">
        <v>0.2</v>
      </c>
      <c r="F622" s="1" t="b">
        <v>0</v>
      </c>
      <c r="G622">
        <f>VLOOKUP(C622,Products!A:D,4,FALSE)</f>
        <v>1520</v>
      </c>
      <c r="H622" t="str">
        <f>VLOOKUP(C622,Products!A:D,3,FALSE)</f>
        <v>Electronics</v>
      </c>
      <c r="I622">
        <f t="shared" si="9"/>
        <v>1216</v>
      </c>
      <c r="J622" s="2">
        <f>VLOOKUP(B622,Orders!A:C,3,FALSE)</f>
        <v>45860</v>
      </c>
      <c r="K622" s="1" t="str">
        <f>VLOOKUP(B622,Orders!A:B,2,FALSE)</f>
        <v>C0155</v>
      </c>
    </row>
    <row r="623" spans="1:11" x14ac:dyDescent="0.3">
      <c r="A623" s="1" t="s">
        <v>2163</v>
      </c>
      <c r="B623" s="1" t="s">
        <v>2164</v>
      </c>
      <c r="C623" s="1" t="s">
        <v>1462</v>
      </c>
      <c r="D623" s="1">
        <v>4</v>
      </c>
      <c r="E623" s="1">
        <v>0.2</v>
      </c>
      <c r="F623" s="1" t="b">
        <v>0</v>
      </c>
      <c r="G623">
        <f>VLOOKUP(C623,Products!A:D,4,FALSE)</f>
        <v>3070</v>
      </c>
      <c r="H623" t="str">
        <f>VLOOKUP(C623,Products!A:D,3,FALSE)</f>
        <v>Apparel</v>
      </c>
      <c r="I623">
        <f t="shared" si="9"/>
        <v>9824</v>
      </c>
      <c r="J623" s="2">
        <f>VLOOKUP(B623,Orders!A:C,3,FALSE)</f>
        <v>45907</v>
      </c>
      <c r="K623" s="1" t="str">
        <f>VLOOKUP(B623,Orders!A:B,2,FALSE)</f>
        <v>C0006</v>
      </c>
    </row>
    <row r="624" spans="1:11" x14ac:dyDescent="0.3">
      <c r="A624" s="1" t="s">
        <v>2165</v>
      </c>
      <c r="B624" s="1" t="s">
        <v>2166</v>
      </c>
      <c r="C624" s="1" t="s">
        <v>1140</v>
      </c>
      <c r="D624" s="1">
        <v>5</v>
      </c>
      <c r="E624" s="1">
        <v>0</v>
      </c>
      <c r="F624" s="1" t="b">
        <v>0</v>
      </c>
      <c r="G624">
        <f>VLOOKUP(C624,Products!A:D,4,FALSE)</f>
        <v>3040</v>
      </c>
      <c r="H624" t="str">
        <f>VLOOKUP(C624,Products!A:D,3,FALSE)</f>
        <v>Electronics</v>
      </c>
      <c r="I624">
        <f t="shared" si="9"/>
        <v>15200</v>
      </c>
      <c r="J624" s="2">
        <f>VLOOKUP(B624,Orders!A:C,3,FALSE)</f>
        <v>46257</v>
      </c>
      <c r="K624" s="1" t="str">
        <f>VLOOKUP(B624,Orders!A:B,2,FALSE)</f>
        <v>C0185</v>
      </c>
    </row>
    <row r="625" spans="1:11" x14ac:dyDescent="0.3">
      <c r="A625" s="1" t="s">
        <v>2167</v>
      </c>
      <c r="B625" s="1" t="s">
        <v>2168</v>
      </c>
      <c r="C625" s="1" t="s">
        <v>1163</v>
      </c>
      <c r="D625" s="1">
        <v>1</v>
      </c>
      <c r="E625" s="1">
        <v>0.15</v>
      </c>
      <c r="F625" s="1" t="b">
        <v>0</v>
      </c>
      <c r="G625">
        <f>VLOOKUP(C625,Products!A:D,4,FALSE)</f>
        <v>2180</v>
      </c>
      <c r="H625" t="str">
        <f>VLOOKUP(C625,Products!A:D,3,FALSE)</f>
        <v>Electronics</v>
      </c>
      <c r="I625">
        <f t="shared" si="9"/>
        <v>1853</v>
      </c>
      <c r="J625" s="2">
        <f>VLOOKUP(B625,Orders!A:C,3,FALSE)</f>
        <v>46017</v>
      </c>
      <c r="K625" s="1" t="str">
        <f>VLOOKUP(B625,Orders!A:B,2,FALSE)</f>
        <v>C0061</v>
      </c>
    </row>
    <row r="626" spans="1:11" x14ac:dyDescent="0.3">
      <c r="A626" s="1" t="s">
        <v>2169</v>
      </c>
      <c r="B626" s="1" t="s">
        <v>2170</v>
      </c>
      <c r="C626" s="1" t="s">
        <v>1127</v>
      </c>
      <c r="D626" s="1">
        <v>5</v>
      </c>
      <c r="E626" s="1">
        <v>0.05</v>
      </c>
      <c r="F626" s="1" t="b">
        <v>0</v>
      </c>
      <c r="G626">
        <f>VLOOKUP(C626,Products!A:D,4,FALSE)</f>
        <v>1660</v>
      </c>
      <c r="H626" t="str">
        <f>VLOOKUP(C626,Products!A:D,3,FALSE)</f>
        <v>Apparel</v>
      </c>
      <c r="I626">
        <f t="shared" si="9"/>
        <v>7885</v>
      </c>
      <c r="J626" s="2">
        <f>VLOOKUP(B626,Orders!A:C,3,FALSE)</f>
        <v>45739</v>
      </c>
      <c r="K626" s="1" t="str">
        <f>VLOOKUP(B626,Orders!A:B,2,FALSE)</f>
        <v>C0208</v>
      </c>
    </row>
    <row r="627" spans="1:11" x14ac:dyDescent="0.3">
      <c r="A627" s="1" t="s">
        <v>2171</v>
      </c>
      <c r="B627" s="1" t="s">
        <v>2170</v>
      </c>
      <c r="C627" s="1" t="s">
        <v>1116</v>
      </c>
      <c r="D627" s="1">
        <v>2</v>
      </c>
      <c r="E627" s="1">
        <v>0.15</v>
      </c>
      <c r="F627" s="1" t="b">
        <v>0</v>
      </c>
      <c r="G627">
        <f>VLOOKUP(C627,Products!A:D,4,FALSE)</f>
        <v>3000</v>
      </c>
      <c r="H627" t="str">
        <f>VLOOKUP(C627,Products!A:D,3,FALSE)</f>
        <v>Home &amp; Kitchen</v>
      </c>
      <c r="I627">
        <f t="shared" si="9"/>
        <v>5100</v>
      </c>
      <c r="J627" s="2">
        <f>VLOOKUP(B627,Orders!A:C,3,FALSE)</f>
        <v>45739</v>
      </c>
      <c r="K627" s="1" t="str">
        <f>VLOOKUP(B627,Orders!A:B,2,FALSE)</f>
        <v>C0208</v>
      </c>
    </row>
    <row r="628" spans="1:11" x14ac:dyDescent="0.3">
      <c r="A628" s="1" t="s">
        <v>2172</v>
      </c>
      <c r="B628" s="1" t="s">
        <v>2170</v>
      </c>
      <c r="C628" s="1" t="s">
        <v>1132</v>
      </c>
      <c r="D628" s="1">
        <v>5</v>
      </c>
      <c r="E628" s="1">
        <v>0</v>
      </c>
      <c r="F628" s="1" t="b">
        <v>0</v>
      </c>
      <c r="G628">
        <f>VLOOKUP(C628,Products!A:D,4,FALSE)</f>
        <v>420</v>
      </c>
      <c r="H628" t="str">
        <f>VLOOKUP(C628,Products!A:D,3,FALSE)</f>
        <v>Beauty</v>
      </c>
      <c r="I628">
        <f t="shared" si="9"/>
        <v>2100</v>
      </c>
      <c r="J628" s="2">
        <f>VLOOKUP(B628,Orders!A:C,3,FALSE)</f>
        <v>45739</v>
      </c>
      <c r="K628" s="1" t="str">
        <f>VLOOKUP(B628,Orders!A:B,2,FALSE)</f>
        <v>C0208</v>
      </c>
    </row>
    <row r="629" spans="1:11" x14ac:dyDescent="0.3">
      <c r="A629" s="1" t="s">
        <v>2173</v>
      </c>
      <c r="B629" s="1" t="s">
        <v>2174</v>
      </c>
      <c r="C629" s="1" t="s">
        <v>1393</v>
      </c>
      <c r="D629" s="1">
        <v>5</v>
      </c>
      <c r="E629" s="1">
        <v>0</v>
      </c>
      <c r="F629" s="1" t="b">
        <v>0</v>
      </c>
      <c r="G629">
        <f>VLOOKUP(C629,Products!A:D,4,FALSE)</f>
        <v>1520</v>
      </c>
      <c r="H629" t="str">
        <f>VLOOKUP(C629,Products!A:D,3,FALSE)</f>
        <v>Electronics</v>
      </c>
      <c r="I629">
        <f t="shared" si="9"/>
        <v>7600</v>
      </c>
      <c r="J629" s="2">
        <f>VLOOKUP(B629,Orders!A:C,3,FALSE)</f>
        <v>46190</v>
      </c>
      <c r="K629" s="1" t="str">
        <f>VLOOKUP(B629,Orders!A:B,2,FALSE)</f>
        <v>C0061</v>
      </c>
    </row>
    <row r="630" spans="1:11" x14ac:dyDescent="0.3">
      <c r="A630" s="1" t="s">
        <v>2175</v>
      </c>
      <c r="B630" s="1" t="s">
        <v>2176</v>
      </c>
      <c r="C630" s="1" t="s">
        <v>1333</v>
      </c>
      <c r="D630" s="1">
        <v>3</v>
      </c>
      <c r="E630" s="1">
        <v>0.05</v>
      </c>
      <c r="F630" s="1" t="b">
        <v>0</v>
      </c>
      <c r="G630">
        <f>VLOOKUP(C630,Products!A:D,4,FALSE)</f>
        <v>1440</v>
      </c>
      <c r="H630" t="str">
        <f>VLOOKUP(C630,Products!A:D,3,FALSE)</f>
        <v>Home &amp; Kitchen</v>
      </c>
      <c r="I630">
        <f t="shared" si="9"/>
        <v>4104</v>
      </c>
      <c r="J630" s="2">
        <f>VLOOKUP(B630,Orders!A:C,3,FALSE)</f>
        <v>45870</v>
      </c>
      <c r="K630" s="1" t="str">
        <f>VLOOKUP(B630,Orders!A:B,2,FALSE)</f>
        <v>C0189</v>
      </c>
    </row>
    <row r="631" spans="1:11" x14ac:dyDescent="0.3">
      <c r="A631" s="1" t="s">
        <v>2177</v>
      </c>
      <c r="B631" s="1" t="s">
        <v>2178</v>
      </c>
      <c r="C631" s="1" t="s">
        <v>1225</v>
      </c>
      <c r="D631" s="1">
        <v>3</v>
      </c>
      <c r="E631" s="1">
        <v>0.1</v>
      </c>
      <c r="F631" s="1" t="b">
        <v>0</v>
      </c>
      <c r="G631">
        <f>VLOOKUP(C631,Products!A:D,4,FALSE)</f>
        <v>2690</v>
      </c>
      <c r="H631" t="str">
        <f>VLOOKUP(C631,Products!A:D,3,FALSE)</f>
        <v>Beauty</v>
      </c>
      <c r="I631">
        <f t="shared" si="9"/>
        <v>7263</v>
      </c>
      <c r="J631" s="2">
        <f>VLOOKUP(B631,Orders!A:C,3,FALSE)</f>
        <v>45784</v>
      </c>
      <c r="K631" s="1" t="str">
        <f>VLOOKUP(B631,Orders!A:B,2,FALSE)</f>
        <v>C0069</v>
      </c>
    </row>
    <row r="632" spans="1:11" x14ac:dyDescent="0.3">
      <c r="A632" s="1" t="s">
        <v>2179</v>
      </c>
      <c r="B632" s="1" t="s">
        <v>2178</v>
      </c>
      <c r="C632" s="1" t="s">
        <v>1564</v>
      </c>
      <c r="D632" s="1">
        <v>5</v>
      </c>
      <c r="E632" s="1">
        <v>0</v>
      </c>
      <c r="F632" s="1" t="b">
        <v>0</v>
      </c>
      <c r="G632">
        <f>VLOOKUP(C632,Products!A:D,4,FALSE)</f>
        <v>3680</v>
      </c>
      <c r="H632" t="str">
        <f>VLOOKUP(C632,Products!A:D,3,FALSE)</f>
        <v>Home &amp; Kitchen</v>
      </c>
      <c r="I632">
        <f t="shared" si="9"/>
        <v>18400</v>
      </c>
      <c r="J632" s="2">
        <f>VLOOKUP(B632,Orders!A:C,3,FALSE)</f>
        <v>45784</v>
      </c>
      <c r="K632" s="1" t="str">
        <f>VLOOKUP(B632,Orders!A:B,2,FALSE)</f>
        <v>C0069</v>
      </c>
    </row>
    <row r="633" spans="1:11" x14ac:dyDescent="0.3">
      <c r="A633" s="1" t="s">
        <v>2180</v>
      </c>
      <c r="B633" s="1" t="s">
        <v>2181</v>
      </c>
      <c r="C633" s="1" t="s">
        <v>1137</v>
      </c>
      <c r="D633" s="1">
        <v>5</v>
      </c>
      <c r="E633" s="1">
        <v>0.05</v>
      </c>
      <c r="F633" s="1" t="b">
        <v>0</v>
      </c>
      <c r="G633">
        <f>VLOOKUP(C633,Products!A:D,4,FALSE)</f>
        <v>1910</v>
      </c>
      <c r="H633" t="str">
        <f>VLOOKUP(C633,Products!A:D,3,FALSE)</f>
        <v>Apparel</v>
      </c>
      <c r="I633">
        <f t="shared" si="9"/>
        <v>9072.5</v>
      </c>
      <c r="J633" s="2">
        <f>VLOOKUP(B633,Orders!A:C,3,FALSE)</f>
        <v>46103</v>
      </c>
      <c r="K633" s="1" t="str">
        <f>VLOOKUP(B633,Orders!A:B,2,FALSE)</f>
        <v>C0192</v>
      </c>
    </row>
    <row r="634" spans="1:11" x14ac:dyDescent="0.3">
      <c r="A634" s="1" t="s">
        <v>2182</v>
      </c>
      <c r="B634" s="1" t="s">
        <v>2181</v>
      </c>
      <c r="C634" s="1" t="s">
        <v>1160</v>
      </c>
      <c r="D634" s="1">
        <v>4</v>
      </c>
      <c r="E634" s="1">
        <v>0.05</v>
      </c>
      <c r="F634" s="1" t="b">
        <v>0</v>
      </c>
      <c r="G634">
        <f>VLOOKUP(C634,Products!A:D,4,FALSE)</f>
        <v>1710</v>
      </c>
      <c r="H634" t="str">
        <f>VLOOKUP(C634,Products!A:D,3,FALSE)</f>
        <v>Home &amp; Kitchen</v>
      </c>
      <c r="I634">
        <f t="shared" si="9"/>
        <v>6498</v>
      </c>
      <c r="J634" s="2">
        <f>VLOOKUP(B634,Orders!A:C,3,FALSE)</f>
        <v>46103</v>
      </c>
      <c r="K634" s="1" t="str">
        <f>VLOOKUP(B634,Orders!A:B,2,FALSE)</f>
        <v>C0192</v>
      </c>
    </row>
    <row r="635" spans="1:11" x14ac:dyDescent="0.3">
      <c r="A635" s="1" t="s">
        <v>2183</v>
      </c>
      <c r="B635" s="1" t="s">
        <v>2181</v>
      </c>
      <c r="C635" s="1" t="s">
        <v>1125</v>
      </c>
      <c r="D635" s="1">
        <v>5</v>
      </c>
      <c r="E635" s="1">
        <v>0</v>
      </c>
      <c r="F635" s="1" t="b">
        <v>0</v>
      </c>
      <c r="G635">
        <f>VLOOKUP(C635,Products!A:D,4,FALSE)</f>
        <v>99</v>
      </c>
      <c r="H635" t="str">
        <f>VLOOKUP(C635,Products!A:D,3,FALSE)</f>
        <v>Electronics</v>
      </c>
      <c r="I635">
        <f t="shared" si="9"/>
        <v>495</v>
      </c>
      <c r="J635" s="2">
        <f>VLOOKUP(B635,Orders!A:C,3,FALSE)</f>
        <v>46103</v>
      </c>
      <c r="K635" s="1" t="str">
        <f>VLOOKUP(B635,Orders!A:B,2,FALSE)</f>
        <v>C0192</v>
      </c>
    </row>
    <row r="636" spans="1:11" x14ac:dyDescent="0.3">
      <c r="A636" s="1" t="s">
        <v>2184</v>
      </c>
      <c r="B636" s="1" t="s">
        <v>2185</v>
      </c>
      <c r="C636" s="1" t="s">
        <v>1149</v>
      </c>
      <c r="D636" s="1">
        <v>1</v>
      </c>
      <c r="E636" s="1">
        <v>0</v>
      </c>
      <c r="F636" s="1" t="b">
        <v>0</v>
      </c>
      <c r="G636">
        <f>VLOOKUP(C636,Products!A:D,4,FALSE)</f>
        <v>1150</v>
      </c>
      <c r="H636" t="str">
        <f>VLOOKUP(C636,Products!A:D,3,FALSE)</f>
        <v>Apparel</v>
      </c>
      <c r="I636">
        <f t="shared" si="9"/>
        <v>1150</v>
      </c>
      <c r="J636" s="2">
        <f>VLOOKUP(B636,Orders!A:C,3,FALSE)</f>
        <v>46183</v>
      </c>
      <c r="K636" s="1" t="str">
        <f>VLOOKUP(B636,Orders!A:B,2,FALSE)</f>
        <v>C0242</v>
      </c>
    </row>
    <row r="637" spans="1:11" x14ac:dyDescent="0.3">
      <c r="A637" s="1" t="s">
        <v>2186</v>
      </c>
      <c r="B637" s="1" t="s">
        <v>2185</v>
      </c>
      <c r="C637" s="1" t="s">
        <v>1249</v>
      </c>
      <c r="D637" s="1">
        <v>4</v>
      </c>
      <c r="E637" s="1">
        <v>0.15</v>
      </c>
      <c r="F637" s="1" t="b">
        <v>0</v>
      </c>
      <c r="G637">
        <f>VLOOKUP(C637,Products!A:D,4,FALSE)</f>
        <v>3630</v>
      </c>
      <c r="H637" t="str">
        <f>VLOOKUP(C637,Products!A:D,3,FALSE)</f>
        <v>Electronics</v>
      </c>
      <c r="I637">
        <f t="shared" si="9"/>
        <v>12342</v>
      </c>
      <c r="J637" s="2">
        <f>VLOOKUP(B637,Orders!A:C,3,FALSE)</f>
        <v>46183</v>
      </c>
      <c r="K637" s="1" t="str">
        <f>VLOOKUP(B637,Orders!A:B,2,FALSE)</f>
        <v>C0242</v>
      </c>
    </row>
    <row r="638" spans="1:11" x14ac:dyDescent="0.3">
      <c r="A638" s="1" t="s">
        <v>2187</v>
      </c>
      <c r="B638" s="1" t="s">
        <v>2188</v>
      </c>
      <c r="C638" s="1" t="s">
        <v>1132</v>
      </c>
      <c r="D638" s="1">
        <v>5</v>
      </c>
      <c r="E638" s="1">
        <v>0.05</v>
      </c>
      <c r="F638" s="1" t="b">
        <v>0</v>
      </c>
      <c r="G638">
        <f>VLOOKUP(C638,Products!A:D,4,FALSE)</f>
        <v>420</v>
      </c>
      <c r="H638" t="str">
        <f>VLOOKUP(C638,Products!A:D,3,FALSE)</f>
        <v>Beauty</v>
      </c>
      <c r="I638">
        <f t="shared" si="9"/>
        <v>1995</v>
      </c>
      <c r="J638" s="2">
        <f>VLOOKUP(B638,Orders!A:C,3,FALSE)</f>
        <v>45775</v>
      </c>
      <c r="K638" s="1" t="str">
        <f>VLOOKUP(B638,Orders!A:B,2,FALSE)</f>
        <v>C0127</v>
      </c>
    </row>
    <row r="639" spans="1:11" x14ac:dyDescent="0.3">
      <c r="A639" s="1" t="s">
        <v>2189</v>
      </c>
      <c r="B639" s="1" t="s">
        <v>2188</v>
      </c>
      <c r="C639" s="1" t="s">
        <v>1290</v>
      </c>
      <c r="D639" s="1">
        <v>1</v>
      </c>
      <c r="E639" s="1">
        <v>0</v>
      </c>
      <c r="F639" s="1" t="b">
        <v>0</v>
      </c>
      <c r="G639">
        <f>VLOOKUP(C639,Products!A:D,4,FALSE)</f>
        <v>990</v>
      </c>
      <c r="H639" t="str">
        <f>VLOOKUP(C639,Products!A:D,3,FALSE)</f>
        <v>Books</v>
      </c>
      <c r="I639">
        <f t="shared" si="9"/>
        <v>990</v>
      </c>
      <c r="J639" s="2">
        <f>VLOOKUP(B639,Orders!A:C,3,FALSE)</f>
        <v>45775</v>
      </c>
      <c r="K639" s="1" t="str">
        <f>VLOOKUP(B639,Orders!A:B,2,FALSE)</f>
        <v>C0127</v>
      </c>
    </row>
    <row r="640" spans="1:11" x14ac:dyDescent="0.3">
      <c r="A640" s="1" t="s">
        <v>2190</v>
      </c>
      <c r="B640" s="1" t="s">
        <v>2191</v>
      </c>
      <c r="C640" s="1" t="s">
        <v>1171</v>
      </c>
      <c r="D640" s="1">
        <v>1</v>
      </c>
      <c r="E640" s="1">
        <v>0.15</v>
      </c>
      <c r="F640" s="1" t="b">
        <v>0</v>
      </c>
      <c r="G640">
        <f>VLOOKUP(C640,Products!A:D,4,FALSE)</f>
        <v>2250</v>
      </c>
      <c r="H640" t="str">
        <f>VLOOKUP(C640,Products!A:D,3,FALSE)</f>
        <v>Home &amp; Kitchen</v>
      </c>
      <c r="I640">
        <f t="shared" ref="I640:I703" si="10">G640*D640*(1-E640)</f>
        <v>1912.5</v>
      </c>
      <c r="J640" s="2">
        <f>VLOOKUP(B640,Orders!A:C,3,FALSE)</f>
        <v>46244</v>
      </c>
      <c r="K640" s="1" t="str">
        <f>VLOOKUP(B640,Orders!A:B,2,FALSE)</f>
        <v>C0042</v>
      </c>
    </row>
    <row r="641" spans="1:11" x14ac:dyDescent="0.3">
      <c r="A641" s="1" t="s">
        <v>2192</v>
      </c>
      <c r="B641" s="1" t="s">
        <v>2193</v>
      </c>
      <c r="C641" s="1" t="s">
        <v>1197</v>
      </c>
      <c r="D641" s="1">
        <v>3</v>
      </c>
      <c r="E641" s="1">
        <v>0.2</v>
      </c>
      <c r="F641" s="1" t="b">
        <v>0</v>
      </c>
      <c r="G641">
        <f>VLOOKUP(C641,Products!A:D,4,FALSE)</f>
        <v>2050</v>
      </c>
      <c r="H641" t="str">
        <f>VLOOKUP(C641,Products!A:D,3,FALSE)</f>
        <v>Apparel</v>
      </c>
      <c r="I641">
        <f t="shared" si="10"/>
        <v>4920</v>
      </c>
      <c r="J641" s="2">
        <f>VLOOKUP(B641,Orders!A:C,3,FALSE)</f>
        <v>45995</v>
      </c>
      <c r="K641" s="1" t="str">
        <f>VLOOKUP(B641,Orders!A:B,2,FALSE)</f>
        <v>C0186</v>
      </c>
    </row>
    <row r="642" spans="1:11" x14ac:dyDescent="0.3">
      <c r="A642" s="1" t="s">
        <v>2194</v>
      </c>
      <c r="B642" s="1" t="s">
        <v>2195</v>
      </c>
      <c r="C642" s="1" t="s">
        <v>1294</v>
      </c>
      <c r="D642" s="1">
        <v>5</v>
      </c>
      <c r="E642" s="1">
        <v>0.1</v>
      </c>
      <c r="F642" s="1" t="b">
        <v>0</v>
      </c>
      <c r="G642">
        <f>VLOOKUP(C642,Products!A:D,4,FALSE)</f>
        <v>210</v>
      </c>
      <c r="H642" t="str">
        <f>VLOOKUP(C642,Products!A:D,3,FALSE)</f>
        <v>Electronics</v>
      </c>
      <c r="I642">
        <f t="shared" si="10"/>
        <v>945</v>
      </c>
      <c r="J642" s="2">
        <f>VLOOKUP(B642,Orders!A:C,3,FALSE)</f>
        <v>45927</v>
      </c>
      <c r="K642" s="1" t="str">
        <f>VLOOKUP(B642,Orders!A:B,2,FALSE)</f>
        <v>C0058</v>
      </c>
    </row>
    <row r="643" spans="1:11" x14ac:dyDescent="0.3">
      <c r="A643" s="1" t="s">
        <v>2196</v>
      </c>
      <c r="B643" s="1" t="s">
        <v>2197</v>
      </c>
      <c r="C643" s="1" t="s">
        <v>1130</v>
      </c>
      <c r="D643" s="1">
        <v>1</v>
      </c>
      <c r="E643" s="1">
        <v>0.15</v>
      </c>
      <c r="F643" s="1" t="b">
        <v>0</v>
      </c>
      <c r="G643">
        <f>VLOOKUP(C643,Products!A:D,4,FALSE)</f>
        <v>2400</v>
      </c>
      <c r="H643" t="str">
        <f>VLOOKUP(C643,Products!A:D,3,FALSE)</f>
        <v>Electronics</v>
      </c>
      <c r="I643">
        <f t="shared" si="10"/>
        <v>2040</v>
      </c>
      <c r="J643" s="2">
        <f>VLOOKUP(B643,Orders!A:C,3,FALSE)</f>
        <v>46224</v>
      </c>
      <c r="K643" s="1" t="str">
        <f>VLOOKUP(B643,Orders!A:B,2,FALSE)</f>
        <v>C0259</v>
      </c>
    </row>
    <row r="644" spans="1:11" x14ac:dyDescent="0.3">
      <c r="A644" s="1" t="s">
        <v>2198</v>
      </c>
      <c r="B644" s="1" t="s">
        <v>2199</v>
      </c>
      <c r="C644" s="1" t="s">
        <v>1315</v>
      </c>
      <c r="D644" s="1">
        <v>5</v>
      </c>
      <c r="E644" s="1">
        <v>0.1</v>
      </c>
      <c r="F644" s="1" t="b">
        <v>0</v>
      </c>
      <c r="G644">
        <f>VLOOKUP(C644,Products!A:D,4,FALSE)</f>
        <v>2190</v>
      </c>
      <c r="H644" t="str">
        <f>VLOOKUP(C644,Products!A:D,3,FALSE)</f>
        <v>Electronics</v>
      </c>
      <c r="I644">
        <f t="shared" si="10"/>
        <v>9855</v>
      </c>
      <c r="J644" s="2">
        <f>VLOOKUP(B644,Orders!A:C,3,FALSE)</f>
        <v>45881</v>
      </c>
      <c r="K644" s="1" t="str">
        <f>VLOOKUP(B644,Orders!A:B,2,FALSE)</f>
        <v>C0077</v>
      </c>
    </row>
    <row r="645" spans="1:11" x14ac:dyDescent="0.3">
      <c r="A645" s="1" t="s">
        <v>2200</v>
      </c>
      <c r="B645" s="1" t="s">
        <v>2201</v>
      </c>
      <c r="C645" s="1" t="s">
        <v>1328</v>
      </c>
      <c r="D645" s="1">
        <v>2</v>
      </c>
      <c r="E645" s="1">
        <v>0</v>
      </c>
      <c r="F645" s="1" t="b">
        <v>0</v>
      </c>
      <c r="G645">
        <f>VLOOKUP(C645,Products!A:D,4,FALSE)</f>
        <v>1880</v>
      </c>
      <c r="H645" t="str">
        <f>VLOOKUP(C645,Products!A:D,3,FALSE)</f>
        <v>Apparel</v>
      </c>
      <c r="I645">
        <f t="shared" si="10"/>
        <v>3760</v>
      </c>
      <c r="J645" s="2">
        <f>VLOOKUP(B645,Orders!A:C,3,FALSE)</f>
        <v>46253</v>
      </c>
      <c r="K645" s="1" t="str">
        <f>VLOOKUP(B645,Orders!A:B,2,FALSE)</f>
        <v>C0227</v>
      </c>
    </row>
    <row r="646" spans="1:11" x14ac:dyDescent="0.3">
      <c r="A646" s="1" t="s">
        <v>2202</v>
      </c>
      <c r="B646" s="1" t="s">
        <v>2201</v>
      </c>
      <c r="C646" s="1" t="s">
        <v>1121</v>
      </c>
      <c r="D646" s="1">
        <v>4</v>
      </c>
      <c r="E646" s="1">
        <v>0.05</v>
      </c>
      <c r="F646" s="1" t="b">
        <v>0</v>
      </c>
      <c r="G646">
        <f>VLOOKUP(C646,Products!A:D,4,FALSE)</f>
        <v>1440</v>
      </c>
      <c r="H646" t="str">
        <f>VLOOKUP(C646,Products!A:D,3,FALSE)</f>
        <v>Sports</v>
      </c>
      <c r="I646">
        <f t="shared" si="10"/>
        <v>5472</v>
      </c>
      <c r="J646" s="2">
        <f>VLOOKUP(B646,Orders!A:C,3,FALSE)</f>
        <v>46253</v>
      </c>
      <c r="K646" s="1" t="str">
        <f>VLOOKUP(B646,Orders!A:B,2,FALSE)</f>
        <v>C0227</v>
      </c>
    </row>
    <row r="647" spans="1:11" x14ac:dyDescent="0.3">
      <c r="A647" s="1" t="s">
        <v>2203</v>
      </c>
      <c r="B647" s="1" t="s">
        <v>2201</v>
      </c>
      <c r="C647" s="1" t="s">
        <v>1393</v>
      </c>
      <c r="D647" s="1">
        <v>2</v>
      </c>
      <c r="E647" s="1">
        <v>0.05</v>
      </c>
      <c r="F647" s="1" t="b">
        <v>0</v>
      </c>
      <c r="G647">
        <f>VLOOKUP(C647,Products!A:D,4,FALSE)</f>
        <v>1520</v>
      </c>
      <c r="H647" t="str">
        <f>VLOOKUP(C647,Products!A:D,3,FALSE)</f>
        <v>Electronics</v>
      </c>
      <c r="I647">
        <f t="shared" si="10"/>
        <v>2888</v>
      </c>
      <c r="J647" s="2">
        <f>VLOOKUP(B647,Orders!A:C,3,FALSE)</f>
        <v>46253</v>
      </c>
      <c r="K647" s="1" t="str">
        <f>VLOOKUP(B647,Orders!A:B,2,FALSE)</f>
        <v>C0227</v>
      </c>
    </row>
    <row r="648" spans="1:11" x14ac:dyDescent="0.3">
      <c r="A648" s="1" t="s">
        <v>2204</v>
      </c>
      <c r="B648" s="1" t="s">
        <v>2201</v>
      </c>
      <c r="C648" s="1" t="s">
        <v>1433</v>
      </c>
      <c r="D648" s="1">
        <v>4</v>
      </c>
      <c r="E648" s="1">
        <v>0.2</v>
      </c>
      <c r="F648" s="1" t="b">
        <v>0</v>
      </c>
      <c r="G648">
        <f>VLOOKUP(C648,Products!A:D,4,FALSE)</f>
        <v>110</v>
      </c>
      <c r="H648" t="str">
        <f>VLOOKUP(C648,Products!A:D,3,FALSE)</f>
        <v>Home &amp; Kitchen</v>
      </c>
      <c r="I648">
        <f t="shared" si="10"/>
        <v>352</v>
      </c>
      <c r="J648" s="2">
        <f>VLOOKUP(B648,Orders!A:C,3,FALSE)</f>
        <v>46253</v>
      </c>
      <c r="K648" s="1" t="str">
        <f>VLOOKUP(B648,Orders!A:B,2,FALSE)</f>
        <v>C0227</v>
      </c>
    </row>
    <row r="649" spans="1:11" x14ac:dyDescent="0.3">
      <c r="A649" s="1" t="s">
        <v>2205</v>
      </c>
      <c r="B649" s="1" t="s">
        <v>2206</v>
      </c>
      <c r="C649" s="1" t="s">
        <v>1127</v>
      </c>
      <c r="D649" s="1">
        <v>4</v>
      </c>
      <c r="E649" s="1">
        <v>0.2</v>
      </c>
      <c r="F649" s="1" t="b">
        <v>0</v>
      </c>
      <c r="G649">
        <f>VLOOKUP(C649,Products!A:D,4,FALSE)</f>
        <v>1660</v>
      </c>
      <c r="H649" t="str">
        <f>VLOOKUP(C649,Products!A:D,3,FALSE)</f>
        <v>Apparel</v>
      </c>
      <c r="I649">
        <f t="shared" si="10"/>
        <v>5312</v>
      </c>
      <c r="J649" s="2">
        <f>VLOOKUP(B649,Orders!A:C,3,FALSE)</f>
        <v>46108</v>
      </c>
      <c r="K649" s="1" t="str">
        <f>VLOOKUP(B649,Orders!A:B,2,FALSE)</f>
        <v>C0299</v>
      </c>
    </row>
    <row r="650" spans="1:11" x14ac:dyDescent="0.3">
      <c r="A650" s="1" t="s">
        <v>2207</v>
      </c>
      <c r="B650" s="1" t="s">
        <v>2206</v>
      </c>
      <c r="C650" s="1" t="s">
        <v>1290</v>
      </c>
      <c r="D650" s="1">
        <v>3</v>
      </c>
      <c r="E650" s="1">
        <v>0.2</v>
      </c>
      <c r="F650" s="1" t="b">
        <v>1</v>
      </c>
      <c r="G650">
        <f>VLOOKUP(C650,Products!A:D,4,FALSE)</f>
        <v>990</v>
      </c>
      <c r="H650" t="str">
        <f>VLOOKUP(C650,Products!A:D,3,FALSE)</f>
        <v>Books</v>
      </c>
      <c r="I650">
        <f t="shared" si="10"/>
        <v>2376</v>
      </c>
      <c r="J650" s="2">
        <f>VLOOKUP(B650,Orders!A:C,3,FALSE)</f>
        <v>46108</v>
      </c>
      <c r="K650" s="1" t="str">
        <f>VLOOKUP(B650,Orders!A:B,2,FALSE)</f>
        <v>C0299</v>
      </c>
    </row>
    <row r="651" spans="1:11" x14ac:dyDescent="0.3">
      <c r="A651" s="1" t="s">
        <v>2208</v>
      </c>
      <c r="B651" s="1" t="s">
        <v>2209</v>
      </c>
      <c r="C651" s="1" t="s">
        <v>1257</v>
      </c>
      <c r="D651" s="1">
        <v>3</v>
      </c>
      <c r="E651" s="1">
        <v>0.1</v>
      </c>
      <c r="F651" s="1" t="b">
        <v>0</v>
      </c>
      <c r="G651">
        <f>VLOOKUP(C651,Products!A:D,4,FALSE)</f>
        <v>1760</v>
      </c>
      <c r="H651" t="str">
        <f>VLOOKUP(C651,Products!A:D,3,FALSE)</f>
        <v>Books</v>
      </c>
      <c r="I651">
        <f t="shared" si="10"/>
        <v>4752</v>
      </c>
      <c r="J651" s="2">
        <f>VLOOKUP(B651,Orders!A:C,3,FALSE)</f>
        <v>46232</v>
      </c>
      <c r="K651" s="1" t="str">
        <f>VLOOKUP(B651,Orders!A:B,2,FALSE)</f>
        <v>C0229</v>
      </c>
    </row>
    <row r="652" spans="1:11" x14ac:dyDescent="0.3">
      <c r="A652" s="1" t="s">
        <v>2210</v>
      </c>
      <c r="B652" s="1" t="s">
        <v>2209</v>
      </c>
      <c r="C652" s="1" t="s">
        <v>1143</v>
      </c>
      <c r="D652" s="1">
        <v>1</v>
      </c>
      <c r="E652" s="1">
        <v>0</v>
      </c>
      <c r="F652" s="1" t="b">
        <v>0</v>
      </c>
      <c r="G652">
        <f>VLOOKUP(C652,Products!A:D,4,FALSE)</f>
        <v>2230</v>
      </c>
      <c r="H652" t="str">
        <f>VLOOKUP(C652,Products!A:D,3,FALSE)</f>
        <v>Home &amp; Kitchen</v>
      </c>
      <c r="I652">
        <f t="shared" si="10"/>
        <v>2230</v>
      </c>
      <c r="J652" s="2">
        <f>VLOOKUP(B652,Orders!A:C,3,FALSE)</f>
        <v>46232</v>
      </c>
      <c r="K652" s="1" t="str">
        <f>VLOOKUP(B652,Orders!A:B,2,FALSE)</f>
        <v>C0229</v>
      </c>
    </row>
    <row r="653" spans="1:11" x14ac:dyDescent="0.3">
      <c r="A653" s="1" t="s">
        <v>2211</v>
      </c>
      <c r="B653" s="1" t="s">
        <v>2212</v>
      </c>
      <c r="C653" s="1" t="s">
        <v>1127</v>
      </c>
      <c r="D653" s="1">
        <v>3</v>
      </c>
      <c r="E653" s="1">
        <v>0</v>
      </c>
      <c r="F653" s="1" t="b">
        <v>0</v>
      </c>
      <c r="G653">
        <f>VLOOKUP(C653,Products!A:D,4,FALSE)</f>
        <v>1660</v>
      </c>
      <c r="H653" t="str">
        <f>VLOOKUP(C653,Products!A:D,3,FALSE)</f>
        <v>Apparel</v>
      </c>
      <c r="I653">
        <f t="shared" si="10"/>
        <v>4980</v>
      </c>
      <c r="J653" s="2">
        <f>VLOOKUP(B653,Orders!A:C,3,FALSE)</f>
        <v>46007</v>
      </c>
      <c r="K653" s="1" t="str">
        <f>VLOOKUP(B653,Orders!A:B,2,FALSE)</f>
        <v>C0068</v>
      </c>
    </row>
    <row r="654" spans="1:11" x14ac:dyDescent="0.3">
      <c r="A654" s="1" t="s">
        <v>2213</v>
      </c>
      <c r="B654" s="1" t="s">
        <v>2212</v>
      </c>
      <c r="C654" s="1" t="s">
        <v>1433</v>
      </c>
      <c r="D654" s="1">
        <v>3</v>
      </c>
      <c r="E654" s="1">
        <v>0.2</v>
      </c>
      <c r="F654" s="1" t="b">
        <v>0</v>
      </c>
      <c r="G654">
        <f>VLOOKUP(C654,Products!A:D,4,FALSE)</f>
        <v>110</v>
      </c>
      <c r="H654" t="str">
        <f>VLOOKUP(C654,Products!A:D,3,FALSE)</f>
        <v>Home &amp; Kitchen</v>
      </c>
      <c r="I654">
        <f t="shared" si="10"/>
        <v>264</v>
      </c>
      <c r="J654" s="2">
        <f>VLOOKUP(B654,Orders!A:C,3,FALSE)</f>
        <v>46007</v>
      </c>
      <c r="K654" s="1" t="str">
        <f>VLOOKUP(B654,Orders!A:B,2,FALSE)</f>
        <v>C0068</v>
      </c>
    </row>
    <row r="655" spans="1:11" x14ac:dyDescent="0.3">
      <c r="A655" s="1" t="s">
        <v>2214</v>
      </c>
      <c r="B655" s="1" t="s">
        <v>2215</v>
      </c>
      <c r="C655" s="1" t="s">
        <v>1247</v>
      </c>
      <c r="D655" s="1">
        <v>5</v>
      </c>
      <c r="E655" s="1">
        <v>0.2</v>
      </c>
      <c r="F655" s="1" t="b">
        <v>0</v>
      </c>
      <c r="G655">
        <f>VLOOKUP(C655,Products!A:D,4,FALSE)</f>
        <v>2210</v>
      </c>
      <c r="H655" t="str">
        <f>VLOOKUP(C655,Products!A:D,3,FALSE)</f>
        <v>Beauty</v>
      </c>
      <c r="I655">
        <f t="shared" si="10"/>
        <v>8840</v>
      </c>
      <c r="J655" s="2">
        <f>VLOOKUP(B655,Orders!A:C,3,FALSE)</f>
        <v>45843</v>
      </c>
      <c r="K655" s="1" t="str">
        <f>VLOOKUP(B655,Orders!A:B,2,FALSE)</f>
        <v>C0234</v>
      </c>
    </row>
    <row r="656" spans="1:11" x14ac:dyDescent="0.3">
      <c r="A656" s="1" t="s">
        <v>2216</v>
      </c>
      <c r="B656" s="1" t="s">
        <v>2217</v>
      </c>
      <c r="C656" s="1" t="s">
        <v>1333</v>
      </c>
      <c r="D656" s="1">
        <v>4</v>
      </c>
      <c r="E656" s="1">
        <v>0</v>
      </c>
      <c r="F656" s="1" t="b">
        <v>0</v>
      </c>
      <c r="G656">
        <f>VLOOKUP(C656,Products!A:D,4,FALSE)</f>
        <v>1440</v>
      </c>
      <c r="H656" t="str">
        <f>VLOOKUP(C656,Products!A:D,3,FALSE)</f>
        <v>Home &amp; Kitchen</v>
      </c>
      <c r="I656">
        <f t="shared" si="10"/>
        <v>5760</v>
      </c>
      <c r="J656" s="2">
        <f>VLOOKUP(B656,Orders!A:C,3,FALSE)</f>
        <v>46137</v>
      </c>
      <c r="K656" s="1" t="str">
        <f>VLOOKUP(B656,Orders!A:B,2,FALSE)</f>
        <v>C0237</v>
      </c>
    </row>
    <row r="657" spans="1:11" x14ac:dyDescent="0.3">
      <c r="A657" s="1" t="s">
        <v>2218</v>
      </c>
      <c r="B657" s="1" t="s">
        <v>2219</v>
      </c>
      <c r="C657" s="1" t="s">
        <v>1468</v>
      </c>
      <c r="D657" s="1">
        <v>3</v>
      </c>
      <c r="E657" s="1">
        <v>0.15</v>
      </c>
      <c r="F657" s="1" t="b">
        <v>0</v>
      </c>
      <c r="G657">
        <f>VLOOKUP(C657,Products!A:D,4,FALSE)</f>
        <v>2040</v>
      </c>
      <c r="H657" t="str">
        <f>VLOOKUP(C657,Products!A:D,3,FALSE)</f>
        <v>Books</v>
      </c>
      <c r="I657">
        <f t="shared" si="10"/>
        <v>5202</v>
      </c>
      <c r="J657" s="2">
        <f>VLOOKUP(B657,Orders!A:C,3,FALSE)</f>
        <v>46212</v>
      </c>
      <c r="K657" s="1" t="str">
        <f>VLOOKUP(B657,Orders!A:B,2,FALSE)</f>
        <v>C0012</v>
      </c>
    </row>
    <row r="658" spans="1:11" x14ac:dyDescent="0.3">
      <c r="A658" s="1" t="s">
        <v>2220</v>
      </c>
      <c r="B658" s="1" t="s">
        <v>2219</v>
      </c>
      <c r="C658" s="1" t="s">
        <v>1393</v>
      </c>
      <c r="D658" s="1">
        <v>3</v>
      </c>
      <c r="E658" s="1">
        <v>0.05</v>
      </c>
      <c r="F658" s="1" t="b">
        <v>0</v>
      </c>
      <c r="G658">
        <f>VLOOKUP(C658,Products!A:D,4,FALSE)</f>
        <v>1520</v>
      </c>
      <c r="H658" t="str">
        <f>VLOOKUP(C658,Products!A:D,3,FALSE)</f>
        <v>Electronics</v>
      </c>
      <c r="I658">
        <f t="shared" si="10"/>
        <v>4332</v>
      </c>
      <c r="J658" s="2">
        <f>VLOOKUP(B658,Orders!A:C,3,FALSE)</f>
        <v>46212</v>
      </c>
      <c r="K658" s="1" t="str">
        <f>VLOOKUP(B658,Orders!A:B,2,FALSE)</f>
        <v>C0012</v>
      </c>
    </row>
    <row r="659" spans="1:11" x14ac:dyDescent="0.3">
      <c r="A659" s="1" t="s">
        <v>2221</v>
      </c>
      <c r="B659" s="1" t="s">
        <v>2222</v>
      </c>
      <c r="C659" s="1" t="s">
        <v>1484</v>
      </c>
      <c r="D659" s="1">
        <v>3</v>
      </c>
      <c r="E659" s="1">
        <v>0.05</v>
      </c>
      <c r="F659" s="1" t="b">
        <v>0</v>
      </c>
      <c r="G659">
        <f>VLOOKUP(C659,Products!A:D,4,FALSE)</f>
        <v>1080</v>
      </c>
      <c r="H659" t="str">
        <f>VLOOKUP(C659,Products!A:D,3,FALSE)</f>
        <v>Home &amp; Kitchen</v>
      </c>
      <c r="I659">
        <f t="shared" si="10"/>
        <v>3078</v>
      </c>
      <c r="J659" s="2">
        <f>VLOOKUP(B659,Orders!A:C,3,FALSE)</f>
        <v>45847</v>
      </c>
      <c r="K659" s="1" t="str">
        <f>VLOOKUP(B659,Orders!A:B,2,FALSE)</f>
        <v>C0112</v>
      </c>
    </row>
    <row r="660" spans="1:11" x14ac:dyDescent="0.3">
      <c r="A660" s="1" t="s">
        <v>2223</v>
      </c>
      <c r="B660" s="1" t="s">
        <v>2224</v>
      </c>
      <c r="C660" s="1" t="s">
        <v>1294</v>
      </c>
      <c r="D660" s="1">
        <v>2</v>
      </c>
      <c r="E660" s="1">
        <v>0.1</v>
      </c>
      <c r="F660" s="1" t="b">
        <v>0</v>
      </c>
      <c r="G660">
        <f>VLOOKUP(C660,Products!A:D,4,FALSE)</f>
        <v>210</v>
      </c>
      <c r="H660" t="str">
        <f>VLOOKUP(C660,Products!A:D,3,FALSE)</f>
        <v>Electronics</v>
      </c>
      <c r="I660">
        <f t="shared" si="10"/>
        <v>378</v>
      </c>
      <c r="J660" s="2">
        <f>VLOOKUP(B660,Orders!A:C,3,FALSE)</f>
        <v>45845</v>
      </c>
      <c r="K660" s="1" t="str">
        <f>VLOOKUP(B660,Orders!A:B,2,FALSE)</f>
        <v>C0217</v>
      </c>
    </row>
    <row r="661" spans="1:11" x14ac:dyDescent="0.3">
      <c r="A661" s="1" t="s">
        <v>2225</v>
      </c>
      <c r="B661" s="1" t="s">
        <v>2224</v>
      </c>
      <c r="C661" s="1" t="s">
        <v>1294</v>
      </c>
      <c r="D661" s="1">
        <v>2</v>
      </c>
      <c r="E661" s="1">
        <v>0</v>
      </c>
      <c r="F661" s="1" t="b">
        <v>0</v>
      </c>
      <c r="G661">
        <f>VLOOKUP(C661,Products!A:D,4,FALSE)</f>
        <v>210</v>
      </c>
      <c r="H661" t="str">
        <f>VLOOKUP(C661,Products!A:D,3,FALSE)</f>
        <v>Electronics</v>
      </c>
      <c r="I661">
        <f t="shared" si="10"/>
        <v>420</v>
      </c>
      <c r="J661" s="2">
        <f>VLOOKUP(B661,Orders!A:C,3,FALSE)</f>
        <v>45845</v>
      </c>
      <c r="K661" s="1" t="str">
        <f>VLOOKUP(B661,Orders!A:B,2,FALSE)</f>
        <v>C0217</v>
      </c>
    </row>
    <row r="662" spans="1:11" x14ac:dyDescent="0.3">
      <c r="A662" s="1" t="s">
        <v>2226</v>
      </c>
      <c r="B662" s="1" t="s">
        <v>2224</v>
      </c>
      <c r="C662" s="1" t="s">
        <v>1462</v>
      </c>
      <c r="D662" s="1">
        <v>1</v>
      </c>
      <c r="E662" s="1">
        <v>0.2</v>
      </c>
      <c r="F662" s="1" t="b">
        <v>0</v>
      </c>
      <c r="G662">
        <f>VLOOKUP(C662,Products!A:D,4,FALSE)</f>
        <v>3070</v>
      </c>
      <c r="H662" t="str">
        <f>VLOOKUP(C662,Products!A:D,3,FALSE)</f>
        <v>Apparel</v>
      </c>
      <c r="I662">
        <f t="shared" si="10"/>
        <v>2456</v>
      </c>
      <c r="J662" s="2">
        <f>VLOOKUP(B662,Orders!A:C,3,FALSE)</f>
        <v>45845</v>
      </c>
      <c r="K662" s="1" t="str">
        <f>VLOOKUP(B662,Orders!A:B,2,FALSE)</f>
        <v>C0217</v>
      </c>
    </row>
    <row r="663" spans="1:11" x14ac:dyDescent="0.3">
      <c r="A663" s="1" t="s">
        <v>2227</v>
      </c>
      <c r="B663" s="1" t="s">
        <v>2228</v>
      </c>
      <c r="C663" s="1" t="s">
        <v>1216</v>
      </c>
      <c r="D663" s="1">
        <v>4</v>
      </c>
      <c r="E663" s="1">
        <v>0.1</v>
      </c>
      <c r="F663" s="1" t="b">
        <v>0</v>
      </c>
      <c r="G663">
        <f>VLOOKUP(C663,Products!A:D,4,FALSE)</f>
        <v>1240</v>
      </c>
      <c r="H663" t="str">
        <f>VLOOKUP(C663,Products!A:D,3,FALSE)</f>
        <v>Apparel</v>
      </c>
      <c r="I663">
        <f t="shared" si="10"/>
        <v>4464</v>
      </c>
      <c r="J663" s="2">
        <f>VLOOKUP(B663,Orders!A:C,3,FALSE)</f>
        <v>45870</v>
      </c>
      <c r="K663" s="1" t="str">
        <f>VLOOKUP(B663,Orders!A:B,2,FALSE)</f>
        <v>C0278</v>
      </c>
    </row>
    <row r="664" spans="1:11" x14ac:dyDescent="0.3">
      <c r="A664" s="1" t="s">
        <v>2229</v>
      </c>
      <c r="B664" s="1" t="s">
        <v>2230</v>
      </c>
      <c r="C664" s="1" t="s">
        <v>1209</v>
      </c>
      <c r="D664" s="1">
        <v>5</v>
      </c>
      <c r="E664" s="1">
        <v>0</v>
      </c>
      <c r="F664" s="1" t="b">
        <v>0</v>
      </c>
      <c r="G664">
        <f>VLOOKUP(C664,Products!A:D,4,FALSE)</f>
        <v>1580</v>
      </c>
      <c r="H664" t="str">
        <f>VLOOKUP(C664,Products!A:D,3,FALSE)</f>
        <v>Apparel</v>
      </c>
      <c r="I664">
        <f t="shared" si="10"/>
        <v>7900</v>
      </c>
      <c r="J664" s="2">
        <f>VLOOKUP(B664,Orders!A:C,3,FALSE)</f>
        <v>46072</v>
      </c>
      <c r="K664" s="1" t="str">
        <f>VLOOKUP(B664,Orders!A:B,2,FALSE)</f>
        <v>C0242</v>
      </c>
    </row>
    <row r="665" spans="1:11" x14ac:dyDescent="0.3">
      <c r="A665" s="1" t="s">
        <v>2231</v>
      </c>
      <c r="B665" s="1" t="s">
        <v>2232</v>
      </c>
      <c r="C665" s="1" t="s">
        <v>1209</v>
      </c>
      <c r="D665" s="1">
        <v>5</v>
      </c>
      <c r="E665" s="1">
        <v>0</v>
      </c>
      <c r="F665" s="1" t="b">
        <v>0</v>
      </c>
      <c r="G665">
        <f>VLOOKUP(C665,Products!A:D,4,FALSE)</f>
        <v>1580</v>
      </c>
      <c r="H665" t="str">
        <f>VLOOKUP(C665,Products!A:D,3,FALSE)</f>
        <v>Apparel</v>
      </c>
      <c r="I665">
        <f t="shared" si="10"/>
        <v>7900</v>
      </c>
      <c r="J665" s="2">
        <f>VLOOKUP(B665,Orders!A:C,3,FALSE)</f>
        <v>45819</v>
      </c>
      <c r="K665" s="1" t="str">
        <f>VLOOKUP(B665,Orders!A:B,2,FALSE)</f>
        <v>C0093</v>
      </c>
    </row>
    <row r="666" spans="1:11" x14ac:dyDescent="0.3">
      <c r="A666" s="1" t="s">
        <v>2233</v>
      </c>
      <c r="B666" s="1" t="s">
        <v>2234</v>
      </c>
      <c r="C666" s="1" t="s">
        <v>1459</v>
      </c>
      <c r="D666" s="1">
        <v>1</v>
      </c>
      <c r="E666" s="1">
        <v>0.2</v>
      </c>
      <c r="F666" s="1" t="b">
        <v>0</v>
      </c>
      <c r="G666">
        <f>VLOOKUP(C666,Products!A:D,4,FALSE)</f>
        <v>710</v>
      </c>
      <c r="H666" t="str">
        <f>VLOOKUP(C666,Products!A:D,3,FALSE)</f>
        <v>Sports</v>
      </c>
      <c r="I666">
        <f t="shared" si="10"/>
        <v>568</v>
      </c>
      <c r="J666" s="2">
        <f>VLOOKUP(B666,Orders!A:C,3,FALSE)</f>
        <v>45792</v>
      </c>
      <c r="K666" s="1" t="str">
        <f>VLOOKUP(B666,Orders!A:B,2,FALSE)</f>
        <v>C0192</v>
      </c>
    </row>
    <row r="667" spans="1:11" x14ac:dyDescent="0.3">
      <c r="A667" s="1" t="s">
        <v>2235</v>
      </c>
      <c r="B667" s="1" t="s">
        <v>2234</v>
      </c>
      <c r="C667" s="1" t="s">
        <v>1160</v>
      </c>
      <c r="D667" s="1">
        <v>2</v>
      </c>
      <c r="E667" s="1">
        <v>0</v>
      </c>
      <c r="F667" s="1" t="b">
        <v>0</v>
      </c>
      <c r="G667">
        <f>VLOOKUP(C667,Products!A:D,4,FALSE)</f>
        <v>1710</v>
      </c>
      <c r="H667" t="str">
        <f>VLOOKUP(C667,Products!A:D,3,FALSE)</f>
        <v>Home &amp; Kitchen</v>
      </c>
      <c r="I667">
        <f t="shared" si="10"/>
        <v>3420</v>
      </c>
      <c r="J667" s="2">
        <f>VLOOKUP(B667,Orders!A:C,3,FALSE)</f>
        <v>45792</v>
      </c>
      <c r="K667" s="1" t="str">
        <f>VLOOKUP(B667,Orders!A:B,2,FALSE)</f>
        <v>C0192</v>
      </c>
    </row>
    <row r="668" spans="1:11" x14ac:dyDescent="0.3">
      <c r="A668" s="1" t="s">
        <v>2236</v>
      </c>
      <c r="B668" s="1" t="s">
        <v>2237</v>
      </c>
      <c r="C668" s="1" t="s">
        <v>1123</v>
      </c>
      <c r="D668" s="1">
        <v>4</v>
      </c>
      <c r="E668" s="1">
        <v>0.15</v>
      </c>
      <c r="F668" s="1" t="b">
        <v>0</v>
      </c>
      <c r="G668">
        <f>VLOOKUP(C668,Products!A:D,4,FALSE)</f>
        <v>2200</v>
      </c>
      <c r="H668" t="str">
        <f>VLOOKUP(C668,Products!A:D,3,FALSE)</f>
        <v>Electronics</v>
      </c>
      <c r="I668">
        <f t="shared" si="10"/>
        <v>7480</v>
      </c>
      <c r="J668" s="2">
        <f>VLOOKUP(B668,Orders!A:C,3,FALSE)</f>
        <v>46238</v>
      </c>
      <c r="K668" s="1" t="str">
        <f>VLOOKUP(B668,Orders!A:B,2,FALSE)</f>
        <v>C0230</v>
      </c>
    </row>
    <row r="669" spans="1:11" x14ac:dyDescent="0.3">
      <c r="A669" s="1" t="s">
        <v>2238</v>
      </c>
      <c r="B669" s="1" t="s">
        <v>2237</v>
      </c>
      <c r="C669" s="1" t="s">
        <v>1160</v>
      </c>
      <c r="D669" s="1">
        <v>1</v>
      </c>
      <c r="E669" s="1">
        <v>0</v>
      </c>
      <c r="F669" s="1" t="b">
        <v>0</v>
      </c>
      <c r="G669">
        <f>VLOOKUP(C669,Products!A:D,4,FALSE)</f>
        <v>1710</v>
      </c>
      <c r="H669" t="str">
        <f>VLOOKUP(C669,Products!A:D,3,FALSE)</f>
        <v>Home &amp; Kitchen</v>
      </c>
      <c r="I669">
        <f t="shared" si="10"/>
        <v>1710</v>
      </c>
      <c r="J669" s="2">
        <f>VLOOKUP(B669,Orders!A:C,3,FALSE)</f>
        <v>46238</v>
      </c>
      <c r="K669" s="1" t="str">
        <f>VLOOKUP(B669,Orders!A:B,2,FALSE)</f>
        <v>C0230</v>
      </c>
    </row>
    <row r="670" spans="1:11" x14ac:dyDescent="0.3">
      <c r="A670" s="1" t="s">
        <v>2239</v>
      </c>
      <c r="B670" s="1" t="s">
        <v>2240</v>
      </c>
      <c r="C670" s="1" t="s">
        <v>1157</v>
      </c>
      <c r="D670" s="1">
        <v>5</v>
      </c>
      <c r="E670" s="1">
        <v>0.2</v>
      </c>
      <c r="F670" s="1" t="b">
        <v>0</v>
      </c>
      <c r="G670">
        <f>VLOOKUP(C670,Products!A:D,4,FALSE)</f>
        <v>1520</v>
      </c>
      <c r="H670" t="str">
        <f>VLOOKUP(C670,Products!A:D,3,FALSE)</f>
        <v>Books</v>
      </c>
      <c r="I670">
        <f t="shared" si="10"/>
        <v>6080</v>
      </c>
      <c r="J670" s="2">
        <f>VLOOKUP(B670,Orders!A:C,3,FALSE)</f>
        <v>46104</v>
      </c>
      <c r="K670" s="1" t="str">
        <f>VLOOKUP(B670,Orders!A:B,2,FALSE)</f>
        <v>C0193</v>
      </c>
    </row>
    <row r="671" spans="1:11" x14ac:dyDescent="0.3">
      <c r="A671" s="1" t="s">
        <v>2241</v>
      </c>
      <c r="B671" s="1" t="s">
        <v>2242</v>
      </c>
      <c r="C671" s="1" t="s">
        <v>1498</v>
      </c>
      <c r="D671" s="1">
        <v>1</v>
      </c>
      <c r="E671" s="1">
        <v>0</v>
      </c>
      <c r="F671" s="1" t="b">
        <v>0</v>
      </c>
      <c r="G671">
        <f>VLOOKUP(C671,Products!A:D,4,FALSE)</f>
        <v>1910</v>
      </c>
      <c r="H671" t="str">
        <f>VLOOKUP(C671,Products!A:D,3,FALSE)</f>
        <v>Apparel</v>
      </c>
      <c r="I671">
        <f t="shared" si="10"/>
        <v>1910</v>
      </c>
      <c r="J671" s="2">
        <f>VLOOKUP(B671,Orders!A:C,3,FALSE)</f>
        <v>46097</v>
      </c>
      <c r="K671" s="1" t="str">
        <f>VLOOKUP(B671,Orders!A:B,2,FALSE)</f>
        <v>C0069</v>
      </c>
    </row>
    <row r="672" spans="1:11" x14ac:dyDescent="0.3">
      <c r="A672" s="1" t="s">
        <v>2243</v>
      </c>
      <c r="B672" s="1" t="s">
        <v>2244</v>
      </c>
      <c r="C672" s="1" t="s">
        <v>1468</v>
      </c>
      <c r="D672" s="1">
        <v>1</v>
      </c>
      <c r="E672" s="1">
        <v>0.1</v>
      </c>
      <c r="F672" s="1" t="b">
        <v>0</v>
      </c>
      <c r="G672">
        <f>VLOOKUP(C672,Products!A:D,4,FALSE)</f>
        <v>2040</v>
      </c>
      <c r="H672" t="str">
        <f>VLOOKUP(C672,Products!A:D,3,FALSE)</f>
        <v>Books</v>
      </c>
      <c r="I672">
        <f t="shared" si="10"/>
        <v>1836</v>
      </c>
      <c r="J672" s="2">
        <f>VLOOKUP(B672,Orders!A:C,3,FALSE)</f>
        <v>46070</v>
      </c>
      <c r="K672" s="1" t="str">
        <f>VLOOKUP(B672,Orders!A:B,2,FALSE)</f>
        <v>C0061</v>
      </c>
    </row>
    <row r="673" spans="1:11" x14ac:dyDescent="0.3">
      <c r="A673" s="1" t="s">
        <v>2245</v>
      </c>
      <c r="B673" s="1" t="s">
        <v>2244</v>
      </c>
      <c r="C673" s="1" t="s">
        <v>1468</v>
      </c>
      <c r="D673" s="1">
        <v>2</v>
      </c>
      <c r="E673" s="1">
        <v>0</v>
      </c>
      <c r="F673" s="1" t="b">
        <v>0</v>
      </c>
      <c r="G673">
        <f>VLOOKUP(C673,Products!A:D,4,FALSE)</f>
        <v>2040</v>
      </c>
      <c r="H673" t="str">
        <f>VLOOKUP(C673,Products!A:D,3,FALSE)</f>
        <v>Books</v>
      </c>
      <c r="I673">
        <f t="shared" si="10"/>
        <v>4080</v>
      </c>
      <c r="J673" s="2">
        <f>VLOOKUP(B673,Orders!A:C,3,FALSE)</f>
        <v>46070</v>
      </c>
      <c r="K673" s="1" t="str">
        <f>VLOOKUP(B673,Orders!A:B,2,FALSE)</f>
        <v>C0061</v>
      </c>
    </row>
    <row r="674" spans="1:11" x14ac:dyDescent="0.3">
      <c r="A674" s="1" t="s">
        <v>2246</v>
      </c>
      <c r="B674" s="1" t="s">
        <v>2247</v>
      </c>
      <c r="C674" s="1" t="s">
        <v>1197</v>
      </c>
      <c r="D674" s="1">
        <v>3</v>
      </c>
      <c r="E674" s="1">
        <v>0.1</v>
      </c>
      <c r="F674" s="1" t="b">
        <v>0</v>
      </c>
      <c r="G674">
        <f>VLOOKUP(C674,Products!A:D,4,FALSE)</f>
        <v>2050</v>
      </c>
      <c r="H674" t="str">
        <f>VLOOKUP(C674,Products!A:D,3,FALSE)</f>
        <v>Apparel</v>
      </c>
      <c r="I674">
        <f t="shared" si="10"/>
        <v>5535</v>
      </c>
      <c r="J674" s="2">
        <f>VLOOKUP(B674,Orders!A:C,3,FALSE)</f>
        <v>46152</v>
      </c>
      <c r="K674" s="1" t="str">
        <f>VLOOKUP(B674,Orders!A:B,2,FALSE)</f>
        <v>C0202</v>
      </c>
    </row>
    <row r="675" spans="1:11" x14ac:dyDescent="0.3">
      <c r="A675" s="1" t="s">
        <v>2248</v>
      </c>
      <c r="B675" s="1" t="s">
        <v>2249</v>
      </c>
      <c r="C675" s="1" t="s">
        <v>1182</v>
      </c>
      <c r="D675" s="1">
        <v>1</v>
      </c>
      <c r="E675" s="1">
        <v>0</v>
      </c>
      <c r="F675" s="1" t="b">
        <v>0</v>
      </c>
      <c r="G675">
        <f>VLOOKUP(C675,Products!A:D,4,FALSE)</f>
        <v>790</v>
      </c>
      <c r="H675" t="str">
        <f>VLOOKUP(C675,Products!A:D,3,FALSE)</f>
        <v>Sports</v>
      </c>
      <c r="I675">
        <f t="shared" si="10"/>
        <v>790</v>
      </c>
      <c r="J675" s="2">
        <f>VLOOKUP(B675,Orders!A:C,3,FALSE)</f>
        <v>46030</v>
      </c>
      <c r="K675" s="1" t="str">
        <f>VLOOKUP(B675,Orders!A:B,2,FALSE)</f>
        <v>C0002</v>
      </c>
    </row>
    <row r="676" spans="1:11" x14ac:dyDescent="0.3">
      <c r="A676" s="1" t="s">
        <v>2250</v>
      </c>
      <c r="B676" s="1" t="s">
        <v>2251</v>
      </c>
      <c r="C676" s="1" t="s">
        <v>1278</v>
      </c>
      <c r="D676" s="1">
        <v>1</v>
      </c>
      <c r="E676" s="1">
        <v>0</v>
      </c>
      <c r="F676" s="1" t="b">
        <v>0</v>
      </c>
      <c r="G676">
        <f>VLOOKUP(C676,Products!A:D,4,FALSE)</f>
        <v>330</v>
      </c>
      <c r="H676" t="str">
        <f>VLOOKUP(C676,Products!A:D,3,FALSE)</f>
        <v>Books</v>
      </c>
      <c r="I676">
        <f t="shared" si="10"/>
        <v>330</v>
      </c>
      <c r="J676" s="2">
        <f>VLOOKUP(B676,Orders!A:C,3,FALSE)</f>
        <v>45757</v>
      </c>
      <c r="K676" s="1" t="str">
        <f>VLOOKUP(B676,Orders!A:B,2,FALSE)</f>
        <v>C0238</v>
      </c>
    </row>
    <row r="677" spans="1:11" x14ac:dyDescent="0.3">
      <c r="A677" s="1" t="s">
        <v>2252</v>
      </c>
      <c r="B677" s="1" t="s">
        <v>2253</v>
      </c>
      <c r="C677" s="1" t="s">
        <v>1267</v>
      </c>
      <c r="D677" s="1">
        <v>5</v>
      </c>
      <c r="E677" s="1">
        <v>0</v>
      </c>
      <c r="F677" s="1" t="b">
        <v>0</v>
      </c>
      <c r="G677">
        <f>VLOOKUP(C677,Products!A:D,4,FALSE)</f>
        <v>3650</v>
      </c>
      <c r="H677" t="str">
        <f>VLOOKUP(C677,Products!A:D,3,FALSE)</f>
        <v>Books</v>
      </c>
      <c r="I677">
        <f t="shared" si="10"/>
        <v>18250</v>
      </c>
      <c r="J677" s="2">
        <f>VLOOKUP(B677,Orders!A:C,3,FALSE)</f>
        <v>45998</v>
      </c>
      <c r="K677" s="1" t="str">
        <f>VLOOKUP(B677,Orders!A:B,2,FALSE)</f>
        <v>C0218</v>
      </c>
    </row>
    <row r="678" spans="1:11" x14ac:dyDescent="0.3">
      <c r="A678" s="1" t="s">
        <v>2254</v>
      </c>
      <c r="B678" s="1" t="s">
        <v>2253</v>
      </c>
      <c r="C678" s="1" t="s">
        <v>1132</v>
      </c>
      <c r="D678" s="1">
        <v>5</v>
      </c>
      <c r="E678" s="1">
        <v>0</v>
      </c>
      <c r="F678" s="1" t="b">
        <v>0</v>
      </c>
      <c r="G678">
        <f>VLOOKUP(C678,Products!A:D,4,FALSE)</f>
        <v>420</v>
      </c>
      <c r="H678" t="str">
        <f>VLOOKUP(C678,Products!A:D,3,FALSE)</f>
        <v>Beauty</v>
      </c>
      <c r="I678">
        <f t="shared" si="10"/>
        <v>2100</v>
      </c>
      <c r="J678" s="2">
        <f>VLOOKUP(B678,Orders!A:C,3,FALSE)</f>
        <v>45998</v>
      </c>
      <c r="K678" s="1" t="str">
        <f>VLOOKUP(B678,Orders!A:B,2,FALSE)</f>
        <v>C0218</v>
      </c>
    </row>
    <row r="679" spans="1:11" x14ac:dyDescent="0.3">
      <c r="A679" s="1" t="s">
        <v>2255</v>
      </c>
      <c r="B679" s="1" t="s">
        <v>2253</v>
      </c>
      <c r="C679" s="1" t="s">
        <v>1184</v>
      </c>
      <c r="D679" s="1">
        <v>3</v>
      </c>
      <c r="E679" s="1">
        <v>0</v>
      </c>
      <c r="F679" s="1" t="b">
        <v>0</v>
      </c>
      <c r="G679">
        <f>VLOOKUP(C679,Products!A:D,4,FALSE)</f>
        <v>2230</v>
      </c>
      <c r="H679" t="str">
        <f>VLOOKUP(C679,Products!A:D,3,FALSE)</f>
        <v>Sports</v>
      </c>
      <c r="I679">
        <f t="shared" si="10"/>
        <v>6690</v>
      </c>
      <c r="J679" s="2">
        <f>VLOOKUP(B679,Orders!A:C,3,FALSE)</f>
        <v>45998</v>
      </c>
      <c r="K679" s="1" t="str">
        <f>VLOOKUP(B679,Orders!A:B,2,FALSE)</f>
        <v>C0218</v>
      </c>
    </row>
    <row r="680" spans="1:11" x14ac:dyDescent="0.3">
      <c r="A680" s="1" t="s">
        <v>2256</v>
      </c>
      <c r="B680" s="1" t="s">
        <v>2253</v>
      </c>
      <c r="C680" s="1" t="s">
        <v>1459</v>
      </c>
      <c r="D680" s="1">
        <v>3</v>
      </c>
      <c r="E680" s="1">
        <v>0.1</v>
      </c>
      <c r="F680" s="1" t="b">
        <v>0</v>
      </c>
      <c r="G680">
        <f>VLOOKUP(C680,Products!A:D,4,FALSE)</f>
        <v>710</v>
      </c>
      <c r="H680" t="str">
        <f>VLOOKUP(C680,Products!A:D,3,FALSE)</f>
        <v>Sports</v>
      </c>
      <c r="I680">
        <f t="shared" si="10"/>
        <v>1917</v>
      </c>
      <c r="J680" s="2">
        <f>VLOOKUP(B680,Orders!A:C,3,FALSE)</f>
        <v>45998</v>
      </c>
      <c r="K680" s="1" t="str">
        <f>VLOOKUP(B680,Orders!A:B,2,FALSE)</f>
        <v>C0218</v>
      </c>
    </row>
    <row r="681" spans="1:11" x14ac:dyDescent="0.3">
      <c r="A681" s="1" t="s">
        <v>2257</v>
      </c>
      <c r="B681" s="1" t="s">
        <v>2258</v>
      </c>
      <c r="C681" s="1" t="s">
        <v>1111</v>
      </c>
      <c r="D681" s="1">
        <v>3</v>
      </c>
      <c r="E681" s="1">
        <v>0.1</v>
      </c>
      <c r="F681" s="1" t="b">
        <v>0</v>
      </c>
      <c r="G681">
        <f>VLOOKUP(C681,Products!A:D,4,FALSE)</f>
        <v>2450</v>
      </c>
      <c r="H681" t="str">
        <f>VLOOKUP(C681,Products!A:D,3,FALSE)</f>
        <v>Sports</v>
      </c>
      <c r="I681">
        <f t="shared" si="10"/>
        <v>6615</v>
      </c>
      <c r="J681" s="2">
        <f>VLOOKUP(B681,Orders!A:C,3,FALSE)</f>
        <v>46074</v>
      </c>
      <c r="K681" s="1" t="str">
        <f>VLOOKUP(B681,Orders!A:B,2,FALSE)</f>
        <v>C0127</v>
      </c>
    </row>
    <row r="682" spans="1:11" x14ac:dyDescent="0.3">
      <c r="A682" s="1" t="s">
        <v>2259</v>
      </c>
      <c r="B682" s="1" t="s">
        <v>2260</v>
      </c>
      <c r="C682" s="1" t="s">
        <v>1418</v>
      </c>
      <c r="D682" s="1">
        <v>4</v>
      </c>
      <c r="E682" s="1">
        <v>0</v>
      </c>
      <c r="F682" s="1" t="b">
        <v>0</v>
      </c>
      <c r="G682">
        <f>VLOOKUP(C682,Products!A:D,4,FALSE)</f>
        <v>1030</v>
      </c>
      <c r="H682" t="str">
        <f>VLOOKUP(C682,Products!A:D,3,FALSE)</f>
        <v>Beauty</v>
      </c>
      <c r="I682">
        <f t="shared" si="10"/>
        <v>4120</v>
      </c>
      <c r="J682" s="2">
        <f>VLOOKUP(B682,Orders!A:C,3,FALSE)</f>
        <v>46003</v>
      </c>
      <c r="K682" s="1" t="str">
        <f>VLOOKUP(B682,Orders!A:B,2,FALSE)</f>
        <v>C0080</v>
      </c>
    </row>
    <row r="683" spans="1:11" x14ac:dyDescent="0.3">
      <c r="A683" s="1" t="s">
        <v>2261</v>
      </c>
      <c r="B683" s="1" t="s">
        <v>2260</v>
      </c>
      <c r="C683" s="1" t="s">
        <v>1330</v>
      </c>
      <c r="D683" s="1">
        <v>1</v>
      </c>
      <c r="E683" s="1">
        <v>0.05</v>
      </c>
      <c r="F683" s="1" t="b">
        <v>0</v>
      </c>
      <c r="G683">
        <f>VLOOKUP(C683,Products!A:D,4,FALSE)</f>
        <v>580</v>
      </c>
      <c r="H683" t="str">
        <f>VLOOKUP(C683,Products!A:D,3,FALSE)</f>
        <v>Books</v>
      </c>
      <c r="I683">
        <f t="shared" si="10"/>
        <v>551</v>
      </c>
      <c r="J683" s="2">
        <f>VLOOKUP(B683,Orders!A:C,3,FALSE)</f>
        <v>46003</v>
      </c>
      <c r="K683" s="1" t="str">
        <f>VLOOKUP(B683,Orders!A:B,2,FALSE)</f>
        <v>C0080</v>
      </c>
    </row>
    <row r="684" spans="1:11" x14ac:dyDescent="0.3">
      <c r="A684" s="1" t="s">
        <v>2262</v>
      </c>
      <c r="B684" s="1" t="s">
        <v>2260</v>
      </c>
      <c r="C684" s="1" t="s">
        <v>1118</v>
      </c>
      <c r="D684" s="1">
        <v>1</v>
      </c>
      <c r="E684" s="1">
        <v>0.05</v>
      </c>
      <c r="F684" s="1" t="b">
        <v>0</v>
      </c>
      <c r="G684">
        <f>VLOOKUP(C684,Products!A:D,4,FALSE)</f>
        <v>5550</v>
      </c>
      <c r="H684" t="str">
        <f>VLOOKUP(C684,Products!A:D,3,FALSE)</f>
        <v>Home &amp; Kitchen</v>
      </c>
      <c r="I684">
        <f t="shared" si="10"/>
        <v>5272.5</v>
      </c>
      <c r="J684" s="2">
        <f>VLOOKUP(B684,Orders!A:C,3,FALSE)</f>
        <v>46003</v>
      </c>
      <c r="K684" s="1" t="str">
        <f>VLOOKUP(B684,Orders!A:B,2,FALSE)</f>
        <v>C0080</v>
      </c>
    </row>
    <row r="685" spans="1:11" x14ac:dyDescent="0.3">
      <c r="A685" s="1" t="s">
        <v>2263</v>
      </c>
      <c r="B685" s="1" t="s">
        <v>2264</v>
      </c>
      <c r="C685" s="1" t="s">
        <v>1140</v>
      </c>
      <c r="D685" s="1">
        <v>4</v>
      </c>
      <c r="E685" s="1">
        <v>0</v>
      </c>
      <c r="F685" s="1" t="b">
        <v>0</v>
      </c>
      <c r="G685">
        <f>VLOOKUP(C685,Products!A:D,4,FALSE)</f>
        <v>3040</v>
      </c>
      <c r="H685" t="str">
        <f>VLOOKUP(C685,Products!A:D,3,FALSE)</f>
        <v>Electronics</v>
      </c>
      <c r="I685">
        <f t="shared" si="10"/>
        <v>12160</v>
      </c>
      <c r="J685" s="2">
        <f>VLOOKUP(B685,Orders!A:C,3,FALSE)</f>
        <v>46273</v>
      </c>
      <c r="K685" s="1" t="str">
        <f>VLOOKUP(B685,Orders!A:B,2,FALSE)</f>
        <v>C0017</v>
      </c>
    </row>
    <row r="686" spans="1:11" x14ac:dyDescent="0.3">
      <c r="A686" s="1" t="s">
        <v>2265</v>
      </c>
      <c r="B686" s="1" t="s">
        <v>2266</v>
      </c>
      <c r="C686" s="1" t="s">
        <v>1320</v>
      </c>
      <c r="D686" s="1">
        <v>4</v>
      </c>
      <c r="E686" s="1">
        <v>0.1</v>
      </c>
      <c r="F686" s="1" t="b">
        <v>0</v>
      </c>
      <c r="G686">
        <f>VLOOKUP(C686,Products!A:D,4,FALSE)</f>
        <v>2790</v>
      </c>
      <c r="H686" t="str">
        <f>VLOOKUP(C686,Products!A:D,3,FALSE)</f>
        <v>Electronics</v>
      </c>
      <c r="I686">
        <f t="shared" si="10"/>
        <v>10044</v>
      </c>
      <c r="J686" s="2">
        <f>VLOOKUP(B686,Orders!A:C,3,FALSE)</f>
        <v>46225</v>
      </c>
      <c r="K686" s="1" t="str">
        <f>VLOOKUP(B686,Orders!A:B,2,FALSE)</f>
        <v>C0009</v>
      </c>
    </row>
    <row r="687" spans="1:11" x14ac:dyDescent="0.3">
      <c r="A687" s="1" t="s">
        <v>2267</v>
      </c>
      <c r="B687" s="1" t="s">
        <v>2266</v>
      </c>
      <c r="C687" s="1" t="s">
        <v>1204</v>
      </c>
      <c r="D687" s="1">
        <v>3</v>
      </c>
      <c r="E687" s="1">
        <v>0</v>
      </c>
      <c r="F687" s="1" t="b">
        <v>0</v>
      </c>
      <c r="G687">
        <f>VLOOKUP(C687,Products!A:D,4,FALSE)</f>
        <v>940</v>
      </c>
      <c r="H687" t="str">
        <f>VLOOKUP(C687,Products!A:D,3,FALSE)</f>
        <v>Apparel</v>
      </c>
      <c r="I687">
        <f t="shared" si="10"/>
        <v>2820</v>
      </c>
      <c r="J687" s="2">
        <f>VLOOKUP(B687,Orders!A:C,3,FALSE)</f>
        <v>46225</v>
      </c>
      <c r="K687" s="1" t="str">
        <f>VLOOKUP(B687,Orders!A:B,2,FALSE)</f>
        <v>C0009</v>
      </c>
    </row>
    <row r="688" spans="1:11" x14ac:dyDescent="0.3">
      <c r="A688" s="1" t="s">
        <v>2268</v>
      </c>
      <c r="B688" s="1" t="s">
        <v>2269</v>
      </c>
      <c r="C688" s="1" t="s">
        <v>1143</v>
      </c>
      <c r="D688" s="1">
        <v>1</v>
      </c>
      <c r="E688" s="1">
        <v>0.2</v>
      </c>
      <c r="F688" s="1" t="b">
        <v>0</v>
      </c>
      <c r="G688">
        <f>VLOOKUP(C688,Products!A:D,4,FALSE)</f>
        <v>2230</v>
      </c>
      <c r="H688" t="str">
        <f>VLOOKUP(C688,Products!A:D,3,FALSE)</f>
        <v>Home &amp; Kitchen</v>
      </c>
      <c r="I688">
        <f t="shared" si="10"/>
        <v>1784</v>
      </c>
      <c r="J688" s="2">
        <f>VLOOKUP(B688,Orders!A:C,3,FALSE)</f>
        <v>46210</v>
      </c>
      <c r="K688" s="1" t="str">
        <f>VLOOKUP(B688,Orders!A:B,2,FALSE)</f>
        <v>C0052</v>
      </c>
    </row>
    <row r="689" spans="1:11" x14ac:dyDescent="0.3">
      <c r="A689" s="1" t="s">
        <v>2270</v>
      </c>
      <c r="B689" s="1" t="s">
        <v>2269</v>
      </c>
      <c r="C689" s="1" t="s">
        <v>1498</v>
      </c>
      <c r="D689" s="1">
        <v>5</v>
      </c>
      <c r="E689" s="1">
        <v>0</v>
      </c>
      <c r="F689" s="1" t="b">
        <v>0</v>
      </c>
      <c r="G689">
        <f>VLOOKUP(C689,Products!A:D,4,FALSE)</f>
        <v>1910</v>
      </c>
      <c r="H689" t="str">
        <f>VLOOKUP(C689,Products!A:D,3,FALSE)</f>
        <v>Apparel</v>
      </c>
      <c r="I689">
        <f t="shared" si="10"/>
        <v>9550</v>
      </c>
      <c r="J689" s="2">
        <f>VLOOKUP(B689,Orders!A:C,3,FALSE)</f>
        <v>46210</v>
      </c>
      <c r="K689" s="1" t="str">
        <f>VLOOKUP(B689,Orders!A:B,2,FALSE)</f>
        <v>C0052</v>
      </c>
    </row>
    <row r="690" spans="1:11" x14ac:dyDescent="0.3">
      <c r="A690" s="1" t="s">
        <v>2271</v>
      </c>
      <c r="B690" s="1" t="s">
        <v>2269</v>
      </c>
      <c r="C690" s="1" t="s">
        <v>1216</v>
      </c>
      <c r="D690" s="1">
        <v>4</v>
      </c>
      <c r="E690" s="1">
        <v>0</v>
      </c>
      <c r="F690" s="1" t="b">
        <v>0</v>
      </c>
      <c r="G690">
        <f>VLOOKUP(C690,Products!A:D,4,FALSE)</f>
        <v>1240</v>
      </c>
      <c r="H690" t="str">
        <f>VLOOKUP(C690,Products!A:D,3,FALSE)</f>
        <v>Apparel</v>
      </c>
      <c r="I690">
        <f t="shared" si="10"/>
        <v>4960</v>
      </c>
      <c r="J690" s="2">
        <f>VLOOKUP(B690,Orders!A:C,3,FALSE)</f>
        <v>46210</v>
      </c>
      <c r="K690" s="1" t="str">
        <f>VLOOKUP(B690,Orders!A:B,2,FALSE)</f>
        <v>C0052</v>
      </c>
    </row>
    <row r="691" spans="1:11" x14ac:dyDescent="0.3">
      <c r="A691" s="1" t="s">
        <v>2272</v>
      </c>
      <c r="B691" s="1" t="s">
        <v>2273</v>
      </c>
      <c r="C691" s="1" t="s">
        <v>1498</v>
      </c>
      <c r="D691" s="1">
        <v>4</v>
      </c>
      <c r="E691" s="1">
        <v>0</v>
      </c>
      <c r="F691" s="1" t="b">
        <v>0</v>
      </c>
      <c r="G691">
        <f>VLOOKUP(C691,Products!A:D,4,FALSE)</f>
        <v>1910</v>
      </c>
      <c r="H691" t="str">
        <f>VLOOKUP(C691,Products!A:D,3,FALSE)</f>
        <v>Apparel</v>
      </c>
      <c r="I691">
        <f t="shared" si="10"/>
        <v>7640</v>
      </c>
      <c r="J691" s="2">
        <f>VLOOKUP(B691,Orders!A:C,3,FALSE)</f>
        <v>46002</v>
      </c>
      <c r="K691" s="1" t="str">
        <f>VLOOKUP(B691,Orders!A:B,2,FALSE)</f>
        <v>C0025</v>
      </c>
    </row>
    <row r="692" spans="1:11" x14ac:dyDescent="0.3">
      <c r="A692" s="1" t="s">
        <v>2274</v>
      </c>
      <c r="B692" s="1" t="s">
        <v>2275</v>
      </c>
      <c r="C692" s="1" t="s">
        <v>1459</v>
      </c>
      <c r="D692" s="1">
        <v>5</v>
      </c>
      <c r="E692" s="1">
        <v>0</v>
      </c>
      <c r="F692" s="1" t="b">
        <v>0</v>
      </c>
      <c r="G692">
        <f>VLOOKUP(C692,Products!A:D,4,FALSE)</f>
        <v>710</v>
      </c>
      <c r="H692" t="str">
        <f>VLOOKUP(C692,Products!A:D,3,FALSE)</f>
        <v>Sports</v>
      </c>
      <c r="I692">
        <f t="shared" si="10"/>
        <v>3550</v>
      </c>
      <c r="J692" s="2">
        <f>VLOOKUP(B692,Orders!A:C,3,FALSE)</f>
        <v>46273</v>
      </c>
      <c r="K692" s="1" t="str">
        <f>VLOOKUP(B692,Orders!A:B,2,FALSE)</f>
        <v>C0206</v>
      </c>
    </row>
    <row r="693" spans="1:11" x14ac:dyDescent="0.3">
      <c r="A693" s="1" t="s">
        <v>2276</v>
      </c>
      <c r="B693" s="1" t="s">
        <v>2275</v>
      </c>
      <c r="C693" s="1" t="s">
        <v>1174</v>
      </c>
      <c r="D693" s="1">
        <v>4</v>
      </c>
      <c r="E693" s="1">
        <v>0</v>
      </c>
      <c r="F693" s="1" t="b">
        <v>0</v>
      </c>
      <c r="G693">
        <f>VLOOKUP(C693,Products!A:D,4,FALSE)</f>
        <v>1250</v>
      </c>
      <c r="H693" t="str">
        <f>VLOOKUP(C693,Products!A:D,3,FALSE)</f>
        <v>Sports</v>
      </c>
      <c r="I693">
        <f t="shared" si="10"/>
        <v>5000</v>
      </c>
      <c r="J693" s="2">
        <f>VLOOKUP(B693,Orders!A:C,3,FALSE)</f>
        <v>46273</v>
      </c>
      <c r="K693" s="1" t="str">
        <f>VLOOKUP(B693,Orders!A:B,2,FALSE)</f>
        <v>C0206</v>
      </c>
    </row>
    <row r="694" spans="1:11" x14ac:dyDescent="0.3">
      <c r="A694" s="1" t="s">
        <v>2277</v>
      </c>
      <c r="B694" s="1" t="s">
        <v>2275</v>
      </c>
      <c r="C694" s="1" t="s">
        <v>1127</v>
      </c>
      <c r="D694" s="1">
        <v>3</v>
      </c>
      <c r="E694" s="1">
        <v>0.05</v>
      </c>
      <c r="F694" s="1" t="b">
        <v>0</v>
      </c>
      <c r="G694">
        <f>VLOOKUP(C694,Products!A:D,4,FALSE)</f>
        <v>1660</v>
      </c>
      <c r="H694" t="str">
        <f>VLOOKUP(C694,Products!A:D,3,FALSE)</f>
        <v>Apparel</v>
      </c>
      <c r="I694">
        <f t="shared" si="10"/>
        <v>4731</v>
      </c>
      <c r="J694" s="2">
        <f>VLOOKUP(B694,Orders!A:C,3,FALSE)</f>
        <v>46273</v>
      </c>
      <c r="K694" s="1" t="str">
        <f>VLOOKUP(B694,Orders!A:B,2,FALSE)</f>
        <v>C0206</v>
      </c>
    </row>
    <row r="695" spans="1:11" x14ac:dyDescent="0.3">
      <c r="A695" s="1" t="s">
        <v>2278</v>
      </c>
      <c r="B695" s="1" t="s">
        <v>2279</v>
      </c>
      <c r="C695" s="1" t="s">
        <v>1656</v>
      </c>
      <c r="D695" s="1">
        <v>4</v>
      </c>
      <c r="E695" s="1">
        <v>0</v>
      </c>
      <c r="F695" s="1" t="b">
        <v>0</v>
      </c>
      <c r="G695">
        <f>VLOOKUP(C695,Products!A:D,4,FALSE)</f>
        <v>1240</v>
      </c>
      <c r="H695" t="str">
        <f>VLOOKUP(C695,Products!A:D,3,FALSE)</f>
        <v>Beauty</v>
      </c>
      <c r="I695">
        <f t="shared" si="10"/>
        <v>4960</v>
      </c>
      <c r="J695" s="2">
        <f>VLOOKUP(B695,Orders!A:C,3,FALSE)</f>
        <v>46235</v>
      </c>
      <c r="K695" s="1" t="str">
        <f>VLOOKUP(B695,Orders!A:B,2,FALSE)</f>
        <v>C0112</v>
      </c>
    </row>
    <row r="696" spans="1:11" x14ac:dyDescent="0.3">
      <c r="A696" s="1" t="s">
        <v>2280</v>
      </c>
      <c r="B696" s="1" t="s">
        <v>2281</v>
      </c>
      <c r="C696" s="1" t="s">
        <v>1498</v>
      </c>
      <c r="D696" s="1">
        <v>2</v>
      </c>
      <c r="E696" s="1">
        <v>0</v>
      </c>
      <c r="F696" s="1" t="b">
        <v>0</v>
      </c>
      <c r="G696">
        <f>VLOOKUP(C696,Products!A:D,4,FALSE)</f>
        <v>1910</v>
      </c>
      <c r="H696" t="str">
        <f>VLOOKUP(C696,Products!A:D,3,FALSE)</f>
        <v>Apparel</v>
      </c>
      <c r="I696">
        <f t="shared" si="10"/>
        <v>3820</v>
      </c>
      <c r="J696" s="2">
        <f>VLOOKUP(B696,Orders!A:C,3,FALSE)</f>
        <v>45887</v>
      </c>
      <c r="K696" s="1" t="str">
        <f>VLOOKUP(B696,Orders!A:B,2,FALSE)</f>
        <v>C0072</v>
      </c>
    </row>
    <row r="697" spans="1:11" x14ac:dyDescent="0.3">
      <c r="A697" s="1" t="s">
        <v>2282</v>
      </c>
      <c r="B697" s="1" t="s">
        <v>2283</v>
      </c>
      <c r="C697" s="1" t="s">
        <v>1333</v>
      </c>
      <c r="D697" s="1">
        <v>5</v>
      </c>
      <c r="E697" s="1">
        <v>0</v>
      </c>
      <c r="F697" s="1" t="b">
        <v>0</v>
      </c>
      <c r="G697">
        <f>VLOOKUP(C697,Products!A:D,4,FALSE)</f>
        <v>1440</v>
      </c>
      <c r="H697" t="str">
        <f>VLOOKUP(C697,Products!A:D,3,FALSE)</f>
        <v>Home &amp; Kitchen</v>
      </c>
      <c r="I697">
        <f t="shared" si="10"/>
        <v>7200</v>
      </c>
      <c r="J697" s="2">
        <f>VLOOKUP(B697,Orders!A:C,3,FALSE)</f>
        <v>45855</v>
      </c>
      <c r="K697" s="1" t="str">
        <f>VLOOKUP(B697,Orders!A:B,2,FALSE)</f>
        <v>C0120</v>
      </c>
    </row>
    <row r="698" spans="1:11" x14ac:dyDescent="0.3">
      <c r="A698" s="1" t="s">
        <v>2284</v>
      </c>
      <c r="B698" s="1" t="s">
        <v>2283</v>
      </c>
      <c r="C698" s="1" t="s">
        <v>1195</v>
      </c>
      <c r="D698" s="1">
        <v>1</v>
      </c>
      <c r="E698" s="1">
        <v>0.05</v>
      </c>
      <c r="F698" s="1" t="b">
        <v>0</v>
      </c>
      <c r="G698">
        <f>VLOOKUP(C698,Products!A:D,4,FALSE)</f>
        <v>3430</v>
      </c>
      <c r="H698" t="str">
        <f>VLOOKUP(C698,Products!A:D,3,FALSE)</f>
        <v>Books</v>
      </c>
      <c r="I698">
        <f t="shared" si="10"/>
        <v>3258.5</v>
      </c>
      <c r="J698" s="2">
        <f>VLOOKUP(B698,Orders!A:C,3,FALSE)</f>
        <v>45855</v>
      </c>
      <c r="K698" s="1" t="str">
        <f>VLOOKUP(B698,Orders!A:B,2,FALSE)</f>
        <v>C0120</v>
      </c>
    </row>
    <row r="699" spans="1:11" x14ac:dyDescent="0.3">
      <c r="A699" s="1" t="s">
        <v>2285</v>
      </c>
      <c r="B699" s="1" t="s">
        <v>2286</v>
      </c>
      <c r="C699" s="1" t="s">
        <v>1199</v>
      </c>
      <c r="D699" s="1">
        <v>3</v>
      </c>
      <c r="E699" s="1">
        <v>0.1</v>
      </c>
      <c r="F699" s="1" t="b">
        <v>0</v>
      </c>
      <c r="G699">
        <f>VLOOKUP(C699,Products!A:D,4,FALSE)</f>
        <v>99</v>
      </c>
      <c r="H699" t="str">
        <f>VLOOKUP(C699,Products!A:D,3,FALSE)</f>
        <v>Electronics</v>
      </c>
      <c r="I699">
        <f t="shared" si="10"/>
        <v>267.3</v>
      </c>
      <c r="J699" s="2">
        <f>VLOOKUP(B699,Orders!A:C,3,FALSE)</f>
        <v>46050</v>
      </c>
      <c r="K699" s="1" t="str">
        <f>VLOOKUP(B699,Orders!A:B,2,FALSE)</f>
        <v>C0164</v>
      </c>
    </row>
    <row r="700" spans="1:11" x14ac:dyDescent="0.3">
      <c r="A700" s="1" t="s">
        <v>2287</v>
      </c>
      <c r="B700" s="1" t="s">
        <v>2286</v>
      </c>
      <c r="C700" s="1" t="s">
        <v>1111</v>
      </c>
      <c r="D700" s="1">
        <v>3</v>
      </c>
      <c r="E700" s="1">
        <v>0.1</v>
      </c>
      <c r="F700" s="1" t="b">
        <v>1</v>
      </c>
      <c r="G700">
        <f>VLOOKUP(C700,Products!A:D,4,FALSE)</f>
        <v>2450</v>
      </c>
      <c r="H700" t="str">
        <f>VLOOKUP(C700,Products!A:D,3,FALSE)</f>
        <v>Sports</v>
      </c>
      <c r="I700">
        <f t="shared" si="10"/>
        <v>6615</v>
      </c>
      <c r="J700" s="2">
        <f>VLOOKUP(B700,Orders!A:C,3,FALSE)</f>
        <v>46050</v>
      </c>
      <c r="K700" s="1" t="str">
        <f>VLOOKUP(B700,Orders!A:B,2,FALSE)</f>
        <v>C0164</v>
      </c>
    </row>
    <row r="701" spans="1:11" x14ac:dyDescent="0.3">
      <c r="A701" s="1" t="s">
        <v>2288</v>
      </c>
      <c r="B701" s="1" t="s">
        <v>2286</v>
      </c>
      <c r="C701" s="1" t="s">
        <v>1498</v>
      </c>
      <c r="D701" s="1">
        <v>4</v>
      </c>
      <c r="E701" s="1">
        <v>0.1</v>
      </c>
      <c r="F701" s="1" t="b">
        <v>0</v>
      </c>
      <c r="G701">
        <f>VLOOKUP(C701,Products!A:D,4,FALSE)</f>
        <v>1910</v>
      </c>
      <c r="H701" t="str">
        <f>VLOOKUP(C701,Products!A:D,3,FALSE)</f>
        <v>Apparel</v>
      </c>
      <c r="I701">
        <f t="shared" si="10"/>
        <v>6876</v>
      </c>
      <c r="J701" s="2">
        <f>VLOOKUP(B701,Orders!A:C,3,FALSE)</f>
        <v>46050</v>
      </c>
      <c r="K701" s="1" t="str">
        <f>VLOOKUP(B701,Orders!A:B,2,FALSE)</f>
        <v>C0164</v>
      </c>
    </row>
    <row r="702" spans="1:11" x14ac:dyDescent="0.3">
      <c r="A702" s="1" t="s">
        <v>2289</v>
      </c>
      <c r="B702" s="1" t="s">
        <v>2290</v>
      </c>
      <c r="C702" s="1" t="s">
        <v>1191</v>
      </c>
      <c r="D702" s="1">
        <v>2</v>
      </c>
      <c r="E702" s="1">
        <v>0.1</v>
      </c>
      <c r="F702" s="1" t="b">
        <v>0</v>
      </c>
      <c r="G702">
        <f>VLOOKUP(C702,Products!A:D,4,FALSE)</f>
        <v>99</v>
      </c>
      <c r="H702" t="str">
        <f>VLOOKUP(C702,Products!A:D,3,FALSE)</f>
        <v>Sports</v>
      </c>
      <c r="I702">
        <f t="shared" si="10"/>
        <v>178.20000000000002</v>
      </c>
      <c r="J702" s="2">
        <f>VLOOKUP(B702,Orders!A:C,3,FALSE)</f>
        <v>45763</v>
      </c>
      <c r="K702" s="1" t="str">
        <f>VLOOKUP(B702,Orders!A:B,2,FALSE)</f>
        <v>C0122</v>
      </c>
    </row>
    <row r="703" spans="1:11" x14ac:dyDescent="0.3">
      <c r="A703" s="1" t="s">
        <v>2291</v>
      </c>
      <c r="B703" s="1" t="s">
        <v>2292</v>
      </c>
      <c r="C703" s="1" t="s">
        <v>1209</v>
      </c>
      <c r="D703" s="1">
        <v>4</v>
      </c>
      <c r="E703" s="1">
        <v>0</v>
      </c>
      <c r="F703" s="1" t="b">
        <v>0</v>
      </c>
      <c r="G703">
        <f>VLOOKUP(C703,Products!A:D,4,FALSE)</f>
        <v>1580</v>
      </c>
      <c r="H703" t="str">
        <f>VLOOKUP(C703,Products!A:D,3,FALSE)</f>
        <v>Apparel</v>
      </c>
      <c r="I703">
        <f t="shared" si="10"/>
        <v>6320</v>
      </c>
      <c r="J703" s="2">
        <f>VLOOKUP(B703,Orders!A:C,3,FALSE)</f>
        <v>46171</v>
      </c>
      <c r="K703" s="1" t="str">
        <f>VLOOKUP(B703,Orders!A:B,2,FALSE)</f>
        <v>C0267</v>
      </c>
    </row>
    <row r="704" spans="1:11" x14ac:dyDescent="0.3">
      <c r="A704" s="1" t="s">
        <v>2293</v>
      </c>
      <c r="B704" s="1" t="s">
        <v>2294</v>
      </c>
      <c r="C704" s="1" t="s">
        <v>1320</v>
      </c>
      <c r="D704" s="1">
        <v>4</v>
      </c>
      <c r="E704" s="1">
        <v>0.2</v>
      </c>
      <c r="F704" s="1" t="b">
        <v>0</v>
      </c>
      <c r="G704">
        <f>VLOOKUP(C704,Products!A:D,4,FALSE)</f>
        <v>2790</v>
      </c>
      <c r="H704" t="str">
        <f>VLOOKUP(C704,Products!A:D,3,FALSE)</f>
        <v>Electronics</v>
      </c>
      <c r="I704">
        <f t="shared" ref="I704:I767" si="11">G704*D704*(1-E704)</f>
        <v>8928</v>
      </c>
      <c r="J704" s="2">
        <f>VLOOKUP(B704,Orders!A:C,3,FALSE)</f>
        <v>45996</v>
      </c>
      <c r="K704" s="1" t="str">
        <f>VLOOKUP(B704,Orders!A:B,2,FALSE)</f>
        <v>C0141</v>
      </c>
    </row>
    <row r="705" spans="1:11" x14ac:dyDescent="0.3">
      <c r="A705" s="1" t="s">
        <v>2295</v>
      </c>
      <c r="B705" s="1" t="s">
        <v>2296</v>
      </c>
      <c r="C705" s="1" t="s">
        <v>1257</v>
      </c>
      <c r="D705" s="1">
        <v>3</v>
      </c>
      <c r="E705" s="1">
        <v>0.1</v>
      </c>
      <c r="F705" s="1" t="b">
        <v>0</v>
      </c>
      <c r="G705">
        <f>VLOOKUP(C705,Products!A:D,4,FALSE)</f>
        <v>1760</v>
      </c>
      <c r="H705" t="str">
        <f>VLOOKUP(C705,Products!A:D,3,FALSE)</f>
        <v>Books</v>
      </c>
      <c r="I705">
        <f t="shared" si="11"/>
        <v>4752</v>
      </c>
      <c r="J705" s="2">
        <f>VLOOKUP(B705,Orders!A:C,3,FALSE)</f>
        <v>46030</v>
      </c>
      <c r="K705" s="1" t="str">
        <f>VLOOKUP(B705,Orders!A:B,2,FALSE)</f>
        <v>C0090</v>
      </c>
    </row>
    <row r="706" spans="1:11" x14ac:dyDescent="0.3">
      <c r="A706" s="1" t="s">
        <v>2297</v>
      </c>
      <c r="B706" s="1" t="s">
        <v>2296</v>
      </c>
      <c r="C706" s="1" t="s">
        <v>1484</v>
      </c>
      <c r="D706" s="1">
        <v>2</v>
      </c>
      <c r="E706" s="1">
        <v>0.15</v>
      </c>
      <c r="F706" s="1" t="b">
        <v>0</v>
      </c>
      <c r="G706">
        <f>VLOOKUP(C706,Products!A:D,4,FALSE)</f>
        <v>1080</v>
      </c>
      <c r="H706" t="str">
        <f>VLOOKUP(C706,Products!A:D,3,FALSE)</f>
        <v>Home &amp; Kitchen</v>
      </c>
      <c r="I706">
        <f t="shared" si="11"/>
        <v>1836</v>
      </c>
      <c r="J706" s="2">
        <f>VLOOKUP(B706,Orders!A:C,3,FALSE)</f>
        <v>46030</v>
      </c>
      <c r="K706" s="1" t="str">
        <f>VLOOKUP(B706,Orders!A:B,2,FALSE)</f>
        <v>C0090</v>
      </c>
    </row>
    <row r="707" spans="1:11" x14ac:dyDescent="0.3">
      <c r="A707" s="1" t="s">
        <v>2298</v>
      </c>
      <c r="B707" s="1" t="s">
        <v>2296</v>
      </c>
      <c r="C707" s="1" t="s">
        <v>1111</v>
      </c>
      <c r="D707" s="1">
        <v>5</v>
      </c>
      <c r="E707" s="1">
        <v>0.2</v>
      </c>
      <c r="F707" s="1" t="b">
        <v>0</v>
      </c>
      <c r="G707">
        <f>VLOOKUP(C707,Products!A:D,4,FALSE)</f>
        <v>2450</v>
      </c>
      <c r="H707" t="str">
        <f>VLOOKUP(C707,Products!A:D,3,FALSE)</f>
        <v>Sports</v>
      </c>
      <c r="I707">
        <f t="shared" si="11"/>
        <v>9800</v>
      </c>
      <c r="J707" s="2">
        <f>VLOOKUP(B707,Orders!A:C,3,FALSE)</f>
        <v>46030</v>
      </c>
      <c r="K707" s="1" t="str">
        <f>VLOOKUP(B707,Orders!A:B,2,FALSE)</f>
        <v>C0090</v>
      </c>
    </row>
    <row r="708" spans="1:11" x14ac:dyDescent="0.3">
      <c r="A708" s="1" t="s">
        <v>2299</v>
      </c>
      <c r="B708" s="1" t="s">
        <v>2296</v>
      </c>
      <c r="C708" s="1" t="s">
        <v>1135</v>
      </c>
      <c r="D708" s="1">
        <v>1</v>
      </c>
      <c r="E708" s="1">
        <v>0.1</v>
      </c>
      <c r="F708" s="1" t="b">
        <v>0</v>
      </c>
      <c r="G708">
        <f>VLOOKUP(C708,Products!A:D,4,FALSE)</f>
        <v>470</v>
      </c>
      <c r="H708" t="str">
        <f>VLOOKUP(C708,Products!A:D,3,FALSE)</f>
        <v>Apparel</v>
      </c>
      <c r="I708">
        <f t="shared" si="11"/>
        <v>423</v>
      </c>
      <c r="J708" s="2">
        <f>VLOOKUP(B708,Orders!A:C,3,FALSE)</f>
        <v>46030</v>
      </c>
      <c r="K708" s="1" t="str">
        <f>VLOOKUP(B708,Orders!A:B,2,FALSE)</f>
        <v>C0090</v>
      </c>
    </row>
    <row r="709" spans="1:11" x14ac:dyDescent="0.3">
      <c r="A709" s="1" t="s">
        <v>2300</v>
      </c>
      <c r="B709" s="1" t="s">
        <v>2301</v>
      </c>
      <c r="C709" s="1" t="s">
        <v>1276</v>
      </c>
      <c r="D709" s="1">
        <v>5</v>
      </c>
      <c r="E709" s="1">
        <v>0</v>
      </c>
      <c r="F709" s="1" t="b">
        <v>0</v>
      </c>
      <c r="G709">
        <f>VLOOKUP(C709,Products!A:D,4,FALSE)</f>
        <v>2010</v>
      </c>
      <c r="H709" t="str">
        <f>VLOOKUP(C709,Products!A:D,3,FALSE)</f>
        <v>Beauty</v>
      </c>
      <c r="I709">
        <f t="shared" si="11"/>
        <v>10050</v>
      </c>
      <c r="J709" s="2">
        <f>VLOOKUP(B709,Orders!A:C,3,FALSE)</f>
        <v>46009</v>
      </c>
      <c r="K709" s="1" t="str">
        <f>VLOOKUP(B709,Orders!A:B,2,FALSE)</f>
        <v>C0285</v>
      </c>
    </row>
    <row r="710" spans="1:11" x14ac:dyDescent="0.3">
      <c r="A710" s="1" t="s">
        <v>2302</v>
      </c>
      <c r="B710" s="1" t="s">
        <v>2301</v>
      </c>
      <c r="C710" s="1" t="s">
        <v>1182</v>
      </c>
      <c r="D710" s="1">
        <v>2</v>
      </c>
      <c r="E710" s="1">
        <v>0</v>
      </c>
      <c r="F710" s="1" t="b">
        <v>0</v>
      </c>
      <c r="G710">
        <f>VLOOKUP(C710,Products!A:D,4,FALSE)</f>
        <v>790</v>
      </c>
      <c r="H710" t="str">
        <f>VLOOKUP(C710,Products!A:D,3,FALSE)</f>
        <v>Sports</v>
      </c>
      <c r="I710">
        <f t="shared" si="11"/>
        <v>1580</v>
      </c>
      <c r="J710" s="2">
        <f>VLOOKUP(B710,Orders!A:C,3,FALSE)</f>
        <v>46009</v>
      </c>
      <c r="K710" s="1" t="str">
        <f>VLOOKUP(B710,Orders!A:B,2,FALSE)</f>
        <v>C0285</v>
      </c>
    </row>
    <row r="711" spans="1:11" x14ac:dyDescent="0.3">
      <c r="A711" s="1" t="s">
        <v>2303</v>
      </c>
      <c r="B711" s="1" t="s">
        <v>2304</v>
      </c>
      <c r="C711" s="1" t="s">
        <v>1656</v>
      </c>
      <c r="D711" s="1">
        <v>5</v>
      </c>
      <c r="E711" s="1">
        <v>0</v>
      </c>
      <c r="F711" s="1" t="b">
        <v>0</v>
      </c>
      <c r="G711">
        <f>VLOOKUP(C711,Products!A:D,4,FALSE)</f>
        <v>1240</v>
      </c>
      <c r="H711" t="str">
        <f>VLOOKUP(C711,Products!A:D,3,FALSE)</f>
        <v>Beauty</v>
      </c>
      <c r="I711">
        <f t="shared" si="11"/>
        <v>6200</v>
      </c>
      <c r="J711" s="2">
        <f>VLOOKUP(B711,Orders!A:C,3,FALSE)</f>
        <v>45949</v>
      </c>
      <c r="K711" s="1" t="str">
        <f>VLOOKUP(B711,Orders!A:B,2,FALSE)</f>
        <v>C0196</v>
      </c>
    </row>
    <row r="712" spans="1:11" x14ac:dyDescent="0.3">
      <c r="A712" s="1" t="s">
        <v>2305</v>
      </c>
      <c r="B712" s="1" t="s">
        <v>2304</v>
      </c>
      <c r="C712" s="1" t="s">
        <v>1391</v>
      </c>
      <c r="D712" s="1">
        <v>4</v>
      </c>
      <c r="E712" s="1">
        <v>0</v>
      </c>
      <c r="F712" s="1" t="b">
        <v>0</v>
      </c>
      <c r="G712">
        <f>VLOOKUP(C712,Products!A:D,4,FALSE)</f>
        <v>1900</v>
      </c>
      <c r="H712" t="str">
        <f>VLOOKUP(C712,Products!A:D,3,FALSE)</f>
        <v>Beauty</v>
      </c>
      <c r="I712">
        <f t="shared" si="11"/>
        <v>7600</v>
      </c>
      <c r="J712" s="2">
        <f>VLOOKUP(B712,Orders!A:C,3,FALSE)</f>
        <v>45949</v>
      </c>
      <c r="K712" s="1" t="str">
        <f>VLOOKUP(B712,Orders!A:B,2,FALSE)</f>
        <v>C0196</v>
      </c>
    </row>
    <row r="713" spans="1:11" x14ac:dyDescent="0.3">
      <c r="A713" s="1" t="s">
        <v>2306</v>
      </c>
      <c r="B713" s="1" t="s">
        <v>2304</v>
      </c>
      <c r="C713" s="1" t="s">
        <v>1273</v>
      </c>
      <c r="D713" s="1">
        <v>1</v>
      </c>
      <c r="E713" s="1">
        <v>0</v>
      </c>
      <c r="F713" s="1" t="b">
        <v>0</v>
      </c>
      <c r="G713">
        <f>VLOOKUP(C713,Products!A:D,4,FALSE)</f>
        <v>360</v>
      </c>
      <c r="H713" t="str">
        <f>VLOOKUP(C713,Products!A:D,3,FALSE)</f>
        <v>Beauty</v>
      </c>
      <c r="I713">
        <f t="shared" si="11"/>
        <v>360</v>
      </c>
      <c r="J713" s="2">
        <f>VLOOKUP(B713,Orders!A:C,3,FALSE)</f>
        <v>45949</v>
      </c>
      <c r="K713" s="1" t="str">
        <f>VLOOKUP(B713,Orders!A:B,2,FALSE)</f>
        <v>C0196</v>
      </c>
    </row>
    <row r="714" spans="1:11" x14ac:dyDescent="0.3">
      <c r="A714" s="1" t="s">
        <v>2307</v>
      </c>
      <c r="B714" s="1" t="s">
        <v>2304</v>
      </c>
      <c r="C714" s="1" t="s">
        <v>1171</v>
      </c>
      <c r="D714" s="1">
        <v>2</v>
      </c>
      <c r="E714" s="1">
        <v>0.1</v>
      </c>
      <c r="F714" s="1" t="b">
        <v>0</v>
      </c>
      <c r="G714">
        <f>VLOOKUP(C714,Products!A:D,4,FALSE)</f>
        <v>2250</v>
      </c>
      <c r="H714" t="str">
        <f>VLOOKUP(C714,Products!A:D,3,FALSE)</f>
        <v>Home &amp; Kitchen</v>
      </c>
      <c r="I714">
        <f t="shared" si="11"/>
        <v>4050</v>
      </c>
      <c r="J714" s="2">
        <f>VLOOKUP(B714,Orders!A:C,3,FALSE)</f>
        <v>45949</v>
      </c>
      <c r="K714" s="1" t="str">
        <f>VLOOKUP(B714,Orders!A:B,2,FALSE)</f>
        <v>C0196</v>
      </c>
    </row>
    <row r="715" spans="1:11" x14ac:dyDescent="0.3">
      <c r="A715" s="1" t="s">
        <v>2308</v>
      </c>
      <c r="B715" s="1" t="s">
        <v>2309</v>
      </c>
      <c r="C715" s="1" t="s">
        <v>1130</v>
      </c>
      <c r="D715" s="1">
        <v>2</v>
      </c>
      <c r="E715" s="1">
        <v>0.15</v>
      </c>
      <c r="F715" s="1" t="b">
        <v>0</v>
      </c>
      <c r="G715">
        <f>VLOOKUP(C715,Products!A:D,4,FALSE)</f>
        <v>2400</v>
      </c>
      <c r="H715" t="str">
        <f>VLOOKUP(C715,Products!A:D,3,FALSE)</f>
        <v>Electronics</v>
      </c>
      <c r="I715">
        <f t="shared" si="11"/>
        <v>4080</v>
      </c>
      <c r="J715" s="2">
        <f>VLOOKUP(B715,Orders!A:C,3,FALSE)</f>
        <v>46110</v>
      </c>
      <c r="K715" s="1" t="str">
        <f>VLOOKUP(B715,Orders!A:B,2,FALSE)</f>
        <v>C0214</v>
      </c>
    </row>
    <row r="716" spans="1:11" x14ac:dyDescent="0.3">
      <c r="A716" s="1" t="s">
        <v>2310</v>
      </c>
      <c r="B716" s="1" t="s">
        <v>2309</v>
      </c>
      <c r="C716" s="1" t="s">
        <v>1433</v>
      </c>
      <c r="D716" s="1">
        <v>4</v>
      </c>
      <c r="E716" s="1">
        <v>0.1</v>
      </c>
      <c r="F716" s="1" t="b">
        <v>0</v>
      </c>
      <c r="G716">
        <f>VLOOKUP(C716,Products!A:D,4,FALSE)</f>
        <v>110</v>
      </c>
      <c r="H716" t="str">
        <f>VLOOKUP(C716,Products!A:D,3,FALSE)</f>
        <v>Home &amp; Kitchen</v>
      </c>
      <c r="I716">
        <f t="shared" si="11"/>
        <v>396</v>
      </c>
      <c r="J716" s="2">
        <f>VLOOKUP(B716,Orders!A:C,3,FALSE)</f>
        <v>46110</v>
      </c>
      <c r="K716" s="1" t="str">
        <f>VLOOKUP(B716,Orders!A:B,2,FALSE)</f>
        <v>C0214</v>
      </c>
    </row>
    <row r="717" spans="1:11" x14ac:dyDescent="0.3">
      <c r="A717" s="1" t="s">
        <v>2311</v>
      </c>
      <c r="B717" s="1" t="s">
        <v>2309</v>
      </c>
      <c r="C717" s="1" t="s">
        <v>1307</v>
      </c>
      <c r="D717" s="1">
        <v>4</v>
      </c>
      <c r="E717" s="1">
        <v>0.1</v>
      </c>
      <c r="F717" s="1" t="b">
        <v>0</v>
      </c>
      <c r="G717">
        <f>VLOOKUP(C717,Products!A:D,4,FALSE)</f>
        <v>99</v>
      </c>
      <c r="H717" t="str">
        <f>VLOOKUP(C717,Products!A:D,3,FALSE)</f>
        <v>Sports</v>
      </c>
      <c r="I717">
        <f t="shared" si="11"/>
        <v>356.40000000000003</v>
      </c>
      <c r="J717" s="2">
        <f>VLOOKUP(B717,Orders!A:C,3,FALSE)</f>
        <v>46110</v>
      </c>
      <c r="K717" s="1" t="str">
        <f>VLOOKUP(B717,Orders!A:B,2,FALSE)</f>
        <v>C0214</v>
      </c>
    </row>
    <row r="718" spans="1:11" x14ac:dyDescent="0.3">
      <c r="A718" s="1" t="s">
        <v>2312</v>
      </c>
      <c r="B718" s="1" t="s">
        <v>2313</v>
      </c>
      <c r="C718" s="1" t="s">
        <v>1644</v>
      </c>
      <c r="D718" s="1">
        <v>2</v>
      </c>
      <c r="E718" s="1">
        <v>0.15</v>
      </c>
      <c r="F718" s="1" t="b">
        <v>0</v>
      </c>
      <c r="G718">
        <f>VLOOKUP(C718,Products!A:D,4,FALSE)</f>
        <v>1930</v>
      </c>
      <c r="H718" t="str">
        <f>VLOOKUP(C718,Products!A:D,3,FALSE)</f>
        <v>Home &amp; Kitchen</v>
      </c>
      <c r="I718">
        <f t="shared" si="11"/>
        <v>3281</v>
      </c>
      <c r="J718" s="2">
        <f>VLOOKUP(B718,Orders!A:C,3,FALSE)</f>
        <v>45829</v>
      </c>
      <c r="K718" s="1" t="str">
        <f>VLOOKUP(B718,Orders!A:B,2,FALSE)</f>
        <v>C0193</v>
      </c>
    </row>
    <row r="719" spans="1:11" x14ac:dyDescent="0.3">
      <c r="A719" s="1" t="s">
        <v>2314</v>
      </c>
      <c r="B719" s="1" t="s">
        <v>2313</v>
      </c>
      <c r="C719" s="1" t="s">
        <v>1225</v>
      </c>
      <c r="D719" s="1">
        <v>3</v>
      </c>
      <c r="E719" s="1">
        <v>0.1</v>
      </c>
      <c r="F719" s="1" t="b">
        <v>0</v>
      </c>
      <c r="G719">
        <f>VLOOKUP(C719,Products!A:D,4,FALSE)</f>
        <v>2690</v>
      </c>
      <c r="H719" t="str">
        <f>VLOOKUP(C719,Products!A:D,3,FALSE)</f>
        <v>Beauty</v>
      </c>
      <c r="I719">
        <f t="shared" si="11"/>
        <v>7263</v>
      </c>
      <c r="J719" s="2">
        <f>VLOOKUP(B719,Orders!A:C,3,FALSE)</f>
        <v>45829</v>
      </c>
      <c r="K719" s="1" t="str">
        <f>VLOOKUP(B719,Orders!A:B,2,FALSE)</f>
        <v>C0193</v>
      </c>
    </row>
    <row r="720" spans="1:11" x14ac:dyDescent="0.3">
      <c r="A720" s="1" t="s">
        <v>2315</v>
      </c>
      <c r="B720" s="1" t="s">
        <v>2316</v>
      </c>
      <c r="C720" s="1" t="s">
        <v>1294</v>
      </c>
      <c r="D720" s="1">
        <v>4</v>
      </c>
      <c r="E720" s="1">
        <v>0.15</v>
      </c>
      <c r="F720" s="1" t="b">
        <v>0</v>
      </c>
      <c r="G720">
        <f>VLOOKUP(C720,Products!A:D,4,FALSE)</f>
        <v>210</v>
      </c>
      <c r="H720" t="str">
        <f>VLOOKUP(C720,Products!A:D,3,FALSE)</f>
        <v>Electronics</v>
      </c>
      <c r="I720">
        <f t="shared" si="11"/>
        <v>714</v>
      </c>
      <c r="J720" s="2">
        <f>VLOOKUP(B720,Orders!A:C,3,FALSE)</f>
        <v>46269</v>
      </c>
      <c r="K720" s="1" t="str">
        <f>VLOOKUP(B720,Orders!A:B,2,FALSE)</f>
        <v>C0276</v>
      </c>
    </row>
    <row r="721" spans="1:11" x14ac:dyDescent="0.3">
      <c r="A721" s="1" t="s">
        <v>2317</v>
      </c>
      <c r="B721" s="1" t="s">
        <v>2316</v>
      </c>
      <c r="C721" s="1" t="s">
        <v>1152</v>
      </c>
      <c r="D721" s="1">
        <v>1</v>
      </c>
      <c r="E721" s="1">
        <v>0.1</v>
      </c>
      <c r="F721" s="1" t="b">
        <v>0</v>
      </c>
      <c r="G721">
        <f>VLOOKUP(C721,Products!A:D,4,FALSE)</f>
        <v>2250</v>
      </c>
      <c r="H721" t="str">
        <f>VLOOKUP(C721,Products!A:D,3,FALSE)</f>
        <v>Home &amp; Kitchen</v>
      </c>
      <c r="I721">
        <f t="shared" si="11"/>
        <v>2025</v>
      </c>
      <c r="J721" s="2">
        <f>VLOOKUP(B721,Orders!A:C,3,FALSE)</f>
        <v>46269</v>
      </c>
      <c r="K721" s="1" t="str">
        <f>VLOOKUP(B721,Orders!A:B,2,FALSE)</f>
        <v>C0276</v>
      </c>
    </row>
    <row r="722" spans="1:11" x14ac:dyDescent="0.3">
      <c r="A722" s="1" t="s">
        <v>2318</v>
      </c>
      <c r="B722" s="1" t="s">
        <v>2319</v>
      </c>
      <c r="C722" s="1" t="s">
        <v>1195</v>
      </c>
      <c r="D722" s="1">
        <v>4</v>
      </c>
      <c r="E722" s="1">
        <v>0.2</v>
      </c>
      <c r="F722" s="1" t="b">
        <v>0</v>
      </c>
      <c r="G722">
        <f>VLOOKUP(C722,Products!A:D,4,FALSE)</f>
        <v>3430</v>
      </c>
      <c r="H722" t="str">
        <f>VLOOKUP(C722,Products!A:D,3,FALSE)</f>
        <v>Books</v>
      </c>
      <c r="I722">
        <f t="shared" si="11"/>
        <v>10976</v>
      </c>
      <c r="J722" s="2">
        <f>VLOOKUP(B722,Orders!A:C,3,FALSE)</f>
        <v>46116</v>
      </c>
      <c r="K722" s="1" t="str">
        <f>VLOOKUP(B722,Orders!A:B,2,FALSE)</f>
        <v>C0154</v>
      </c>
    </row>
    <row r="723" spans="1:11" x14ac:dyDescent="0.3">
      <c r="A723" s="1" t="s">
        <v>2320</v>
      </c>
      <c r="B723" s="1" t="s">
        <v>2321</v>
      </c>
      <c r="C723" s="1" t="s">
        <v>1307</v>
      </c>
      <c r="D723" s="1">
        <v>1</v>
      </c>
      <c r="E723" s="1">
        <v>0</v>
      </c>
      <c r="F723" s="1" t="b">
        <v>0</v>
      </c>
      <c r="G723">
        <f>VLOOKUP(C723,Products!A:D,4,FALSE)</f>
        <v>99</v>
      </c>
      <c r="H723" t="str">
        <f>VLOOKUP(C723,Products!A:D,3,FALSE)</f>
        <v>Sports</v>
      </c>
      <c r="I723">
        <f t="shared" si="11"/>
        <v>99</v>
      </c>
      <c r="J723" s="2">
        <f>VLOOKUP(B723,Orders!A:C,3,FALSE)</f>
        <v>45986</v>
      </c>
      <c r="K723" s="1" t="str">
        <f>VLOOKUP(B723,Orders!A:B,2,FALSE)</f>
        <v>C0238</v>
      </c>
    </row>
    <row r="724" spans="1:11" x14ac:dyDescent="0.3">
      <c r="A724" s="1" t="s">
        <v>2322</v>
      </c>
      <c r="B724" s="1" t="s">
        <v>2323</v>
      </c>
      <c r="C724" s="1" t="s">
        <v>1118</v>
      </c>
      <c r="D724" s="1">
        <v>1</v>
      </c>
      <c r="E724" s="1">
        <v>0.15</v>
      </c>
      <c r="F724" s="1" t="b">
        <v>0</v>
      </c>
      <c r="G724">
        <f>VLOOKUP(C724,Products!A:D,4,FALSE)</f>
        <v>5550</v>
      </c>
      <c r="H724" t="str">
        <f>VLOOKUP(C724,Products!A:D,3,FALSE)</f>
        <v>Home &amp; Kitchen</v>
      </c>
      <c r="I724">
        <f t="shared" si="11"/>
        <v>4717.5</v>
      </c>
      <c r="J724" s="2">
        <f>VLOOKUP(B724,Orders!A:C,3,FALSE)</f>
        <v>46111</v>
      </c>
      <c r="K724" s="1" t="str">
        <f>VLOOKUP(B724,Orders!A:B,2,FALSE)</f>
        <v>C0212</v>
      </c>
    </row>
    <row r="725" spans="1:11" x14ac:dyDescent="0.3">
      <c r="A725" s="1" t="s">
        <v>2324</v>
      </c>
      <c r="B725" s="1" t="s">
        <v>2323</v>
      </c>
      <c r="C725" s="1" t="s">
        <v>1267</v>
      </c>
      <c r="D725" s="1">
        <v>3</v>
      </c>
      <c r="E725" s="1">
        <v>0</v>
      </c>
      <c r="F725" s="1" t="b">
        <v>0</v>
      </c>
      <c r="G725">
        <f>VLOOKUP(C725,Products!A:D,4,FALSE)</f>
        <v>3650</v>
      </c>
      <c r="H725" t="str">
        <f>VLOOKUP(C725,Products!A:D,3,FALSE)</f>
        <v>Books</v>
      </c>
      <c r="I725">
        <f t="shared" si="11"/>
        <v>10950</v>
      </c>
      <c r="J725" s="2">
        <f>VLOOKUP(B725,Orders!A:C,3,FALSE)</f>
        <v>46111</v>
      </c>
      <c r="K725" s="1" t="str">
        <f>VLOOKUP(B725,Orders!A:B,2,FALSE)</f>
        <v>C0212</v>
      </c>
    </row>
    <row r="726" spans="1:11" x14ac:dyDescent="0.3">
      <c r="A726" s="1" t="s">
        <v>2325</v>
      </c>
      <c r="B726" s="1" t="s">
        <v>2323</v>
      </c>
      <c r="C726" s="1" t="s">
        <v>1197</v>
      </c>
      <c r="D726" s="1">
        <v>1</v>
      </c>
      <c r="E726" s="1">
        <v>0</v>
      </c>
      <c r="F726" s="1" t="b">
        <v>0</v>
      </c>
      <c r="G726">
        <f>VLOOKUP(C726,Products!A:D,4,FALSE)</f>
        <v>2050</v>
      </c>
      <c r="H726" t="str">
        <f>VLOOKUP(C726,Products!A:D,3,FALSE)</f>
        <v>Apparel</v>
      </c>
      <c r="I726">
        <f t="shared" si="11"/>
        <v>2050</v>
      </c>
      <c r="J726" s="2">
        <f>VLOOKUP(B726,Orders!A:C,3,FALSE)</f>
        <v>46111</v>
      </c>
      <c r="K726" s="1" t="str">
        <f>VLOOKUP(B726,Orders!A:B,2,FALSE)</f>
        <v>C0212</v>
      </c>
    </row>
    <row r="727" spans="1:11" x14ac:dyDescent="0.3">
      <c r="A727" s="1" t="s">
        <v>2326</v>
      </c>
      <c r="B727" s="1" t="s">
        <v>2327</v>
      </c>
      <c r="C727" s="1" t="s">
        <v>1320</v>
      </c>
      <c r="D727" s="1">
        <v>4</v>
      </c>
      <c r="E727" s="1">
        <v>0.15</v>
      </c>
      <c r="F727" s="1" t="b">
        <v>0</v>
      </c>
      <c r="G727">
        <f>VLOOKUP(C727,Products!A:D,4,FALSE)</f>
        <v>2790</v>
      </c>
      <c r="H727" t="str">
        <f>VLOOKUP(C727,Products!A:D,3,FALSE)</f>
        <v>Electronics</v>
      </c>
      <c r="I727">
        <f t="shared" si="11"/>
        <v>9486</v>
      </c>
      <c r="J727" s="2">
        <f>VLOOKUP(B727,Orders!A:C,3,FALSE)</f>
        <v>45740</v>
      </c>
      <c r="K727" s="1" t="str">
        <f>VLOOKUP(B727,Orders!A:B,2,FALSE)</f>
        <v>C0272</v>
      </c>
    </row>
    <row r="728" spans="1:11" x14ac:dyDescent="0.3">
      <c r="A728" s="1" t="s">
        <v>2328</v>
      </c>
      <c r="B728" s="1" t="s">
        <v>2329</v>
      </c>
      <c r="C728" s="1" t="s">
        <v>1247</v>
      </c>
      <c r="D728" s="1">
        <v>4</v>
      </c>
      <c r="E728" s="1">
        <v>0.05</v>
      </c>
      <c r="F728" s="1" t="b">
        <v>0</v>
      </c>
      <c r="G728">
        <f>VLOOKUP(C728,Products!A:D,4,FALSE)</f>
        <v>2210</v>
      </c>
      <c r="H728" t="str">
        <f>VLOOKUP(C728,Products!A:D,3,FALSE)</f>
        <v>Beauty</v>
      </c>
      <c r="I728">
        <f t="shared" si="11"/>
        <v>8398</v>
      </c>
      <c r="J728" s="2">
        <f>VLOOKUP(B728,Orders!A:C,3,FALSE)</f>
        <v>45849</v>
      </c>
      <c r="K728" s="1" t="str">
        <f>VLOOKUP(B728,Orders!A:B,2,FALSE)</f>
        <v>C0131</v>
      </c>
    </row>
    <row r="729" spans="1:11" x14ac:dyDescent="0.3">
      <c r="A729" s="1" t="s">
        <v>2330</v>
      </c>
      <c r="B729" s="1" t="s">
        <v>2331</v>
      </c>
      <c r="C729" s="1" t="s">
        <v>1171</v>
      </c>
      <c r="D729" s="1">
        <v>2</v>
      </c>
      <c r="E729" s="1">
        <v>0.05</v>
      </c>
      <c r="F729" s="1" t="b">
        <v>0</v>
      </c>
      <c r="G729">
        <f>VLOOKUP(C729,Products!A:D,4,FALSE)</f>
        <v>2250</v>
      </c>
      <c r="H729" t="str">
        <f>VLOOKUP(C729,Products!A:D,3,FALSE)</f>
        <v>Home &amp; Kitchen</v>
      </c>
      <c r="I729">
        <f t="shared" si="11"/>
        <v>4275</v>
      </c>
      <c r="J729" s="2">
        <f>VLOOKUP(B729,Orders!A:C,3,FALSE)</f>
        <v>46052</v>
      </c>
      <c r="K729" s="1" t="str">
        <f>VLOOKUP(B729,Orders!A:B,2,FALSE)</f>
        <v>C0231</v>
      </c>
    </row>
    <row r="730" spans="1:11" x14ac:dyDescent="0.3">
      <c r="A730" s="1" t="s">
        <v>2332</v>
      </c>
      <c r="B730" s="1" t="s">
        <v>2333</v>
      </c>
      <c r="C730" s="1" t="s">
        <v>1267</v>
      </c>
      <c r="D730" s="1">
        <v>4</v>
      </c>
      <c r="E730" s="1">
        <v>0.2</v>
      </c>
      <c r="F730" s="1" t="b">
        <v>0</v>
      </c>
      <c r="G730">
        <f>VLOOKUP(C730,Products!A:D,4,FALSE)</f>
        <v>3650</v>
      </c>
      <c r="H730" t="str">
        <f>VLOOKUP(C730,Products!A:D,3,FALSE)</f>
        <v>Books</v>
      </c>
      <c r="I730">
        <f t="shared" si="11"/>
        <v>11680</v>
      </c>
      <c r="J730" s="2">
        <f>VLOOKUP(B730,Orders!A:C,3,FALSE)</f>
        <v>45912</v>
      </c>
      <c r="K730" s="1" t="str">
        <f>VLOOKUP(B730,Orders!A:B,2,FALSE)</f>
        <v>C0275</v>
      </c>
    </row>
    <row r="731" spans="1:11" x14ac:dyDescent="0.3">
      <c r="A731" s="1" t="s">
        <v>2334</v>
      </c>
      <c r="B731" s="1" t="s">
        <v>2335</v>
      </c>
      <c r="C731" s="1" t="s">
        <v>1188</v>
      </c>
      <c r="D731" s="1">
        <v>2</v>
      </c>
      <c r="E731" s="1">
        <v>0</v>
      </c>
      <c r="F731" s="1" t="b">
        <v>0</v>
      </c>
      <c r="G731">
        <f>VLOOKUP(C731,Products!A:D,4,FALSE)</f>
        <v>2530</v>
      </c>
      <c r="H731" t="str">
        <f>VLOOKUP(C731,Products!A:D,3,FALSE)</f>
        <v>Beauty</v>
      </c>
      <c r="I731">
        <f t="shared" si="11"/>
        <v>5060</v>
      </c>
      <c r="J731" s="2">
        <f>VLOOKUP(B731,Orders!A:C,3,FALSE)</f>
        <v>46069</v>
      </c>
      <c r="K731" s="1" t="str">
        <f>VLOOKUP(B731,Orders!A:B,2,FALSE)</f>
        <v>C0027</v>
      </c>
    </row>
    <row r="732" spans="1:11" x14ac:dyDescent="0.3">
      <c r="A732" s="1" t="s">
        <v>2336</v>
      </c>
      <c r="B732" s="1" t="s">
        <v>2335</v>
      </c>
      <c r="C732" s="1" t="s">
        <v>1330</v>
      </c>
      <c r="D732" s="1">
        <v>2</v>
      </c>
      <c r="E732" s="1">
        <v>0</v>
      </c>
      <c r="F732" s="1" t="b">
        <v>0</v>
      </c>
      <c r="G732">
        <f>VLOOKUP(C732,Products!A:D,4,FALSE)</f>
        <v>580</v>
      </c>
      <c r="H732" t="str">
        <f>VLOOKUP(C732,Products!A:D,3,FALSE)</f>
        <v>Books</v>
      </c>
      <c r="I732">
        <f t="shared" si="11"/>
        <v>1160</v>
      </c>
      <c r="J732" s="2">
        <f>VLOOKUP(B732,Orders!A:C,3,FALSE)</f>
        <v>46069</v>
      </c>
      <c r="K732" s="1" t="str">
        <f>VLOOKUP(B732,Orders!A:B,2,FALSE)</f>
        <v>C0027</v>
      </c>
    </row>
    <row r="733" spans="1:11" x14ac:dyDescent="0.3">
      <c r="A733" s="1" t="s">
        <v>2337</v>
      </c>
      <c r="B733" s="1" t="s">
        <v>2335</v>
      </c>
      <c r="C733" s="1" t="s">
        <v>1111</v>
      </c>
      <c r="D733" s="1">
        <v>1</v>
      </c>
      <c r="E733" s="1">
        <v>0</v>
      </c>
      <c r="F733" s="1" t="b">
        <v>0</v>
      </c>
      <c r="G733">
        <f>VLOOKUP(C733,Products!A:D,4,FALSE)</f>
        <v>2450</v>
      </c>
      <c r="H733" t="str">
        <f>VLOOKUP(C733,Products!A:D,3,FALSE)</f>
        <v>Sports</v>
      </c>
      <c r="I733">
        <f t="shared" si="11"/>
        <v>2450</v>
      </c>
      <c r="J733" s="2">
        <f>VLOOKUP(B733,Orders!A:C,3,FALSE)</f>
        <v>46069</v>
      </c>
      <c r="K733" s="1" t="str">
        <f>VLOOKUP(B733,Orders!A:B,2,FALSE)</f>
        <v>C0027</v>
      </c>
    </row>
    <row r="734" spans="1:11" x14ac:dyDescent="0.3">
      <c r="A734" s="1" t="s">
        <v>2338</v>
      </c>
      <c r="B734" s="1" t="s">
        <v>2339</v>
      </c>
      <c r="C734" s="1" t="s">
        <v>1135</v>
      </c>
      <c r="D734" s="1">
        <v>4</v>
      </c>
      <c r="E734" s="1">
        <v>0</v>
      </c>
      <c r="F734" s="1" t="b">
        <v>0</v>
      </c>
      <c r="G734">
        <f>VLOOKUP(C734,Products!A:D,4,FALSE)</f>
        <v>470</v>
      </c>
      <c r="H734" t="str">
        <f>VLOOKUP(C734,Products!A:D,3,FALSE)</f>
        <v>Apparel</v>
      </c>
      <c r="I734">
        <f t="shared" si="11"/>
        <v>1880</v>
      </c>
      <c r="J734" s="2">
        <f>VLOOKUP(B734,Orders!A:C,3,FALSE)</f>
        <v>45876</v>
      </c>
      <c r="K734" s="1" t="str">
        <f>VLOOKUP(B734,Orders!A:B,2,FALSE)</f>
        <v>C0021</v>
      </c>
    </row>
    <row r="735" spans="1:11" x14ac:dyDescent="0.3">
      <c r="A735" s="1" t="s">
        <v>2340</v>
      </c>
      <c r="B735" s="1" t="s">
        <v>2339</v>
      </c>
      <c r="C735" s="1" t="s">
        <v>1602</v>
      </c>
      <c r="D735" s="1">
        <v>2</v>
      </c>
      <c r="E735" s="1">
        <v>0.15</v>
      </c>
      <c r="F735" s="1" t="b">
        <v>0</v>
      </c>
      <c r="G735">
        <f>VLOOKUP(C735,Products!A:D,4,FALSE)</f>
        <v>1240</v>
      </c>
      <c r="H735" t="str">
        <f>VLOOKUP(C735,Products!A:D,3,FALSE)</f>
        <v>Apparel</v>
      </c>
      <c r="I735">
        <f t="shared" si="11"/>
        <v>2108</v>
      </c>
      <c r="J735" s="2">
        <f>VLOOKUP(B735,Orders!A:C,3,FALSE)</f>
        <v>45876</v>
      </c>
      <c r="K735" s="1" t="str">
        <f>VLOOKUP(B735,Orders!A:B,2,FALSE)</f>
        <v>C0021</v>
      </c>
    </row>
    <row r="736" spans="1:11" x14ac:dyDescent="0.3">
      <c r="A736" s="1" t="s">
        <v>2341</v>
      </c>
      <c r="B736" s="1" t="s">
        <v>2342</v>
      </c>
      <c r="C736" s="1" t="s">
        <v>1123</v>
      </c>
      <c r="D736" s="1">
        <v>5</v>
      </c>
      <c r="E736" s="1">
        <v>0.05</v>
      </c>
      <c r="F736" s="1" t="b">
        <v>0</v>
      </c>
      <c r="G736">
        <f>VLOOKUP(C736,Products!A:D,4,FALSE)</f>
        <v>2200</v>
      </c>
      <c r="H736" t="str">
        <f>VLOOKUP(C736,Products!A:D,3,FALSE)</f>
        <v>Electronics</v>
      </c>
      <c r="I736">
        <f t="shared" si="11"/>
        <v>10450</v>
      </c>
      <c r="J736" s="2">
        <f>VLOOKUP(B736,Orders!A:C,3,FALSE)</f>
        <v>46034</v>
      </c>
      <c r="K736" s="1" t="str">
        <f>VLOOKUP(B736,Orders!A:B,2,FALSE)</f>
        <v>C0009</v>
      </c>
    </row>
    <row r="737" spans="1:11" x14ac:dyDescent="0.3">
      <c r="A737" s="1" t="s">
        <v>2343</v>
      </c>
      <c r="B737" s="1" t="s">
        <v>2342</v>
      </c>
      <c r="C737" s="1" t="s">
        <v>1191</v>
      </c>
      <c r="D737" s="1">
        <v>2</v>
      </c>
      <c r="E737" s="1">
        <v>0.05</v>
      </c>
      <c r="F737" s="1" t="b">
        <v>0</v>
      </c>
      <c r="G737">
        <f>VLOOKUP(C737,Products!A:D,4,FALSE)</f>
        <v>99</v>
      </c>
      <c r="H737" t="str">
        <f>VLOOKUP(C737,Products!A:D,3,FALSE)</f>
        <v>Sports</v>
      </c>
      <c r="I737">
        <f t="shared" si="11"/>
        <v>188.1</v>
      </c>
      <c r="J737" s="2">
        <f>VLOOKUP(B737,Orders!A:C,3,FALSE)</f>
        <v>46034</v>
      </c>
      <c r="K737" s="1" t="str">
        <f>VLOOKUP(B737,Orders!A:B,2,FALSE)</f>
        <v>C0009</v>
      </c>
    </row>
    <row r="738" spans="1:11" x14ac:dyDescent="0.3">
      <c r="A738" s="1" t="s">
        <v>2344</v>
      </c>
      <c r="B738" s="1" t="s">
        <v>2342</v>
      </c>
      <c r="C738" s="1" t="s">
        <v>1195</v>
      </c>
      <c r="D738" s="1">
        <v>4</v>
      </c>
      <c r="E738" s="1">
        <v>0.1</v>
      </c>
      <c r="F738" s="1" t="b">
        <v>0</v>
      </c>
      <c r="G738">
        <f>VLOOKUP(C738,Products!A:D,4,FALSE)</f>
        <v>3430</v>
      </c>
      <c r="H738" t="str">
        <f>VLOOKUP(C738,Products!A:D,3,FALSE)</f>
        <v>Books</v>
      </c>
      <c r="I738">
        <f t="shared" si="11"/>
        <v>12348</v>
      </c>
      <c r="J738" s="2">
        <f>VLOOKUP(B738,Orders!A:C,3,FALSE)</f>
        <v>46034</v>
      </c>
      <c r="K738" s="1" t="str">
        <f>VLOOKUP(B738,Orders!A:B,2,FALSE)</f>
        <v>C0009</v>
      </c>
    </row>
    <row r="739" spans="1:11" x14ac:dyDescent="0.3">
      <c r="A739" s="1" t="s">
        <v>2345</v>
      </c>
      <c r="B739" s="1" t="s">
        <v>2346</v>
      </c>
      <c r="C739" s="1" t="s">
        <v>1265</v>
      </c>
      <c r="D739" s="1">
        <v>3</v>
      </c>
      <c r="E739" s="1">
        <v>0</v>
      </c>
      <c r="F739" s="1" t="b">
        <v>0</v>
      </c>
      <c r="G739">
        <f>VLOOKUP(C739,Products!A:D,4,FALSE)</f>
        <v>99</v>
      </c>
      <c r="H739" t="str">
        <f>VLOOKUP(C739,Products!A:D,3,FALSE)</f>
        <v>Beauty</v>
      </c>
      <c r="I739">
        <f t="shared" si="11"/>
        <v>297</v>
      </c>
      <c r="J739" s="2">
        <f>VLOOKUP(B739,Orders!A:C,3,FALSE)</f>
        <v>45863</v>
      </c>
      <c r="K739" s="1" t="str">
        <f>VLOOKUP(B739,Orders!A:B,2,FALSE)</f>
        <v>C0112</v>
      </c>
    </row>
    <row r="740" spans="1:11" x14ac:dyDescent="0.3">
      <c r="A740" s="1" t="s">
        <v>2347</v>
      </c>
      <c r="B740" s="1" t="s">
        <v>2346</v>
      </c>
      <c r="C740" s="1" t="s">
        <v>1125</v>
      </c>
      <c r="D740" s="1">
        <v>4</v>
      </c>
      <c r="E740" s="1">
        <v>0.1</v>
      </c>
      <c r="F740" s="1" t="b">
        <v>0</v>
      </c>
      <c r="G740">
        <f>VLOOKUP(C740,Products!A:D,4,FALSE)</f>
        <v>99</v>
      </c>
      <c r="H740" t="str">
        <f>VLOOKUP(C740,Products!A:D,3,FALSE)</f>
        <v>Electronics</v>
      </c>
      <c r="I740">
        <f t="shared" si="11"/>
        <v>356.40000000000003</v>
      </c>
      <c r="J740" s="2">
        <f>VLOOKUP(B740,Orders!A:C,3,FALSE)</f>
        <v>45863</v>
      </c>
      <c r="K740" s="1" t="str">
        <f>VLOOKUP(B740,Orders!A:B,2,FALSE)</f>
        <v>C0112</v>
      </c>
    </row>
    <row r="741" spans="1:11" x14ac:dyDescent="0.3">
      <c r="A741" s="1" t="s">
        <v>2348</v>
      </c>
      <c r="B741" s="1" t="s">
        <v>2346</v>
      </c>
      <c r="C741" s="1" t="s">
        <v>1130</v>
      </c>
      <c r="D741" s="1">
        <v>5</v>
      </c>
      <c r="E741" s="1">
        <v>0.05</v>
      </c>
      <c r="F741" s="1" t="b">
        <v>0</v>
      </c>
      <c r="G741">
        <f>VLOOKUP(C741,Products!A:D,4,FALSE)</f>
        <v>2400</v>
      </c>
      <c r="H741" t="str">
        <f>VLOOKUP(C741,Products!A:D,3,FALSE)</f>
        <v>Electronics</v>
      </c>
      <c r="I741">
        <f t="shared" si="11"/>
        <v>11400</v>
      </c>
      <c r="J741" s="2">
        <f>VLOOKUP(B741,Orders!A:C,3,FALSE)</f>
        <v>45863</v>
      </c>
      <c r="K741" s="1" t="str">
        <f>VLOOKUP(B741,Orders!A:B,2,FALSE)</f>
        <v>C0112</v>
      </c>
    </row>
    <row r="742" spans="1:11" x14ac:dyDescent="0.3">
      <c r="A742" s="1" t="s">
        <v>2349</v>
      </c>
      <c r="B742" s="1" t="s">
        <v>2350</v>
      </c>
      <c r="C742" s="1" t="s">
        <v>1484</v>
      </c>
      <c r="D742" s="1">
        <v>5</v>
      </c>
      <c r="E742" s="1">
        <v>0</v>
      </c>
      <c r="F742" s="1" t="b">
        <v>0</v>
      </c>
      <c r="G742">
        <f>VLOOKUP(C742,Products!A:D,4,FALSE)</f>
        <v>1080</v>
      </c>
      <c r="H742" t="str">
        <f>VLOOKUP(C742,Products!A:D,3,FALSE)</f>
        <v>Home &amp; Kitchen</v>
      </c>
      <c r="I742">
        <f t="shared" si="11"/>
        <v>5400</v>
      </c>
      <c r="J742" s="2">
        <f>VLOOKUP(B742,Orders!A:C,3,FALSE)</f>
        <v>45992</v>
      </c>
      <c r="K742" s="1" t="str">
        <f>VLOOKUP(B742,Orders!A:B,2,FALSE)</f>
        <v>C0156</v>
      </c>
    </row>
    <row r="743" spans="1:11" x14ac:dyDescent="0.3">
      <c r="A743" s="1" t="s">
        <v>2351</v>
      </c>
      <c r="B743" s="1" t="s">
        <v>2350</v>
      </c>
      <c r="C743" s="1" t="s">
        <v>1290</v>
      </c>
      <c r="D743" s="1">
        <v>5</v>
      </c>
      <c r="E743" s="1">
        <v>0.1</v>
      </c>
      <c r="F743" s="1" t="b">
        <v>0</v>
      </c>
      <c r="G743">
        <f>VLOOKUP(C743,Products!A:D,4,FALSE)</f>
        <v>990</v>
      </c>
      <c r="H743" t="str">
        <f>VLOOKUP(C743,Products!A:D,3,FALSE)</f>
        <v>Books</v>
      </c>
      <c r="I743">
        <f t="shared" si="11"/>
        <v>4455</v>
      </c>
      <c r="J743" s="2">
        <f>VLOOKUP(B743,Orders!A:C,3,FALSE)</f>
        <v>45992</v>
      </c>
      <c r="K743" s="1" t="str">
        <f>VLOOKUP(B743,Orders!A:B,2,FALSE)</f>
        <v>C0156</v>
      </c>
    </row>
    <row r="744" spans="1:11" x14ac:dyDescent="0.3">
      <c r="A744" s="1" t="s">
        <v>2352</v>
      </c>
      <c r="B744" s="1" t="s">
        <v>2350</v>
      </c>
      <c r="C744" s="1" t="s">
        <v>1174</v>
      </c>
      <c r="D744" s="1">
        <v>1</v>
      </c>
      <c r="E744" s="1">
        <v>0</v>
      </c>
      <c r="F744" s="1" t="b">
        <v>0</v>
      </c>
      <c r="G744">
        <f>VLOOKUP(C744,Products!A:D,4,FALSE)</f>
        <v>1250</v>
      </c>
      <c r="H744" t="str">
        <f>VLOOKUP(C744,Products!A:D,3,FALSE)</f>
        <v>Sports</v>
      </c>
      <c r="I744">
        <f t="shared" si="11"/>
        <v>1250</v>
      </c>
      <c r="J744" s="2">
        <f>VLOOKUP(B744,Orders!A:C,3,FALSE)</f>
        <v>45992</v>
      </c>
      <c r="K744" s="1" t="str">
        <f>VLOOKUP(B744,Orders!A:B,2,FALSE)</f>
        <v>C0156</v>
      </c>
    </row>
    <row r="745" spans="1:11" x14ac:dyDescent="0.3">
      <c r="A745" s="1" t="s">
        <v>2353</v>
      </c>
      <c r="B745" s="1" t="s">
        <v>2354</v>
      </c>
      <c r="C745" s="1" t="s">
        <v>1462</v>
      </c>
      <c r="D745" s="1">
        <v>1</v>
      </c>
      <c r="E745" s="1">
        <v>0.1</v>
      </c>
      <c r="F745" s="1" t="b">
        <v>0</v>
      </c>
      <c r="G745">
        <f>VLOOKUP(C745,Products!A:D,4,FALSE)</f>
        <v>3070</v>
      </c>
      <c r="H745" t="str">
        <f>VLOOKUP(C745,Products!A:D,3,FALSE)</f>
        <v>Apparel</v>
      </c>
      <c r="I745">
        <f t="shared" si="11"/>
        <v>2763</v>
      </c>
      <c r="J745" s="2">
        <f>VLOOKUP(B745,Orders!A:C,3,FALSE)</f>
        <v>46069</v>
      </c>
      <c r="K745" s="1" t="str">
        <f>VLOOKUP(B745,Orders!A:B,2,FALSE)</f>
        <v>C0109</v>
      </c>
    </row>
    <row r="746" spans="1:11" x14ac:dyDescent="0.3">
      <c r="A746" s="1" t="s">
        <v>2355</v>
      </c>
      <c r="B746" s="1" t="s">
        <v>2354</v>
      </c>
      <c r="C746" s="1" t="s">
        <v>1209</v>
      </c>
      <c r="D746" s="1">
        <v>1</v>
      </c>
      <c r="E746" s="1">
        <v>0</v>
      </c>
      <c r="F746" s="1" t="b">
        <v>0</v>
      </c>
      <c r="G746">
        <f>VLOOKUP(C746,Products!A:D,4,FALSE)</f>
        <v>1580</v>
      </c>
      <c r="H746" t="str">
        <f>VLOOKUP(C746,Products!A:D,3,FALSE)</f>
        <v>Apparel</v>
      </c>
      <c r="I746">
        <f t="shared" si="11"/>
        <v>1580</v>
      </c>
      <c r="J746" s="2">
        <f>VLOOKUP(B746,Orders!A:C,3,FALSE)</f>
        <v>46069</v>
      </c>
      <c r="K746" s="1" t="str">
        <f>VLOOKUP(B746,Orders!A:B,2,FALSE)</f>
        <v>C0109</v>
      </c>
    </row>
    <row r="747" spans="1:11" x14ac:dyDescent="0.3">
      <c r="A747" s="1" t="s">
        <v>2356</v>
      </c>
      <c r="B747" s="1" t="s">
        <v>2357</v>
      </c>
      <c r="C747" s="1" t="s">
        <v>1116</v>
      </c>
      <c r="D747" s="1">
        <v>3</v>
      </c>
      <c r="E747" s="1">
        <v>0.05</v>
      </c>
      <c r="F747" s="1" t="b">
        <v>0</v>
      </c>
      <c r="G747">
        <f>VLOOKUP(C747,Products!A:D,4,FALSE)</f>
        <v>3000</v>
      </c>
      <c r="H747" t="str">
        <f>VLOOKUP(C747,Products!A:D,3,FALSE)</f>
        <v>Home &amp; Kitchen</v>
      </c>
      <c r="I747">
        <f t="shared" si="11"/>
        <v>8550</v>
      </c>
      <c r="J747" s="2">
        <f>VLOOKUP(B747,Orders!A:C,3,FALSE)</f>
        <v>45934</v>
      </c>
      <c r="K747" s="1" t="str">
        <f>VLOOKUP(B747,Orders!A:B,2,FALSE)</f>
        <v>C0246</v>
      </c>
    </row>
    <row r="748" spans="1:11" x14ac:dyDescent="0.3">
      <c r="A748" s="1" t="s">
        <v>2358</v>
      </c>
      <c r="B748" s="1" t="s">
        <v>2357</v>
      </c>
      <c r="C748" s="1" t="s">
        <v>1160</v>
      </c>
      <c r="D748" s="1">
        <v>1</v>
      </c>
      <c r="E748" s="1">
        <v>0.1</v>
      </c>
      <c r="F748" s="1" t="b">
        <v>0</v>
      </c>
      <c r="G748">
        <f>VLOOKUP(C748,Products!A:D,4,FALSE)</f>
        <v>1710</v>
      </c>
      <c r="H748" t="str">
        <f>VLOOKUP(C748,Products!A:D,3,FALSE)</f>
        <v>Home &amp; Kitchen</v>
      </c>
      <c r="I748">
        <f t="shared" si="11"/>
        <v>1539</v>
      </c>
      <c r="J748" s="2">
        <f>VLOOKUP(B748,Orders!A:C,3,FALSE)</f>
        <v>45934</v>
      </c>
      <c r="K748" s="1" t="str">
        <f>VLOOKUP(B748,Orders!A:B,2,FALSE)</f>
        <v>C0246</v>
      </c>
    </row>
    <row r="749" spans="1:11" x14ac:dyDescent="0.3">
      <c r="A749" s="1" t="s">
        <v>2359</v>
      </c>
      <c r="B749" s="1" t="s">
        <v>2360</v>
      </c>
      <c r="C749" s="1" t="s">
        <v>1216</v>
      </c>
      <c r="D749" s="1">
        <v>2</v>
      </c>
      <c r="E749" s="1">
        <v>0.05</v>
      </c>
      <c r="F749" s="1" t="b">
        <v>0</v>
      </c>
      <c r="G749">
        <f>VLOOKUP(C749,Products!A:D,4,FALSE)</f>
        <v>1240</v>
      </c>
      <c r="H749" t="str">
        <f>VLOOKUP(C749,Products!A:D,3,FALSE)</f>
        <v>Apparel</v>
      </c>
      <c r="I749">
        <f t="shared" si="11"/>
        <v>2356</v>
      </c>
      <c r="J749" s="2">
        <f>VLOOKUP(B749,Orders!A:C,3,FALSE)</f>
        <v>46007</v>
      </c>
      <c r="K749" s="1" t="str">
        <f>VLOOKUP(B749,Orders!A:B,2,FALSE)</f>
        <v>C0105</v>
      </c>
    </row>
    <row r="750" spans="1:11" x14ac:dyDescent="0.3">
      <c r="A750" s="1" t="s">
        <v>2361</v>
      </c>
      <c r="B750" s="1" t="s">
        <v>2360</v>
      </c>
      <c r="C750" s="1" t="s">
        <v>1393</v>
      </c>
      <c r="D750" s="1">
        <v>3</v>
      </c>
      <c r="E750" s="1">
        <v>0.15</v>
      </c>
      <c r="F750" s="1" t="b">
        <v>1</v>
      </c>
      <c r="G750">
        <f>VLOOKUP(C750,Products!A:D,4,FALSE)</f>
        <v>1520</v>
      </c>
      <c r="H750" t="str">
        <f>VLOOKUP(C750,Products!A:D,3,FALSE)</f>
        <v>Electronics</v>
      </c>
      <c r="I750">
        <f t="shared" si="11"/>
        <v>3876</v>
      </c>
      <c r="J750" s="2">
        <f>VLOOKUP(B750,Orders!A:C,3,FALSE)</f>
        <v>46007</v>
      </c>
      <c r="K750" s="1" t="str">
        <f>VLOOKUP(B750,Orders!A:B,2,FALSE)</f>
        <v>C0105</v>
      </c>
    </row>
    <row r="751" spans="1:11" x14ac:dyDescent="0.3">
      <c r="A751" s="1" t="s">
        <v>2362</v>
      </c>
      <c r="B751" s="1" t="s">
        <v>2360</v>
      </c>
      <c r="C751" s="1" t="s">
        <v>1418</v>
      </c>
      <c r="D751" s="1">
        <v>5</v>
      </c>
      <c r="E751" s="1">
        <v>0</v>
      </c>
      <c r="F751" s="1" t="b">
        <v>0</v>
      </c>
      <c r="G751">
        <f>VLOOKUP(C751,Products!A:D,4,FALSE)</f>
        <v>1030</v>
      </c>
      <c r="H751" t="str">
        <f>VLOOKUP(C751,Products!A:D,3,FALSE)</f>
        <v>Beauty</v>
      </c>
      <c r="I751">
        <f t="shared" si="11"/>
        <v>5150</v>
      </c>
      <c r="J751" s="2">
        <f>VLOOKUP(B751,Orders!A:C,3,FALSE)</f>
        <v>46007</v>
      </c>
      <c r="K751" s="1" t="str">
        <f>VLOOKUP(B751,Orders!A:B,2,FALSE)</f>
        <v>C0105</v>
      </c>
    </row>
    <row r="752" spans="1:11" x14ac:dyDescent="0.3">
      <c r="A752" s="1" t="s">
        <v>2363</v>
      </c>
      <c r="B752" s="1" t="s">
        <v>2364</v>
      </c>
      <c r="C752" s="1" t="s">
        <v>1121</v>
      </c>
      <c r="D752" s="1">
        <v>5</v>
      </c>
      <c r="E752" s="1">
        <v>0.2</v>
      </c>
      <c r="F752" s="1" t="b">
        <v>0</v>
      </c>
      <c r="G752">
        <f>VLOOKUP(C752,Products!A:D,4,FALSE)</f>
        <v>1440</v>
      </c>
      <c r="H752" t="str">
        <f>VLOOKUP(C752,Products!A:D,3,FALSE)</f>
        <v>Sports</v>
      </c>
      <c r="I752">
        <f t="shared" si="11"/>
        <v>5760</v>
      </c>
      <c r="J752" s="2">
        <f>VLOOKUP(B752,Orders!A:C,3,FALSE)</f>
        <v>45849</v>
      </c>
      <c r="K752" s="1" t="str">
        <f>VLOOKUP(B752,Orders!A:B,2,FALSE)</f>
        <v>C0283</v>
      </c>
    </row>
    <row r="753" spans="1:11" x14ac:dyDescent="0.3">
      <c r="A753" s="1" t="s">
        <v>2365</v>
      </c>
      <c r="B753" s="1" t="s">
        <v>2364</v>
      </c>
      <c r="C753" s="1" t="s">
        <v>1146</v>
      </c>
      <c r="D753" s="1">
        <v>4</v>
      </c>
      <c r="E753" s="1">
        <v>0.05</v>
      </c>
      <c r="F753" s="1" t="b">
        <v>0</v>
      </c>
      <c r="G753">
        <f>VLOOKUP(C753,Products!A:D,4,FALSE)</f>
        <v>1630</v>
      </c>
      <c r="H753" t="str">
        <f>VLOOKUP(C753,Products!A:D,3,FALSE)</f>
        <v>Beauty</v>
      </c>
      <c r="I753">
        <f t="shared" si="11"/>
        <v>6194</v>
      </c>
      <c r="J753" s="2">
        <f>VLOOKUP(B753,Orders!A:C,3,FALSE)</f>
        <v>45849</v>
      </c>
      <c r="K753" s="1" t="str">
        <f>VLOOKUP(B753,Orders!A:B,2,FALSE)</f>
        <v>C0283</v>
      </c>
    </row>
    <row r="754" spans="1:11" x14ac:dyDescent="0.3">
      <c r="A754" s="1" t="s">
        <v>2366</v>
      </c>
      <c r="B754" s="1" t="s">
        <v>2367</v>
      </c>
      <c r="C754" s="1" t="s">
        <v>1302</v>
      </c>
      <c r="D754" s="1">
        <v>5</v>
      </c>
      <c r="E754" s="1">
        <v>0.15</v>
      </c>
      <c r="F754" s="1" t="b">
        <v>0</v>
      </c>
      <c r="G754">
        <f>VLOOKUP(C754,Products!A:D,4,FALSE)</f>
        <v>1220</v>
      </c>
      <c r="H754" t="str">
        <f>VLOOKUP(C754,Products!A:D,3,FALSE)</f>
        <v>Home &amp; Kitchen</v>
      </c>
      <c r="I754">
        <f t="shared" si="11"/>
        <v>5185</v>
      </c>
      <c r="J754" s="2">
        <f>VLOOKUP(B754,Orders!A:C,3,FALSE)</f>
        <v>46117</v>
      </c>
      <c r="K754" s="1" t="str">
        <f>VLOOKUP(B754,Orders!A:B,2,FALSE)</f>
        <v>C0195</v>
      </c>
    </row>
    <row r="755" spans="1:11" x14ac:dyDescent="0.3">
      <c r="A755" s="1" t="s">
        <v>2368</v>
      </c>
      <c r="B755" s="1" t="s">
        <v>2367</v>
      </c>
      <c r="C755" s="1" t="s">
        <v>1127</v>
      </c>
      <c r="D755" s="1">
        <v>4</v>
      </c>
      <c r="E755" s="1">
        <v>0</v>
      </c>
      <c r="F755" s="1" t="b">
        <v>0</v>
      </c>
      <c r="G755">
        <f>VLOOKUP(C755,Products!A:D,4,FALSE)</f>
        <v>1660</v>
      </c>
      <c r="H755" t="str">
        <f>VLOOKUP(C755,Products!A:D,3,FALSE)</f>
        <v>Apparel</v>
      </c>
      <c r="I755">
        <f t="shared" si="11"/>
        <v>6640</v>
      </c>
      <c r="J755" s="2">
        <f>VLOOKUP(B755,Orders!A:C,3,FALSE)</f>
        <v>46117</v>
      </c>
      <c r="K755" s="1" t="str">
        <f>VLOOKUP(B755,Orders!A:B,2,FALSE)</f>
        <v>C0195</v>
      </c>
    </row>
    <row r="756" spans="1:11" x14ac:dyDescent="0.3">
      <c r="A756" s="1" t="s">
        <v>2369</v>
      </c>
      <c r="B756" s="1" t="s">
        <v>2370</v>
      </c>
      <c r="C756" s="1" t="s">
        <v>1307</v>
      </c>
      <c r="D756" s="1">
        <v>3</v>
      </c>
      <c r="E756" s="1">
        <v>0</v>
      </c>
      <c r="F756" s="1" t="b">
        <v>0</v>
      </c>
      <c r="G756">
        <f>VLOOKUP(C756,Products!A:D,4,FALSE)</f>
        <v>99</v>
      </c>
      <c r="H756" t="str">
        <f>VLOOKUP(C756,Products!A:D,3,FALSE)</f>
        <v>Sports</v>
      </c>
      <c r="I756">
        <f t="shared" si="11"/>
        <v>297</v>
      </c>
      <c r="J756" s="2">
        <f>VLOOKUP(B756,Orders!A:C,3,FALSE)</f>
        <v>45938</v>
      </c>
      <c r="K756" s="1" t="str">
        <f>VLOOKUP(B756,Orders!A:B,2,FALSE)</f>
        <v>C0184</v>
      </c>
    </row>
    <row r="757" spans="1:11" x14ac:dyDescent="0.3">
      <c r="A757" s="1" t="s">
        <v>2371</v>
      </c>
      <c r="B757" s="1" t="s">
        <v>2370</v>
      </c>
      <c r="C757" s="1" t="s">
        <v>1393</v>
      </c>
      <c r="D757" s="1">
        <v>5</v>
      </c>
      <c r="E757" s="1">
        <v>0.15</v>
      </c>
      <c r="F757" s="1" t="b">
        <v>0</v>
      </c>
      <c r="G757">
        <f>VLOOKUP(C757,Products!A:D,4,FALSE)</f>
        <v>1520</v>
      </c>
      <c r="H757" t="str">
        <f>VLOOKUP(C757,Products!A:D,3,FALSE)</f>
        <v>Electronics</v>
      </c>
      <c r="I757">
        <f t="shared" si="11"/>
        <v>6460</v>
      </c>
      <c r="J757" s="2">
        <f>VLOOKUP(B757,Orders!A:C,3,FALSE)</f>
        <v>45938</v>
      </c>
      <c r="K757" s="1" t="str">
        <f>VLOOKUP(B757,Orders!A:B,2,FALSE)</f>
        <v>C0184</v>
      </c>
    </row>
    <row r="758" spans="1:11" x14ac:dyDescent="0.3">
      <c r="A758" s="1" t="s">
        <v>2372</v>
      </c>
      <c r="B758" s="1" t="s">
        <v>2370</v>
      </c>
      <c r="C758" s="1" t="s">
        <v>1294</v>
      </c>
      <c r="D758" s="1">
        <v>5</v>
      </c>
      <c r="E758" s="1">
        <v>0</v>
      </c>
      <c r="F758" s="1" t="b">
        <v>0</v>
      </c>
      <c r="G758">
        <f>VLOOKUP(C758,Products!A:D,4,FALSE)</f>
        <v>210</v>
      </c>
      <c r="H758" t="str">
        <f>VLOOKUP(C758,Products!A:D,3,FALSE)</f>
        <v>Electronics</v>
      </c>
      <c r="I758">
        <f t="shared" si="11"/>
        <v>1050</v>
      </c>
      <c r="J758" s="2">
        <f>VLOOKUP(B758,Orders!A:C,3,FALSE)</f>
        <v>45938</v>
      </c>
      <c r="K758" s="1" t="str">
        <f>VLOOKUP(B758,Orders!A:B,2,FALSE)</f>
        <v>C0184</v>
      </c>
    </row>
    <row r="759" spans="1:11" x14ac:dyDescent="0.3">
      <c r="A759" s="1" t="s">
        <v>2373</v>
      </c>
      <c r="B759" s="1" t="s">
        <v>2370</v>
      </c>
      <c r="C759" s="1" t="s">
        <v>1242</v>
      </c>
      <c r="D759" s="1">
        <v>4</v>
      </c>
      <c r="E759" s="1">
        <v>0.1</v>
      </c>
      <c r="F759" s="1" t="b">
        <v>0</v>
      </c>
      <c r="G759">
        <f>VLOOKUP(C759,Products!A:D,4,FALSE)</f>
        <v>2720</v>
      </c>
      <c r="H759" t="str">
        <f>VLOOKUP(C759,Products!A:D,3,FALSE)</f>
        <v>Beauty</v>
      </c>
      <c r="I759">
        <f t="shared" si="11"/>
        <v>9792</v>
      </c>
      <c r="J759" s="2">
        <f>VLOOKUP(B759,Orders!A:C,3,FALSE)</f>
        <v>45938</v>
      </c>
      <c r="K759" s="1" t="str">
        <f>VLOOKUP(B759,Orders!A:B,2,FALSE)</f>
        <v>C0184</v>
      </c>
    </row>
    <row r="760" spans="1:11" x14ac:dyDescent="0.3">
      <c r="A760" s="1" t="s">
        <v>2374</v>
      </c>
      <c r="B760" s="1" t="s">
        <v>2375</v>
      </c>
      <c r="C760" s="1" t="s">
        <v>1118</v>
      </c>
      <c r="D760" s="1">
        <v>3</v>
      </c>
      <c r="E760" s="1">
        <v>0.2</v>
      </c>
      <c r="F760" s="1" t="b">
        <v>0</v>
      </c>
      <c r="G760">
        <f>VLOOKUP(C760,Products!A:D,4,FALSE)</f>
        <v>5550</v>
      </c>
      <c r="H760" t="str">
        <f>VLOOKUP(C760,Products!A:D,3,FALSE)</f>
        <v>Home &amp; Kitchen</v>
      </c>
      <c r="I760">
        <f t="shared" si="11"/>
        <v>13320</v>
      </c>
      <c r="J760" s="2">
        <f>VLOOKUP(B760,Orders!A:C,3,FALSE)</f>
        <v>46202</v>
      </c>
      <c r="K760" s="1" t="str">
        <f>VLOOKUP(B760,Orders!A:B,2,FALSE)</f>
        <v>C0263</v>
      </c>
    </row>
    <row r="761" spans="1:11" x14ac:dyDescent="0.3">
      <c r="A761" s="1" t="s">
        <v>2376</v>
      </c>
      <c r="B761" s="1" t="s">
        <v>2377</v>
      </c>
      <c r="C761" s="1" t="s">
        <v>1249</v>
      </c>
      <c r="D761" s="1">
        <v>3</v>
      </c>
      <c r="E761" s="1">
        <v>0.05</v>
      </c>
      <c r="F761" s="1" t="b">
        <v>0</v>
      </c>
      <c r="G761">
        <f>VLOOKUP(C761,Products!A:D,4,FALSE)</f>
        <v>3630</v>
      </c>
      <c r="H761" t="str">
        <f>VLOOKUP(C761,Products!A:D,3,FALSE)</f>
        <v>Electronics</v>
      </c>
      <c r="I761">
        <f t="shared" si="11"/>
        <v>10345.5</v>
      </c>
      <c r="J761" s="2">
        <f>VLOOKUP(B761,Orders!A:C,3,FALSE)</f>
        <v>45887</v>
      </c>
      <c r="K761" s="1" t="str">
        <f>VLOOKUP(B761,Orders!A:B,2,FALSE)</f>
        <v>C0051</v>
      </c>
    </row>
    <row r="762" spans="1:11" x14ac:dyDescent="0.3">
      <c r="A762" s="1" t="s">
        <v>2378</v>
      </c>
      <c r="B762" s="1" t="s">
        <v>2377</v>
      </c>
      <c r="C762" s="1" t="s">
        <v>1602</v>
      </c>
      <c r="D762" s="1">
        <v>2</v>
      </c>
      <c r="E762" s="1">
        <v>0.1</v>
      </c>
      <c r="F762" s="1" t="b">
        <v>0</v>
      </c>
      <c r="G762">
        <f>VLOOKUP(C762,Products!A:D,4,FALSE)</f>
        <v>1240</v>
      </c>
      <c r="H762" t="str">
        <f>VLOOKUP(C762,Products!A:D,3,FALSE)</f>
        <v>Apparel</v>
      </c>
      <c r="I762">
        <f t="shared" si="11"/>
        <v>2232</v>
      </c>
      <c r="J762" s="2">
        <f>VLOOKUP(B762,Orders!A:C,3,FALSE)</f>
        <v>45887</v>
      </c>
      <c r="K762" s="1" t="str">
        <f>VLOOKUP(B762,Orders!A:B,2,FALSE)</f>
        <v>C0051</v>
      </c>
    </row>
    <row r="763" spans="1:11" x14ac:dyDescent="0.3">
      <c r="A763" s="1" t="s">
        <v>2379</v>
      </c>
      <c r="B763" s="1" t="s">
        <v>2380</v>
      </c>
      <c r="C763" s="1" t="s">
        <v>1278</v>
      </c>
      <c r="D763" s="1">
        <v>3</v>
      </c>
      <c r="E763" s="1">
        <v>0</v>
      </c>
      <c r="F763" s="1" t="b">
        <v>0</v>
      </c>
      <c r="G763">
        <f>VLOOKUP(C763,Products!A:D,4,FALSE)</f>
        <v>330</v>
      </c>
      <c r="H763" t="str">
        <f>VLOOKUP(C763,Products!A:D,3,FALSE)</f>
        <v>Books</v>
      </c>
      <c r="I763">
        <f t="shared" si="11"/>
        <v>990</v>
      </c>
      <c r="J763" s="2">
        <f>VLOOKUP(B763,Orders!A:C,3,FALSE)</f>
        <v>45832</v>
      </c>
      <c r="K763" s="1" t="str">
        <f>VLOOKUP(B763,Orders!A:B,2,FALSE)</f>
        <v>C0164</v>
      </c>
    </row>
    <row r="764" spans="1:11" x14ac:dyDescent="0.3">
      <c r="A764" s="1" t="s">
        <v>2381</v>
      </c>
      <c r="B764" s="1" t="s">
        <v>2382</v>
      </c>
      <c r="C764" s="1" t="s">
        <v>1278</v>
      </c>
      <c r="D764" s="1">
        <v>3</v>
      </c>
      <c r="E764" s="1">
        <v>0</v>
      </c>
      <c r="F764" s="1" t="b">
        <v>0</v>
      </c>
      <c r="G764">
        <f>VLOOKUP(C764,Products!A:D,4,FALSE)</f>
        <v>330</v>
      </c>
      <c r="H764" t="str">
        <f>VLOOKUP(C764,Products!A:D,3,FALSE)</f>
        <v>Books</v>
      </c>
      <c r="I764">
        <f t="shared" si="11"/>
        <v>990</v>
      </c>
      <c r="J764" s="2">
        <f>VLOOKUP(B764,Orders!A:C,3,FALSE)</f>
        <v>45805</v>
      </c>
      <c r="K764" s="1" t="str">
        <f>VLOOKUP(B764,Orders!A:B,2,FALSE)</f>
        <v>C0161</v>
      </c>
    </row>
    <row r="765" spans="1:11" x14ac:dyDescent="0.3">
      <c r="A765" s="1" t="s">
        <v>2383</v>
      </c>
      <c r="B765" s="1" t="s">
        <v>2382</v>
      </c>
      <c r="C765" s="1" t="s">
        <v>1213</v>
      </c>
      <c r="D765" s="1">
        <v>5</v>
      </c>
      <c r="E765" s="1">
        <v>0</v>
      </c>
      <c r="F765" s="1" t="b">
        <v>0</v>
      </c>
      <c r="G765">
        <f>VLOOKUP(C765,Products!A:D,4,FALSE)</f>
        <v>1765</v>
      </c>
      <c r="H765" t="str">
        <f>VLOOKUP(C765,Products!A:D,3,FALSE)</f>
        <v>Beauty</v>
      </c>
      <c r="I765">
        <f t="shared" si="11"/>
        <v>8825</v>
      </c>
      <c r="J765" s="2">
        <f>VLOOKUP(B765,Orders!A:C,3,FALSE)</f>
        <v>45805</v>
      </c>
      <c r="K765" s="1" t="str">
        <f>VLOOKUP(B765,Orders!A:B,2,FALSE)</f>
        <v>C0161</v>
      </c>
    </row>
    <row r="766" spans="1:11" x14ac:dyDescent="0.3">
      <c r="A766" s="1" t="s">
        <v>2384</v>
      </c>
      <c r="B766" s="1" t="s">
        <v>2385</v>
      </c>
      <c r="C766" s="1" t="s">
        <v>1433</v>
      </c>
      <c r="D766" s="1">
        <v>4</v>
      </c>
      <c r="E766" s="1">
        <v>0</v>
      </c>
      <c r="F766" s="1" t="b">
        <v>0</v>
      </c>
      <c r="G766">
        <f>VLOOKUP(C766,Products!A:D,4,FALSE)</f>
        <v>110</v>
      </c>
      <c r="H766" t="str">
        <f>VLOOKUP(C766,Products!A:D,3,FALSE)</f>
        <v>Home &amp; Kitchen</v>
      </c>
      <c r="I766">
        <f t="shared" si="11"/>
        <v>440</v>
      </c>
      <c r="J766" s="2">
        <f>VLOOKUP(B766,Orders!A:C,3,FALSE)</f>
        <v>46049</v>
      </c>
      <c r="K766" s="1" t="str">
        <f>VLOOKUP(B766,Orders!A:B,2,FALSE)</f>
        <v>C0114</v>
      </c>
    </row>
    <row r="767" spans="1:11" x14ac:dyDescent="0.3">
      <c r="A767" s="1" t="s">
        <v>2386</v>
      </c>
      <c r="B767" s="1" t="s">
        <v>2385</v>
      </c>
      <c r="C767" s="1" t="s">
        <v>1328</v>
      </c>
      <c r="D767" s="1">
        <v>3</v>
      </c>
      <c r="E767" s="1">
        <v>0.2</v>
      </c>
      <c r="F767" s="1" t="b">
        <v>0</v>
      </c>
      <c r="G767">
        <f>VLOOKUP(C767,Products!A:D,4,FALSE)</f>
        <v>1880</v>
      </c>
      <c r="H767" t="str">
        <f>VLOOKUP(C767,Products!A:D,3,FALSE)</f>
        <v>Apparel</v>
      </c>
      <c r="I767">
        <f t="shared" si="11"/>
        <v>4512</v>
      </c>
      <c r="J767" s="2">
        <f>VLOOKUP(B767,Orders!A:C,3,FALSE)</f>
        <v>46049</v>
      </c>
      <c r="K767" s="1" t="str">
        <f>VLOOKUP(B767,Orders!A:B,2,FALSE)</f>
        <v>C0114</v>
      </c>
    </row>
    <row r="768" spans="1:11" x14ac:dyDescent="0.3">
      <c r="A768" s="1" t="s">
        <v>2387</v>
      </c>
      <c r="B768" s="1" t="s">
        <v>2385</v>
      </c>
      <c r="C768" s="1" t="s">
        <v>1484</v>
      </c>
      <c r="D768" s="1">
        <v>4</v>
      </c>
      <c r="E768" s="1">
        <v>0</v>
      </c>
      <c r="F768" s="1" t="b">
        <v>0</v>
      </c>
      <c r="G768">
        <f>VLOOKUP(C768,Products!A:D,4,FALSE)</f>
        <v>1080</v>
      </c>
      <c r="H768" t="str">
        <f>VLOOKUP(C768,Products!A:D,3,FALSE)</f>
        <v>Home &amp; Kitchen</v>
      </c>
      <c r="I768">
        <f t="shared" ref="I768:I831" si="12">G768*D768*(1-E768)</f>
        <v>4320</v>
      </c>
      <c r="J768" s="2">
        <f>VLOOKUP(B768,Orders!A:C,3,FALSE)</f>
        <v>46049</v>
      </c>
      <c r="K768" s="1" t="str">
        <f>VLOOKUP(B768,Orders!A:B,2,FALSE)</f>
        <v>C0114</v>
      </c>
    </row>
    <row r="769" spans="1:11" x14ac:dyDescent="0.3">
      <c r="A769" s="1" t="s">
        <v>2388</v>
      </c>
      <c r="B769" s="1" t="s">
        <v>2389</v>
      </c>
      <c r="C769" s="1" t="s">
        <v>1393</v>
      </c>
      <c r="D769" s="1">
        <v>3</v>
      </c>
      <c r="E769" s="1">
        <v>0</v>
      </c>
      <c r="F769" s="1" t="b">
        <v>0</v>
      </c>
      <c r="G769">
        <f>VLOOKUP(C769,Products!A:D,4,FALSE)</f>
        <v>1520</v>
      </c>
      <c r="H769" t="str">
        <f>VLOOKUP(C769,Products!A:D,3,FALSE)</f>
        <v>Electronics</v>
      </c>
      <c r="I769">
        <f t="shared" si="12"/>
        <v>4560</v>
      </c>
      <c r="J769" s="2">
        <f>VLOOKUP(B769,Orders!A:C,3,FALSE)</f>
        <v>45859</v>
      </c>
      <c r="K769" s="1" t="str">
        <f>VLOOKUP(B769,Orders!A:B,2,FALSE)</f>
        <v>C0134</v>
      </c>
    </row>
    <row r="770" spans="1:11" x14ac:dyDescent="0.3">
      <c r="A770" s="1" t="s">
        <v>2390</v>
      </c>
      <c r="B770" s="1" t="s">
        <v>2389</v>
      </c>
      <c r="C770" s="1" t="s">
        <v>1459</v>
      </c>
      <c r="D770" s="1">
        <v>5</v>
      </c>
      <c r="E770" s="1">
        <v>0.2</v>
      </c>
      <c r="F770" s="1" t="b">
        <v>0</v>
      </c>
      <c r="G770">
        <f>VLOOKUP(C770,Products!A:D,4,FALSE)</f>
        <v>710</v>
      </c>
      <c r="H770" t="str">
        <f>VLOOKUP(C770,Products!A:D,3,FALSE)</f>
        <v>Sports</v>
      </c>
      <c r="I770">
        <f t="shared" si="12"/>
        <v>2840</v>
      </c>
      <c r="J770" s="2">
        <f>VLOOKUP(B770,Orders!A:C,3,FALSE)</f>
        <v>45859</v>
      </c>
      <c r="K770" s="1" t="str">
        <f>VLOOKUP(B770,Orders!A:B,2,FALSE)</f>
        <v>C0134</v>
      </c>
    </row>
    <row r="771" spans="1:11" x14ac:dyDescent="0.3">
      <c r="A771" s="1" t="s">
        <v>2391</v>
      </c>
      <c r="B771" s="1" t="s">
        <v>2392</v>
      </c>
      <c r="C771" s="1" t="s">
        <v>1273</v>
      </c>
      <c r="D771" s="1">
        <v>4</v>
      </c>
      <c r="E771" s="1">
        <v>0.2</v>
      </c>
      <c r="F771" s="1" t="b">
        <v>0</v>
      </c>
      <c r="G771">
        <f>VLOOKUP(C771,Products!A:D,4,FALSE)</f>
        <v>360</v>
      </c>
      <c r="H771" t="str">
        <f>VLOOKUP(C771,Products!A:D,3,FALSE)</f>
        <v>Beauty</v>
      </c>
      <c r="I771">
        <f t="shared" si="12"/>
        <v>1152</v>
      </c>
      <c r="J771" s="2">
        <f>VLOOKUP(B771,Orders!A:C,3,FALSE)</f>
        <v>45788</v>
      </c>
      <c r="K771" s="1" t="str">
        <f>VLOOKUP(B771,Orders!A:B,2,FALSE)</f>
        <v>C0297</v>
      </c>
    </row>
    <row r="772" spans="1:11" x14ac:dyDescent="0.3">
      <c r="A772" s="1" t="s">
        <v>2393</v>
      </c>
      <c r="B772" s="1" t="s">
        <v>2394</v>
      </c>
      <c r="C772" s="1" t="s">
        <v>1182</v>
      </c>
      <c r="D772" s="1">
        <v>2</v>
      </c>
      <c r="E772" s="1">
        <v>0</v>
      </c>
      <c r="F772" s="1" t="b">
        <v>0</v>
      </c>
      <c r="G772">
        <f>VLOOKUP(C772,Products!A:D,4,FALSE)</f>
        <v>790</v>
      </c>
      <c r="H772" t="str">
        <f>VLOOKUP(C772,Products!A:D,3,FALSE)</f>
        <v>Sports</v>
      </c>
      <c r="I772">
        <f t="shared" si="12"/>
        <v>1580</v>
      </c>
      <c r="J772" s="2">
        <f>VLOOKUP(B772,Orders!A:C,3,FALSE)</f>
        <v>45881</v>
      </c>
      <c r="K772" s="1" t="str">
        <f>VLOOKUP(B772,Orders!A:B,2,FALSE)</f>
        <v>C0079</v>
      </c>
    </row>
    <row r="773" spans="1:11" x14ac:dyDescent="0.3">
      <c r="A773" s="1" t="s">
        <v>2395</v>
      </c>
      <c r="B773" s="1" t="s">
        <v>2396</v>
      </c>
      <c r="C773" s="1" t="s">
        <v>1152</v>
      </c>
      <c r="D773" s="1">
        <v>1</v>
      </c>
      <c r="E773" s="1">
        <v>0.15</v>
      </c>
      <c r="F773" s="1" t="b">
        <v>0</v>
      </c>
      <c r="G773">
        <f>VLOOKUP(C773,Products!A:D,4,FALSE)</f>
        <v>2250</v>
      </c>
      <c r="H773" t="str">
        <f>VLOOKUP(C773,Products!A:D,3,FALSE)</f>
        <v>Home &amp; Kitchen</v>
      </c>
      <c r="I773">
        <f t="shared" si="12"/>
        <v>1912.5</v>
      </c>
      <c r="J773" s="2">
        <f>VLOOKUP(B773,Orders!A:C,3,FALSE)</f>
        <v>45863</v>
      </c>
      <c r="K773" s="1" t="str">
        <f>VLOOKUP(B773,Orders!A:B,2,FALSE)</f>
        <v>C0195</v>
      </c>
    </row>
    <row r="774" spans="1:11" x14ac:dyDescent="0.3">
      <c r="A774" s="1" t="s">
        <v>2397</v>
      </c>
      <c r="B774" s="1" t="s">
        <v>2396</v>
      </c>
      <c r="C774" s="1" t="s">
        <v>1202</v>
      </c>
      <c r="D774" s="1">
        <v>1</v>
      </c>
      <c r="E774" s="1">
        <v>0</v>
      </c>
      <c r="F774" s="1" t="b">
        <v>0</v>
      </c>
      <c r="G774">
        <f>VLOOKUP(C774,Products!A:D,4,FALSE)</f>
        <v>530</v>
      </c>
      <c r="H774" t="str">
        <f>VLOOKUP(C774,Products!A:D,3,FALSE)</f>
        <v>Beauty</v>
      </c>
      <c r="I774">
        <f t="shared" si="12"/>
        <v>530</v>
      </c>
      <c r="J774" s="2">
        <f>VLOOKUP(B774,Orders!A:C,3,FALSE)</f>
        <v>45863</v>
      </c>
      <c r="K774" s="1" t="str">
        <f>VLOOKUP(B774,Orders!A:B,2,FALSE)</f>
        <v>C0195</v>
      </c>
    </row>
    <row r="775" spans="1:11" x14ac:dyDescent="0.3">
      <c r="A775" s="1" t="s">
        <v>2398</v>
      </c>
      <c r="B775" s="1" t="s">
        <v>2399</v>
      </c>
      <c r="C775" s="1" t="s">
        <v>1403</v>
      </c>
      <c r="D775" s="1">
        <v>4</v>
      </c>
      <c r="E775" s="1">
        <v>0</v>
      </c>
      <c r="F775" s="1" t="b">
        <v>0</v>
      </c>
      <c r="G775">
        <f>VLOOKUP(C775,Products!A:D,4,FALSE)</f>
        <v>1340</v>
      </c>
      <c r="H775" t="str">
        <f>VLOOKUP(C775,Products!A:D,3,FALSE)</f>
        <v>Electronics</v>
      </c>
      <c r="I775">
        <f t="shared" si="12"/>
        <v>5360</v>
      </c>
      <c r="J775" s="2">
        <f>VLOOKUP(B775,Orders!A:C,3,FALSE)</f>
        <v>45970</v>
      </c>
      <c r="K775" s="1" t="str">
        <f>VLOOKUP(B775,Orders!A:B,2,FALSE)</f>
        <v>C0256</v>
      </c>
    </row>
    <row r="776" spans="1:11" x14ac:dyDescent="0.3">
      <c r="A776" s="1" t="s">
        <v>2400</v>
      </c>
      <c r="B776" s="1" t="s">
        <v>2401</v>
      </c>
      <c r="C776" s="1" t="s">
        <v>1143</v>
      </c>
      <c r="D776" s="1">
        <v>2</v>
      </c>
      <c r="E776" s="1">
        <v>0.05</v>
      </c>
      <c r="F776" s="1" t="b">
        <v>0</v>
      </c>
      <c r="G776">
        <f>VLOOKUP(C776,Products!A:D,4,FALSE)</f>
        <v>2230</v>
      </c>
      <c r="H776" t="str">
        <f>VLOOKUP(C776,Products!A:D,3,FALSE)</f>
        <v>Home &amp; Kitchen</v>
      </c>
      <c r="I776">
        <f t="shared" si="12"/>
        <v>4237</v>
      </c>
      <c r="J776" s="2">
        <f>VLOOKUP(B776,Orders!A:C,3,FALSE)</f>
        <v>45942</v>
      </c>
      <c r="K776" s="1" t="str">
        <f>VLOOKUP(B776,Orders!A:B,2,FALSE)</f>
        <v>C0132</v>
      </c>
    </row>
    <row r="777" spans="1:11" x14ac:dyDescent="0.3">
      <c r="A777" s="1" t="s">
        <v>2402</v>
      </c>
      <c r="B777" s="1" t="s">
        <v>2403</v>
      </c>
      <c r="C777" s="1" t="s">
        <v>1265</v>
      </c>
      <c r="D777" s="1">
        <v>4</v>
      </c>
      <c r="E777" s="1">
        <v>0</v>
      </c>
      <c r="F777" s="1" t="b">
        <v>0</v>
      </c>
      <c r="G777">
        <f>VLOOKUP(C777,Products!A:D,4,FALSE)</f>
        <v>99</v>
      </c>
      <c r="H777" t="str">
        <f>VLOOKUP(C777,Products!A:D,3,FALSE)</f>
        <v>Beauty</v>
      </c>
      <c r="I777">
        <f t="shared" si="12"/>
        <v>396</v>
      </c>
      <c r="J777" s="2">
        <f>VLOOKUP(B777,Orders!A:C,3,FALSE)</f>
        <v>45813</v>
      </c>
      <c r="K777" s="1" t="str">
        <f>VLOOKUP(B777,Orders!A:B,2,FALSE)</f>
        <v>C0252</v>
      </c>
    </row>
    <row r="778" spans="1:11" x14ac:dyDescent="0.3">
      <c r="A778" s="1" t="s">
        <v>2404</v>
      </c>
      <c r="B778" s="1" t="s">
        <v>2403</v>
      </c>
      <c r="C778" s="1" t="s">
        <v>1459</v>
      </c>
      <c r="D778" s="1">
        <v>5</v>
      </c>
      <c r="E778" s="1">
        <v>0.2</v>
      </c>
      <c r="F778" s="1" t="b">
        <v>0</v>
      </c>
      <c r="G778">
        <f>VLOOKUP(C778,Products!A:D,4,FALSE)</f>
        <v>710</v>
      </c>
      <c r="H778" t="str">
        <f>VLOOKUP(C778,Products!A:D,3,FALSE)</f>
        <v>Sports</v>
      </c>
      <c r="I778">
        <f t="shared" si="12"/>
        <v>2840</v>
      </c>
      <c r="J778" s="2">
        <f>VLOOKUP(B778,Orders!A:C,3,FALSE)</f>
        <v>45813</v>
      </c>
      <c r="K778" s="1" t="str">
        <f>VLOOKUP(B778,Orders!A:B,2,FALSE)</f>
        <v>C0252</v>
      </c>
    </row>
    <row r="779" spans="1:11" x14ac:dyDescent="0.3">
      <c r="A779" s="1" t="s">
        <v>2405</v>
      </c>
      <c r="B779" s="1" t="s">
        <v>2406</v>
      </c>
      <c r="C779" s="1" t="s">
        <v>1197</v>
      </c>
      <c r="D779" s="1">
        <v>4</v>
      </c>
      <c r="E779" s="1">
        <v>0.05</v>
      </c>
      <c r="F779" s="1" t="b">
        <v>0</v>
      </c>
      <c r="G779">
        <f>VLOOKUP(C779,Products!A:D,4,FALSE)</f>
        <v>2050</v>
      </c>
      <c r="H779" t="str">
        <f>VLOOKUP(C779,Products!A:D,3,FALSE)</f>
        <v>Apparel</v>
      </c>
      <c r="I779">
        <f t="shared" si="12"/>
        <v>7790</v>
      </c>
      <c r="J779" s="2">
        <f>VLOOKUP(B779,Orders!A:C,3,FALSE)</f>
        <v>46259</v>
      </c>
      <c r="K779" s="1" t="str">
        <f>VLOOKUP(B779,Orders!A:B,2,FALSE)</f>
        <v>C0087</v>
      </c>
    </row>
    <row r="780" spans="1:11" x14ac:dyDescent="0.3">
      <c r="A780" s="1" t="s">
        <v>2407</v>
      </c>
      <c r="B780" s="1" t="s">
        <v>2408</v>
      </c>
      <c r="C780" s="1" t="s">
        <v>1116</v>
      </c>
      <c r="D780" s="1">
        <v>1</v>
      </c>
      <c r="E780" s="1">
        <v>0</v>
      </c>
      <c r="F780" s="1" t="b">
        <v>0</v>
      </c>
      <c r="G780">
        <f>VLOOKUP(C780,Products!A:D,4,FALSE)</f>
        <v>3000</v>
      </c>
      <c r="H780" t="str">
        <f>VLOOKUP(C780,Products!A:D,3,FALSE)</f>
        <v>Home &amp; Kitchen</v>
      </c>
      <c r="I780">
        <f t="shared" si="12"/>
        <v>3000</v>
      </c>
      <c r="J780" s="2">
        <f>VLOOKUP(B780,Orders!A:C,3,FALSE)</f>
        <v>45815</v>
      </c>
      <c r="K780" s="1" t="str">
        <f>VLOOKUP(B780,Orders!A:B,2,FALSE)</f>
        <v>C0251</v>
      </c>
    </row>
    <row r="781" spans="1:11" x14ac:dyDescent="0.3">
      <c r="A781" s="1" t="s">
        <v>2409</v>
      </c>
      <c r="B781" s="1" t="s">
        <v>2408</v>
      </c>
      <c r="C781" s="1" t="s">
        <v>1143</v>
      </c>
      <c r="D781" s="1">
        <v>3</v>
      </c>
      <c r="E781" s="1">
        <v>0.2</v>
      </c>
      <c r="F781" s="1" t="b">
        <v>0</v>
      </c>
      <c r="G781">
        <f>VLOOKUP(C781,Products!A:D,4,FALSE)</f>
        <v>2230</v>
      </c>
      <c r="H781" t="str">
        <f>VLOOKUP(C781,Products!A:D,3,FALSE)</f>
        <v>Home &amp; Kitchen</v>
      </c>
      <c r="I781">
        <f t="shared" si="12"/>
        <v>5352</v>
      </c>
      <c r="J781" s="2">
        <f>VLOOKUP(B781,Orders!A:C,3,FALSE)</f>
        <v>45815</v>
      </c>
      <c r="K781" s="1" t="str">
        <f>VLOOKUP(B781,Orders!A:B,2,FALSE)</f>
        <v>C0251</v>
      </c>
    </row>
    <row r="782" spans="1:11" x14ac:dyDescent="0.3">
      <c r="A782" s="1" t="s">
        <v>2410</v>
      </c>
      <c r="B782" s="1" t="s">
        <v>2411</v>
      </c>
      <c r="C782" s="1" t="s">
        <v>1719</v>
      </c>
      <c r="D782" s="1">
        <v>3</v>
      </c>
      <c r="E782" s="1">
        <v>0</v>
      </c>
      <c r="F782" s="1" t="b">
        <v>0</v>
      </c>
      <c r="G782">
        <f>VLOOKUP(C782,Products!A:D,4,FALSE)</f>
        <v>2790</v>
      </c>
      <c r="H782" t="str">
        <f>VLOOKUP(C782,Products!A:D,3,FALSE)</f>
        <v>Sports</v>
      </c>
      <c r="I782">
        <f t="shared" si="12"/>
        <v>8370</v>
      </c>
      <c r="J782" s="2">
        <f>VLOOKUP(B782,Orders!A:C,3,FALSE)</f>
        <v>46175</v>
      </c>
      <c r="K782" s="1" t="str">
        <f>VLOOKUP(B782,Orders!A:B,2,FALSE)</f>
        <v>C0031</v>
      </c>
    </row>
    <row r="783" spans="1:11" x14ac:dyDescent="0.3">
      <c r="A783" s="1" t="s">
        <v>2412</v>
      </c>
      <c r="B783" s="1" t="s">
        <v>2413</v>
      </c>
      <c r="C783" s="1" t="s">
        <v>1219</v>
      </c>
      <c r="D783" s="1">
        <v>3</v>
      </c>
      <c r="E783" s="1">
        <v>0.15</v>
      </c>
      <c r="F783" s="1" t="b">
        <v>0</v>
      </c>
      <c r="G783">
        <f>VLOOKUP(C783,Products!A:D,4,FALSE)</f>
        <v>2090</v>
      </c>
      <c r="H783" t="str">
        <f>VLOOKUP(C783,Products!A:D,3,FALSE)</f>
        <v>Beauty</v>
      </c>
      <c r="I783">
        <f t="shared" si="12"/>
        <v>5329.5</v>
      </c>
      <c r="J783" s="2">
        <f>VLOOKUP(B783,Orders!A:C,3,FALSE)</f>
        <v>45830</v>
      </c>
      <c r="K783" s="1" t="str">
        <f>VLOOKUP(B783,Orders!A:B,2,FALSE)</f>
        <v>C0025</v>
      </c>
    </row>
    <row r="784" spans="1:11" x14ac:dyDescent="0.3">
      <c r="A784" s="1" t="s">
        <v>2414</v>
      </c>
      <c r="B784" s="1" t="s">
        <v>2415</v>
      </c>
      <c r="C784" s="1" t="s">
        <v>1498</v>
      </c>
      <c r="D784" s="1">
        <v>2</v>
      </c>
      <c r="E784" s="1">
        <v>0.15</v>
      </c>
      <c r="F784" s="1" t="b">
        <v>0</v>
      </c>
      <c r="G784">
        <f>VLOOKUP(C784,Products!A:D,4,FALSE)</f>
        <v>1910</v>
      </c>
      <c r="H784" t="str">
        <f>VLOOKUP(C784,Products!A:D,3,FALSE)</f>
        <v>Apparel</v>
      </c>
      <c r="I784">
        <f t="shared" si="12"/>
        <v>3247</v>
      </c>
      <c r="J784" s="2">
        <f>VLOOKUP(B784,Orders!A:C,3,FALSE)</f>
        <v>46007</v>
      </c>
      <c r="K784" s="1" t="str">
        <f>VLOOKUP(B784,Orders!A:B,2,FALSE)</f>
        <v>C0071</v>
      </c>
    </row>
    <row r="785" spans="1:11" x14ac:dyDescent="0.3">
      <c r="A785" s="1" t="s">
        <v>2416</v>
      </c>
      <c r="B785" s="1" t="s">
        <v>2415</v>
      </c>
      <c r="C785" s="1" t="s">
        <v>1320</v>
      </c>
      <c r="D785" s="1">
        <v>2</v>
      </c>
      <c r="E785" s="1">
        <v>0.1</v>
      </c>
      <c r="F785" s="1" t="b">
        <v>0</v>
      </c>
      <c r="G785">
        <f>VLOOKUP(C785,Products!A:D,4,FALSE)</f>
        <v>2790</v>
      </c>
      <c r="H785" t="str">
        <f>VLOOKUP(C785,Products!A:D,3,FALSE)</f>
        <v>Electronics</v>
      </c>
      <c r="I785">
        <f t="shared" si="12"/>
        <v>5022</v>
      </c>
      <c r="J785" s="2">
        <f>VLOOKUP(B785,Orders!A:C,3,FALSE)</f>
        <v>46007</v>
      </c>
      <c r="K785" s="1" t="str">
        <f>VLOOKUP(B785,Orders!A:B,2,FALSE)</f>
        <v>C0071</v>
      </c>
    </row>
    <row r="786" spans="1:11" x14ac:dyDescent="0.3">
      <c r="A786" s="1" t="s">
        <v>2417</v>
      </c>
      <c r="B786" s="1" t="s">
        <v>2418</v>
      </c>
      <c r="C786" s="1" t="s">
        <v>1125</v>
      </c>
      <c r="D786" s="1">
        <v>3</v>
      </c>
      <c r="E786" s="1">
        <v>0.1</v>
      </c>
      <c r="F786" s="1" t="b">
        <v>0</v>
      </c>
      <c r="G786">
        <f>VLOOKUP(C786,Products!A:D,4,FALSE)</f>
        <v>99</v>
      </c>
      <c r="H786" t="str">
        <f>VLOOKUP(C786,Products!A:D,3,FALSE)</f>
        <v>Electronics</v>
      </c>
      <c r="I786">
        <f t="shared" si="12"/>
        <v>267.3</v>
      </c>
      <c r="J786" s="2">
        <f>VLOOKUP(B786,Orders!A:C,3,FALSE)</f>
        <v>46279</v>
      </c>
      <c r="K786" s="1" t="str">
        <f>VLOOKUP(B786,Orders!A:B,2,FALSE)</f>
        <v>C0119</v>
      </c>
    </row>
    <row r="787" spans="1:11" x14ac:dyDescent="0.3">
      <c r="A787" s="1" t="s">
        <v>2419</v>
      </c>
      <c r="B787" s="1" t="s">
        <v>2420</v>
      </c>
      <c r="C787" s="1" t="s">
        <v>1146</v>
      </c>
      <c r="D787" s="1">
        <v>1</v>
      </c>
      <c r="E787" s="1">
        <v>0</v>
      </c>
      <c r="F787" s="1" t="b">
        <v>0</v>
      </c>
      <c r="G787">
        <f>VLOOKUP(C787,Products!A:D,4,FALSE)</f>
        <v>1630</v>
      </c>
      <c r="H787" t="str">
        <f>VLOOKUP(C787,Products!A:D,3,FALSE)</f>
        <v>Beauty</v>
      </c>
      <c r="I787">
        <f t="shared" si="12"/>
        <v>1630</v>
      </c>
      <c r="J787" s="2">
        <f>VLOOKUP(B787,Orders!A:C,3,FALSE)</f>
        <v>46199</v>
      </c>
      <c r="K787" s="1" t="str">
        <f>VLOOKUP(B787,Orders!A:B,2,FALSE)</f>
        <v>C0005</v>
      </c>
    </row>
    <row r="788" spans="1:11" x14ac:dyDescent="0.3">
      <c r="A788" s="1" t="s">
        <v>2421</v>
      </c>
      <c r="B788" s="1" t="s">
        <v>2422</v>
      </c>
      <c r="C788" s="1" t="s">
        <v>1116</v>
      </c>
      <c r="D788" s="1">
        <v>1</v>
      </c>
      <c r="E788" s="1">
        <v>0.15</v>
      </c>
      <c r="F788" s="1" t="b">
        <v>0</v>
      </c>
      <c r="G788">
        <f>VLOOKUP(C788,Products!A:D,4,FALSE)</f>
        <v>3000</v>
      </c>
      <c r="H788" t="str">
        <f>VLOOKUP(C788,Products!A:D,3,FALSE)</f>
        <v>Home &amp; Kitchen</v>
      </c>
      <c r="I788">
        <f t="shared" si="12"/>
        <v>2550</v>
      </c>
      <c r="J788" s="2">
        <f>VLOOKUP(B788,Orders!A:C,3,FALSE)</f>
        <v>46017</v>
      </c>
      <c r="K788" s="1" t="str">
        <f>VLOOKUP(B788,Orders!A:B,2,FALSE)</f>
        <v>C0192</v>
      </c>
    </row>
    <row r="789" spans="1:11" x14ac:dyDescent="0.3">
      <c r="A789" s="1" t="s">
        <v>2423</v>
      </c>
      <c r="B789" s="1" t="s">
        <v>2424</v>
      </c>
      <c r="C789" s="1" t="s">
        <v>1299</v>
      </c>
      <c r="D789" s="1">
        <v>3</v>
      </c>
      <c r="E789" s="1">
        <v>0</v>
      </c>
      <c r="F789" s="1" t="b">
        <v>0</v>
      </c>
      <c r="G789">
        <f>VLOOKUP(C789,Products!A:D,4,FALSE)</f>
        <v>1080</v>
      </c>
      <c r="H789" t="str">
        <f>VLOOKUP(C789,Products!A:D,3,FALSE)</f>
        <v>Beauty</v>
      </c>
      <c r="I789">
        <f t="shared" si="12"/>
        <v>3240</v>
      </c>
      <c r="J789" s="2">
        <f>VLOOKUP(B789,Orders!A:C,3,FALSE)</f>
        <v>46128</v>
      </c>
      <c r="K789" s="1" t="str">
        <f>VLOOKUP(B789,Orders!A:B,2,FALSE)</f>
        <v>C0248</v>
      </c>
    </row>
    <row r="790" spans="1:11" x14ac:dyDescent="0.3">
      <c r="A790" s="1" t="s">
        <v>2425</v>
      </c>
      <c r="B790" s="1" t="s">
        <v>2426</v>
      </c>
      <c r="C790" s="1" t="s">
        <v>1249</v>
      </c>
      <c r="D790" s="1">
        <v>5</v>
      </c>
      <c r="E790" s="1">
        <v>0</v>
      </c>
      <c r="F790" s="1" t="b">
        <v>0</v>
      </c>
      <c r="G790">
        <f>VLOOKUP(C790,Products!A:D,4,FALSE)</f>
        <v>3630</v>
      </c>
      <c r="H790" t="str">
        <f>VLOOKUP(C790,Products!A:D,3,FALSE)</f>
        <v>Electronics</v>
      </c>
      <c r="I790">
        <f t="shared" si="12"/>
        <v>18150</v>
      </c>
      <c r="J790" s="2">
        <f>VLOOKUP(B790,Orders!A:C,3,FALSE)</f>
        <v>46164</v>
      </c>
      <c r="K790" s="1" t="str">
        <f>VLOOKUP(B790,Orders!A:B,2,FALSE)</f>
        <v>C0004</v>
      </c>
    </row>
    <row r="791" spans="1:11" x14ac:dyDescent="0.3">
      <c r="A791" s="1" t="s">
        <v>2427</v>
      </c>
      <c r="B791" s="1" t="s">
        <v>2428</v>
      </c>
      <c r="C791" s="1" t="s">
        <v>1391</v>
      </c>
      <c r="D791" s="1">
        <v>2</v>
      </c>
      <c r="E791" s="1">
        <v>0.1</v>
      </c>
      <c r="F791" s="1" t="b">
        <v>0</v>
      </c>
      <c r="G791">
        <f>VLOOKUP(C791,Products!A:D,4,FALSE)</f>
        <v>1900</v>
      </c>
      <c r="H791" t="str">
        <f>VLOOKUP(C791,Products!A:D,3,FALSE)</f>
        <v>Beauty</v>
      </c>
      <c r="I791">
        <f t="shared" si="12"/>
        <v>3420</v>
      </c>
      <c r="J791" s="2">
        <f>VLOOKUP(B791,Orders!A:C,3,FALSE)</f>
        <v>45898</v>
      </c>
      <c r="K791" s="1" t="str">
        <f>VLOOKUP(B791,Orders!A:B,2,FALSE)</f>
        <v>C0007</v>
      </c>
    </row>
    <row r="792" spans="1:11" x14ac:dyDescent="0.3">
      <c r="A792" s="1" t="s">
        <v>2429</v>
      </c>
      <c r="B792" s="1" t="s">
        <v>2430</v>
      </c>
      <c r="C792" s="1" t="s">
        <v>1106</v>
      </c>
      <c r="D792" s="1">
        <v>1</v>
      </c>
      <c r="E792" s="1">
        <v>0.2</v>
      </c>
      <c r="F792" s="1" t="b">
        <v>0</v>
      </c>
      <c r="G792">
        <f>VLOOKUP(C792,Products!A:D,4,FALSE)</f>
        <v>1130</v>
      </c>
      <c r="H792" t="str">
        <f>VLOOKUP(C792,Products!A:D,3,FALSE)</f>
        <v>Books</v>
      </c>
      <c r="I792">
        <f t="shared" si="12"/>
        <v>904</v>
      </c>
      <c r="J792" s="2">
        <f>VLOOKUP(B792,Orders!A:C,3,FALSE)</f>
        <v>46042</v>
      </c>
      <c r="K792" s="1" t="str">
        <f>VLOOKUP(B792,Orders!A:B,2,FALSE)</f>
        <v>C0275</v>
      </c>
    </row>
    <row r="793" spans="1:11" x14ac:dyDescent="0.3">
      <c r="A793" s="1" t="s">
        <v>2431</v>
      </c>
      <c r="B793" s="1" t="s">
        <v>2430</v>
      </c>
      <c r="C793" s="1" t="s">
        <v>1333</v>
      </c>
      <c r="D793" s="1">
        <v>2</v>
      </c>
      <c r="E793" s="1">
        <v>0.05</v>
      </c>
      <c r="F793" s="1" t="b">
        <v>0</v>
      </c>
      <c r="G793">
        <f>VLOOKUP(C793,Products!A:D,4,FALSE)</f>
        <v>1440</v>
      </c>
      <c r="H793" t="str">
        <f>VLOOKUP(C793,Products!A:D,3,FALSE)</f>
        <v>Home &amp; Kitchen</v>
      </c>
      <c r="I793">
        <f t="shared" si="12"/>
        <v>2736</v>
      </c>
      <c r="J793" s="2">
        <f>VLOOKUP(B793,Orders!A:C,3,FALSE)</f>
        <v>46042</v>
      </c>
      <c r="K793" s="1" t="str">
        <f>VLOOKUP(B793,Orders!A:B,2,FALSE)</f>
        <v>C0275</v>
      </c>
    </row>
    <row r="794" spans="1:11" x14ac:dyDescent="0.3">
      <c r="A794" s="1" t="s">
        <v>2432</v>
      </c>
      <c r="B794" s="1" t="s">
        <v>2433</v>
      </c>
      <c r="C794" s="1" t="s">
        <v>1257</v>
      </c>
      <c r="D794" s="1">
        <v>2</v>
      </c>
      <c r="E794" s="1">
        <v>0</v>
      </c>
      <c r="F794" s="1" t="b">
        <v>0</v>
      </c>
      <c r="G794">
        <f>VLOOKUP(C794,Products!A:D,4,FALSE)</f>
        <v>1760</v>
      </c>
      <c r="H794" t="str">
        <f>VLOOKUP(C794,Products!A:D,3,FALSE)</f>
        <v>Books</v>
      </c>
      <c r="I794">
        <f t="shared" si="12"/>
        <v>3520</v>
      </c>
      <c r="J794" s="2">
        <f>VLOOKUP(B794,Orders!A:C,3,FALSE)</f>
        <v>46045</v>
      </c>
      <c r="K794" s="1" t="str">
        <f>VLOOKUP(B794,Orders!A:B,2,FALSE)</f>
        <v>C0258</v>
      </c>
    </row>
    <row r="795" spans="1:11" x14ac:dyDescent="0.3">
      <c r="A795" s="1" t="s">
        <v>2434</v>
      </c>
      <c r="B795" s="1" t="s">
        <v>2433</v>
      </c>
      <c r="C795" s="1" t="s">
        <v>1125</v>
      </c>
      <c r="D795" s="1">
        <v>3</v>
      </c>
      <c r="E795" s="1">
        <v>0</v>
      </c>
      <c r="F795" s="1" t="b">
        <v>0</v>
      </c>
      <c r="G795">
        <f>VLOOKUP(C795,Products!A:D,4,FALSE)</f>
        <v>99</v>
      </c>
      <c r="H795" t="str">
        <f>VLOOKUP(C795,Products!A:D,3,FALSE)</f>
        <v>Electronics</v>
      </c>
      <c r="I795">
        <f t="shared" si="12"/>
        <v>297</v>
      </c>
      <c r="J795" s="2">
        <f>VLOOKUP(B795,Orders!A:C,3,FALSE)</f>
        <v>46045</v>
      </c>
      <c r="K795" s="1" t="str">
        <f>VLOOKUP(B795,Orders!A:B,2,FALSE)</f>
        <v>C0258</v>
      </c>
    </row>
    <row r="796" spans="1:11" x14ac:dyDescent="0.3">
      <c r="A796" s="1" t="s">
        <v>2435</v>
      </c>
      <c r="B796" s="1" t="s">
        <v>2436</v>
      </c>
      <c r="C796" s="1" t="s">
        <v>1111</v>
      </c>
      <c r="D796" s="1">
        <v>4</v>
      </c>
      <c r="E796" s="1">
        <v>0</v>
      </c>
      <c r="F796" s="1" t="b">
        <v>0</v>
      </c>
      <c r="G796">
        <f>VLOOKUP(C796,Products!A:D,4,FALSE)</f>
        <v>2450</v>
      </c>
      <c r="H796" t="str">
        <f>VLOOKUP(C796,Products!A:D,3,FALSE)</f>
        <v>Sports</v>
      </c>
      <c r="I796">
        <f t="shared" si="12"/>
        <v>9800</v>
      </c>
      <c r="J796" s="2">
        <f>VLOOKUP(B796,Orders!A:C,3,FALSE)</f>
        <v>45952</v>
      </c>
      <c r="K796" s="1" t="str">
        <f>VLOOKUP(B796,Orders!A:B,2,FALSE)</f>
        <v>C0092</v>
      </c>
    </row>
    <row r="797" spans="1:11" x14ac:dyDescent="0.3">
      <c r="A797" s="1" t="s">
        <v>2437</v>
      </c>
      <c r="B797" s="1" t="s">
        <v>2438</v>
      </c>
      <c r="C797" s="1" t="s">
        <v>1276</v>
      </c>
      <c r="D797" s="1">
        <v>3</v>
      </c>
      <c r="E797" s="1">
        <v>0</v>
      </c>
      <c r="F797" s="1" t="b">
        <v>0</v>
      </c>
      <c r="G797">
        <f>VLOOKUP(C797,Products!A:D,4,FALSE)</f>
        <v>2010</v>
      </c>
      <c r="H797" t="str">
        <f>VLOOKUP(C797,Products!A:D,3,FALSE)</f>
        <v>Beauty</v>
      </c>
      <c r="I797">
        <f t="shared" si="12"/>
        <v>6030</v>
      </c>
      <c r="J797" s="2">
        <f>VLOOKUP(B797,Orders!A:C,3,FALSE)</f>
        <v>46112</v>
      </c>
      <c r="K797" s="1" t="str">
        <f>VLOOKUP(B797,Orders!A:B,2,FALSE)</f>
        <v>C0269</v>
      </c>
    </row>
    <row r="798" spans="1:11" x14ac:dyDescent="0.3">
      <c r="A798" s="1" t="s">
        <v>2439</v>
      </c>
      <c r="B798" s="1" t="s">
        <v>2438</v>
      </c>
      <c r="C798" s="1" t="s">
        <v>1111</v>
      </c>
      <c r="D798" s="1">
        <v>3</v>
      </c>
      <c r="E798" s="1">
        <v>0.2</v>
      </c>
      <c r="F798" s="1" t="b">
        <v>0</v>
      </c>
      <c r="G798">
        <f>VLOOKUP(C798,Products!A:D,4,FALSE)</f>
        <v>2450</v>
      </c>
      <c r="H798" t="str">
        <f>VLOOKUP(C798,Products!A:D,3,FALSE)</f>
        <v>Sports</v>
      </c>
      <c r="I798">
        <f t="shared" si="12"/>
        <v>5880</v>
      </c>
      <c r="J798" s="2">
        <f>VLOOKUP(B798,Orders!A:C,3,FALSE)</f>
        <v>46112</v>
      </c>
      <c r="K798" s="1" t="str">
        <f>VLOOKUP(B798,Orders!A:B,2,FALSE)</f>
        <v>C0269</v>
      </c>
    </row>
    <row r="799" spans="1:11" x14ac:dyDescent="0.3">
      <c r="A799" s="1" t="s">
        <v>2440</v>
      </c>
      <c r="B799" s="1" t="s">
        <v>2441</v>
      </c>
      <c r="C799" s="1" t="s">
        <v>1265</v>
      </c>
      <c r="D799" s="1">
        <v>3</v>
      </c>
      <c r="E799" s="1">
        <v>0</v>
      </c>
      <c r="F799" s="1" t="b">
        <v>0</v>
      </c>
      <c r="G799">
        <f>VLOOKUP(C799,Products!A:D,4,FALSE)</f>
        <v>99</v>
      </c>
      <c r="H799" t="str">
        <f>VLOOKUP(C799,Products!A:D,3,FALSE)</f>
        <v>Beauty</v>
      </c>
      <c r="I799">
        <f t="shared" si="12"/>
        <v>297</v>
      </c>
      <c r="J799" s="2">
        <f>VLOOKUP(B799,Orders!A:C,3,FALSE)</f>
        <v>45766</v>
      </c>
      <c r="K799" s="1" t="str">
        <f>VLOOKUP(B799,Orders!A:B,2,FALSE)</f>
        <v>C0270</v>
      </c>
    </row>
    <row r="800" spans="1:11" x14ac:dyDescent="0.3">
      <c r="A800" s="1" t="s">
        <v>2442</v>
      </c>
      <c r="B800" s="1" t="s">
        <v>2443</v>
      </c>
      <c r="C800" s="1" t="s">
        <v>1202</v>
      </c>
      <c r="D800" s="1">
        <v>3</v>
      </c>
      <c r="E800" s="1">
        <v>0.05</v>
      </c>
      <c r="F800" s="1" t="b">
        <v>1</v>
      </c>
      <c r="G800">
        <f>VLOOKUP(C800,Products!A:D,4,FALSE)</f>
        <v>530</v>
      </c>
      <c r="H800" t="str">
        <f>VLOOKUP(C800,Products!A:D,3,FALSE)</f>
        <v>Beauty</v>
      </c>
      <c r="I800">
        <f t="shared" si="12"/>
        <v>1510.5</v>
      </c>
      <c r="J800" s="2">
        <f>VLOOKUP(B800,Orders!A:C,3,FALSE)</f>
        <v>46179</v>
      </c>
      <c r="K800" s="1" t="str">
        <f>VLOOKUP(B800,Orders!A:B,2,FALSE)</f>
        <v>C0137</v>
      </c>
    </row>
    <row r="801" spans="1:11" x14ac:dyDescent="0.3">
      <c r="A801" s="1" t="s">
        <v>2444</v>
      </c>
      <c r="B801" s="1" t="s">
        <v>2445</v>
      </c>
      <c r="C801" s="1" t="s">
        <v>1644</v>
      </c>
      <c r="D801" s="1">
        <v>5</v>
      </c>
      <c r="E801" s="1">
        <v>0.05</v>
      </c>
      <c r="F801" s="1" t="b">
        <v>0</v>
      </c>
      <c r="G801">
        <f>VLOOKUP(C801,Products!A:D,4,FALSE)</f>
        <v>1930</v>
      </c>
      <c r="H801" t="str">
        <f>VLOOKUP(C801,Products!A:D,3,FALSE)</f>
        <v>Home &amp; Kitchen</v>
      </c>
      <c r="I801">
        <f t="shared" si="12"/>
        <v>9167.5</v>
      </c>
      <c r="J801" s="2">
        <f>VLOOKUP(B801,Orders!A:C,3,FALSE)</f>
        <v>45995</v>
      </c>
      <c r="K801" s="1" t="str">
        <f>VLOOKUP(B801,Orders!A:B,2,FALSE)</f>
        <v>C0192</v>
      </c>
    </row>
    <row r="802" spans="1:11" x14ac:dyDescent="0.3">
      <c r="A802" s="1" t="s">
        <v>2446</v>
      </c>
      <c r="B802" s="1" t="s">
        <v>2447</v>
      </c>
      <c r="C802" s="1" t="s">
        <v>1135</v>
      </c>
      <c r="D802" s="1">
        <v>1</v>
      </c>
      <c r="E802" s="1">
        <v>0</v>
      </c>
      <c r="F802" s="1" t="b">
        <v>0</v>
      </c>
      <c r="G802">
        <f>VLOOKUP(C802,Products!A:D,4,FALSE)</f>
        <v>470</v>
      </c>
      <c r="H802" t="str">
        <f>VLOOKUP(C802,Products!A:D,3,FALSE)</f>
        <v>Apparel</v>
      </c>
      <c r="I802">
        <f t="shared" si="12"/>
        <v>470</v>
      </c>
      <c r="J802" s="2">
        <f>VLOOKUP(B802,Orders!A:C,3,FALSE)</f>
        <v>46079</v>
      </c>
      <c r="K802" s="1" t="str">
        <f>VLOOKUP(B802,Orders!A:B,2,FALSE)</f>
        <v>C0290</v>
      </c>
    </row>
    <row r="803" spans="1:11" x14ac:dyDescent="0.3">
      <c r="A803" s="1" t="s">
        <v>2448</v>
      </c>
      <c r="B803" s="1" t="s">
        <v>2449</v>
      </c>
      <c r="C803" s="1" t="s">
        <v>1431</v>
      </c>
      <c r="D803" s="1">
        <v>2</v>
      </c>
      <c r="E803" s="1">
        <v>0.1</v>
      </c>
      <c r="F803" s="1" t="b">
        <v>0</v>
      </c>
      <c r="G803">
        <f>VLOOKUP(C803,Products!A:D,4,FALSE)</f>
        <v>2920</v>
      </c>
      <c r="H803" t="str">
        <f>VLOOKUP(C803,Products!A:D,3,FALSE)</f>
        <v>Home &amp; Kitchen</v>
      </c>
      <c r="I803">
        <f t="shared" si="12"/>
        <v>5256</v>
      </c>
      <c r="J803" s="2">
        <f>VLOOKUP(B803,Orders!A:C,3,FALSE)</f>
        <v>45980</v>
      </c>
      <c r="K803" s="1" t="str">
        <f>VLOOKUP(B803,Orders!A:B,2,FALSE)</f>
        <v>C0154</v>
      </c>
    </row>
    <row r="804" spans="1:11" x14ac:dyDescent="0.3">
      <c r="A804" s="1" t="s">
        <v>2450</v>
      </c>
      <c r="B804" s="1" t="s">
        <v>2449</v>
      </c>
      <c r="C804" s="1" t="s">
        <v>1199</v>
      </c>
      <c r="D804" s="1">
        <v>4</v>
      </c>
      <c r="E804" s="1">
        <v>0.15</v>
      </c>
      <c r="F804" s="1" t="b">
        <v>0</v>
      </c>
      <c r="G804">
        <f>VLOOKUP(C804,Products!A:D,4,FALSE)</f>
        <v>99</v>
      </c>
      <c r="H804" t="str">
        <f>VLOOKUP(C804,Products!A:D,3,FALSE)</f>
        <v>Electronics</v>
      </c>
      <c r="I804">
        <f t="shared" si="12"/>
        <v>336.59999999999997</v>
      </c>
      <c r="J804" s="2">
        <f>VLOOKUP(B804,Orders!A:C,3,FALSE)</f>
        <v>45980</v>
      </c>
      <c r="K804" s="1" t="str">
        <f>VLOOKUP(B804,Orders!A:B,2,FALSE)</f>
        <v>C0154</v>
      </c>
    </row>
    <row r="805" spans="1:11" x14ac:dyDescent="0.3">
      <c r="A805" s="1" t="s">
        <v>2451</v>
      </c>
      <c r="B805" s="1" t="s">
        <v>2452</v>
      </c>
      <c r="C805" s="1" t="s">
        <v>1393</v>
      </c>
      <c r="D805" s="1">
        <v>1</v>
      </c>
      <c r="E805" s="1">
        <v>0</v>
      </c>
      <c r="F805" s="1" t="b">
        <v>0</v>
      </c>
      <c r="G805">
        <f>VLOOKUP(C805,Products!A:D,4,FALSE)</f>
        <v>1520</v>
      </c>
      <c r="H805" t="str">
        <f>VLOOKUP(C805,Products!A:D,3,FALSE)</f>
        <v>Electronics</v>
      </c>
      <c r="I805">
        <f t="shared" si="12"/>
        <v>1520</v>
      </c>
      <c r="J805" s="2">
        <f>VLOOKUP(B805,Orders!A:C,3,FALSE)</f>
        <v>45917</v>
      </c>
      <c r="K805" s="1" t="str">
        <f>VLOOKUP(B805,Orders!A:B,2,FALSE)</f>
        <v>C0017</v>
      </c>
    </row>
    <row r="806" spans="1:11" x14ac:dyDescent="0.3">
      <c r="A806" s="1" t="s">
        <v>2453</v>
      </c>
      <c r="B806" s="1" t="s">
        <v>2454</v>
      </c>
      <c r="C806" s="1" t="s">
        <v>1176</v>
      </c>
      <c r="D806" s="1">
        <v>4</v>
      </c>
      <c r="E806" s="1">
        <v>0</v>
      </c>
      <c r="F806" s="1" t="b">
        <v>0</v>
      </c>
      <c r="G806">
        <f>VLOOKUP(C806,Products!A:D,4,FALSE)</f>
        <v>2670</v>
      </c>
      <c r="H806" t="str">
        <f>VLOOKUP(C806,Products!A:D,3,FALSE)</f>
        <v>Beauty</v>
      </c>
      <c r="I806">
        <f t="shared" si="12"/>
        <v>10680</v>
      </c>
      <c r="J806" s="2">
        <f>VLOOKUP(B806,Orders!A:C,3,FALSE)</f>
        <v>45931</v>
      </c>
      <c r="K806" s="1" t="str">
        <f>VLOOKUP(B806,Orders!A:B,2,FALSE)</f>
        <v>C0194</v>
      </c>
    </row>
    <row r="807" spans="1:11" x14ac:dyDescent="0.3">
      <c r="A807" s="1" t="s">
        <v>2455</v>
      </c>
      <c r="B807" s="1" t="s">
        <v>2454</v>
      </c>
      <c r="C807" s="1" t="s">
        <v>1273</v>
      </c>
      <c r="D807" s="1">
        <v>2</v>
      </c>
      <c r="E807" s="1">
        <v>0.15</v>
      </c>
      <c r="F807" s="1" t="b">
        <v>0</v>
      </c>
      <c r="G807">
        <f>VLOOKUP(C807,Products!A:D,4,FALSE)</f>
        <v>360</v>
      </c>
      <c r="H807" t="str">
        <f>VLOOKUP(C807,Products!A:D,3,FALSE)</f>
        <v>Beauty</v>
      </c>
      <c r="I807">
        <f t="shared" si="12"/>
        <v>612</v>
      </c>
      <c r="J807" s="2">
        <f>VLOOKUP(B807,Orders!A:C,3,FALSE)</f>
        <v>45931</v>
      </c>
      <c r="K807" s="1" t="str">
        <f>VLOOKUP(B807,Orders!A:B,2,FALSE)</f>
        <v>C0194</v>
      </c>
    </row>
    <row r="808" spans="1:11" x14ac:dyDescent="0.3">
      <c r="A808" s="1" t="s">
        <v>2456</v>
      </c>
      <c r="B808" s="1" t="s">
        <v>2457</v>
      </c>
      <c r="C808" s="1" t="s">
        <v>1393</v>
      </c>
      <c r="D808" s="1">
        <v>4</v>
      </c>
      <c r="E808" s="1">
        <v>0</v>
      </c>
      <c r="F808" s="1" t="b">
        <v>0</v>
      </c>
      <c r="G808">
        <f>VLOOKUP(C808,Products!A:D,4,FALSE)</f>
        <v>1520</v>
      </c>
      <c r="H808" t="str">
        <f>VLOOKUP(C808,Products!A:D,3,FALSE)</f>
        <v>Electronics</v>
      </c>
      <c r="I808">
        <f t="shared" si="12"/>
        <v>6080</v>
      </c>
      <c r="J808" s="2">
        <f>VLOOKUP(B808,Orders!A:C,3,FALSE)</f>
        <v>46041</v>
      </c>
      <c r="K808" s="1" t="str">
        <f>VLOOKUP(B808,Orders!A:B,2,FALSE)</f>
        <v>C0005</v>
      </c>
    </row>
    <row r="809" spans="1:11" x14ac:dyDescent="0.3">
      <c r="A809" s="1" t="s">
        <v>2458</v>
      </c>
      <c r="B809" s="1" t="s">
        <v>2457</v>
      </c>
      <c r="C809" s="1" t="s">
        <v>1433</v>
      </c>
      <c r="D809" s="1">
        <v>3</v>
      </c>
      <c r="E809" s="1">
        <v>0.05</v>
      </c>
      <c r="F809" s="1" t="b">
        <v>0</v>
      </c>
      <c r="G809">
        <f>VLOOKUP(C809,Products!A:D,4,FALSE)</f>
        <v>110</v>
      </c>
      <c r="H809" t="str">
        <f>VLOOKUP(C809,Products!A:D,3,FALSE)</f>
        <v>Home &amp; Kitchen</v>
      </c>
      <c r="I809">
        <f t="shared" si="12"/>
        <v>313.5</v>
      </c>
      <c r="J809" s="2">
        <f>VLOOKUP(B809,Orders!A:C,3,FALSE)</f>
        <v>46041</v>
      </c>
      <c r="K809" s="1" t="str">
        <f>VLOOKUP(B809,Orders!A:B,2,FALSE)</f>
        <v>C0005</v>
      </c>
    </row>
    <row r="810" spans="1:11" x14ac:dyDescent="0.3">
      <c r="A810" s="1" t="s">
        <v>2459</v>
      </c>
      <c r="B810" s="1" t="s">
        <v>2460</v>
      </c>
      <c r="C810" s="1" t="s">
        <v>1195</v>
      </c>
      <c r="D810" s="1">
        <v>4</v>
      </c>
      <c r="E810" s="1">
        <v>0.05</v>
      </c>
      <c r="F810" s="1" t="b">
        <v>0</v>
      </c>
      <c r="G810">
        <f>VLOOKUP(C810,Products!A:D,4,FALSE)</f>
        <v>3430</v>
      </c>
      <c r="H810" t="str">
        <f>VLOOKUP(C810,Products!A:D,3,FALSE)</f>
        <v>Books</v>
      </c>
      <c r="I810">
        <f t="shared" si="12"/>
        <v>13034</v>
      </c>
      <c r="J810" s="2">
        <f>VLOOKUP(B810,Orders!A:C,3,FALSE)</f>
        <v>46244</v>
      </c>
      <c r="K810" s="1" t="str">
        <f>VLOOKUP(B810,Orders!A:B,2,FALSE)</f>
        <v>C0043</v>
      </c>
    </row>
    <row r="811" spans="1:11" x14ac:dyDescent="0.3">
      <c r="A811" s="1" t="s">
        <v>2461</v>
      </c>
      <c r="B811" s="1" t="s">
        <v>2460</v>
      </c>
      <c r="C811" s="1" t="s">
        <v>1431</v>
      </c>
      <c r="D811" s="1">
        <v>4</v>
      </c>
      <c r="E811" s="1">
        <v>0.2</v>
      </c>
      <c r="F811" s="1" t="b">
        <v>0</v>
      </c>
      <c r="G811">
        <f>VLOOKUP(C811,Products!A:D,4,FALSE)</f>
        <v>2920</v>
      </c>
      <c r="H811" t="str">
        <f>VLOOKUP(C811,Products!A:D,3,FALSE)</f>
        <v>Home &amp; Kitchen</v>
      </c>
      <c r="I811">
        <f t="shared" si="12"/>
        <v>9344</v>
      </c>
      <c r="J811" s="2">
        <f>VLOOKUP(B811,Orders!A:C,3,FALSE)</f>
        <v>46244</v>
      </c>
      <c r="K811" s="1" t="str">
        <f>VLOOKUP(B811,Orders!A:B,2,FALSE)</f>
        <v>C0043</v>
      </c>
    </row>
    <row r="812" spans="1:11" x14ac:dyDescent="0.3">
      <c r="A812" s="1" t="s">
        <v>2462</v>
      </c>
      <c r="B812" s="1" t="s">
        <v>2463</v>
      </c>
      <c r="C812" s="1" t="s">
        <v>1656</v>
      </c>
      <c r="D812" s="1">
        <v>5</v>
      </c>
      <c r="E812" s="1">
        <v>0</v>
      </c>
      <c r="F812" s="1" t="b">
        <v>0</v>
      </c>
      <c r="G812">
        <f>VLOOKUP(C812,Products!A:D,4,FALSE)</f>
        <v>1240</v>
      </c>
      <c r="H812" t="str">
        <f>VLOOKUP(C812,Products!A:D,3,FALSE)</f>
        <v>Beauty</v>
      </c>
      <c r="I812">
        <f t="shared" si="12"/>
        <v>6200</v>
      </c>
      <c r="J812" s="2">
        <f>VLOOKUP(B812,Orders!A:C,3,FALSE)</f>
        <v>45875</v>
      </c>
      <c r="K812" s="1" t="str">
        <f>VLOOKUP(B812,Orders!A:B,2,FALSE)</f>
        <v>C0170</v>
      </c>
    </row>
    <row r="813" spans="1:11" x14ac:dyDescent="0.3">
      <c r="A813" s="1" t="s">
        <v>2464</v>
      </c>
      <c r="B813" s="1" t="s">
        <v>2463</v>
      </c>
      <c r="C813" s="1" t="s">
        <v>1130</v>
      </c>
      <c r="D813" s="1">
        <v>4</v>
      </c>
      <c r="E813" s="1">
        <v>0.15</v>
      </c>
      <c r="F813" s="1" t="b">
        <v>0</v>
      </c>
      <c r="G813">
        <f>VLOOKUP(C813,Products!A:D,4,FALSE)</f>
        <v>2400</v>
      </c>
      <c r="H813" t="str">
        <f>VLOOKUP(C813,Products!A:D,3,FALSE)</f>
        <v>Electronics</v>
      </c>
      <c r="I813">
        <f t="shared" si="12"/>
        <v>8160</v>
      </c>
      <c r="J813" s="2">
        <f>VLOOKUP(B813,Orders!A:C,3,FALSE)</f>
        <v>45875</v>
      </c>
      <c r="K813" s="1" t="str">
        <f>VLOOKUP(B813,Orders!A:B,2,FALSE)</f>
        <v>C0170</v>
      </c>
    </row>
    <row r="814" spans="1:11" x14ac:dyDescent="0.3">
      <c r="A814" s="1" t="s">
        <v>2465</v>
      </c>
      <c r="B814" s="1" t="s">
        <v>2466</v>
      </c>
      <c r="C814" s="1" t="s">
        <v>1209</v>
      </c>
      <c r="D814" s="1">
        <v>1</v>
      </c>
      <c r="E814" s="1">
        <v>0.1</v>
      </c>
      <c r="F814" s="1" t="b">
        <v>0</v>
      </c>
      <c r="G814">
        <f>VLOOKUP(C814,Products!A:D,4,FALSE)</f>
        <v>1580</v>
      </c>
      <c r="H814" t="str">
        <f>VLOOKUP(C814,Products!A:D,3,FALSE)</f>
        <v>Apparel</v>
      </c>
      <c r="I814">
        <f t="shared" si="12"/>
        <v>1422</v>
      </c>
      <c r="J814" s="2">
        <f>VLOOKUP(B814,Orders!A:C,3,FALSE)</f>
        <v>45744</v>
      </c>
      <c r="K814" s="1" t="str">
        <f>VLOOKUP(B814,Orders!A:B,2,FALSE)</f>
        <v>C0271</v>
      </c>
    </row>
    <row r="815" spans="1:11" x14ac:dyDescent="0.3">
      <c r="A815" s="1" t="s">
        <v>2467</v>
      </c>
      <c r="B815" s="1" t="s">
        <v>2466</v>
      </c>
      <c r="C815" s="1" t="s">
        <v>1143</v>
      </c>
      <c r="D815" s="1">
        <v>3</v>
      </c>
      <c r="E815" s="1">
        <v>0</v>
      </c>
      <c r="F815" s="1" t="b">
        <v>0</v>
      </c>
      <c r="G815">
        <f>VLOOKUP(C815,Products!A:D,4,FALSE)</f>
        <v>2230</v>
      </c>
      <c r="H815" t="str">
        <f>VLOOKUP(C815,Products!A:D,3,FALSE)</f>
        <v>Home &amp; Kitchen</v>
      </c>
      <c r="I815">
        <f t="shared" si="12"/>
        <v>6690</v>
      </c>
      <c r="J815" s="2">
        <f>VLOOKUP(B815,Orders!A:C,3,FALSE)</f>
        <v>45744</v>
      </c>
      <c r="K815" s="1" t="str">
        <f>VLOOKUP(B815,Orders!A:B,2,FALSE)</f>
        <v>C0271</v>
      </c>
    </row>
    <row r="816" spans="1:11" x14ac:dyDescent="0.3">
      <c r="A816" s="1" t="s">
        <v>2468</v>
      </c>
      <c r="B816" s="1" t="s">
        <v>2466</v>
      </c>
      <c r="C816" s="1" t="s">
        <v>1294</v>
      </c>
      <c r="D816" s="1">
        <v>4</v>
      </c>
      <c r="E816" s="1">
        <v>0</v>
      </c>
      <c r="F816" s="1" t="b">
        <v>0</v>
      </c>
      <c r="G816">
        <f>VLOOKUP(C816,Products!A:D,4,FALSE)</f>
        <v>210</v>
      </c>
      <c r="H816" t="str">
        <f>VLOOKUP(C816,Products!A:D,3,FALSE)</f>
        <v>Electronics</v>
      </c>
      <c r="I816">
        <f t="shared" si="12"/>
        <v>840</v>
      </c>
      <c r="J816" s="2">
        <f>VLOOKUP(B816,Orders!A:C,3,FALSE)</f>
        <v>45744</v>
      </c>
      <c r="K816" s="1" t="str">
        <f>VLOOKUP(B816,Orders!A:B,2,FALSE)</f>
        <v>C0271</v>
      </c>
    </row>
    <row r="817" spans="1:11" x14ac:dyDescent="0.3">
      <c r="A817" s="1" t="s">
        <v>2469</v>
      </c>
      <c r="B817" s="1" t="s">
        <v>2470</v>
      </c>
      <c r="C817" s="1" t="s">
        <v>1216</v>
      </c>
      <c r="D817" s="1">
        <v>3</v>
      </c>
      <c r="E817" s="1">
        <v>0.1</v>
      </c>
      <c r="F817" s="1" t="b">
        <v>0</v>
      </c>
      <c r="G817">
        <f>VLOOKUP(C817,Products!A:D,4,FALSE)</f>
        <v>1240</v>
      </c>
      <c r="H817" t="str">
        <f>VLOOKUP(C817,Products!A:D,3,FALSE)</f>
        <v>Apparel</v>
      </c>
      <c r="I817">
        <f t="shared" si="12"/>
        <v>3348</v>
      </c>
      <c r="J817" s="2">
        <f>VLOOKUP(B817,Orders!A:C,3,FALSE)</f>
        <v>45800</v>
      </c>
      <c r="K817" s="1" t="str">
        <f>VLOOKUP(B817,Orders!A:B,2,FALSE)</f>
        <v>C0109</v>
      </c>
    </row>
    <row r="818" spans="1:11" x14ac:dyDescent="0.3">
      <c r="A818" s="1" t="s">
        <v>2471</v>
      </c>
      <c r="B818" s="1" t="s">
        <v>2470</v>
      </c>
      <c r="C818" s="1" t="s">
        <v>1121</v>
      </c>
      <c r="D818" s="1">
        <v>1</v>
      </c>
      <c r="E818" s="1">
        <v>0.2</v>
      </c>
      <c r="F818" s="1" t="b">
        <v>0</v>
      </c>
      <c r="G818">
        <f>VLOOKUP(C818,Products!A:D,4,FALSE)</f>
        <v>1440</v>
      </c>
      <c r="H818" t="str">
        <f>VLOOKUP(C818,Products!A:D,3,FALSE)</f>
        <v>Sports</v>
      </c>
      <c r="I818">
        <f t="shared" si="12"/>
        <v>1152</v>
      </c>
      <c r="J818" s="2">
        <f>VLOOKUP(B818,Orders!A:C,3,FALSE)</f>
        <v>45800</v>
      </c>
      <c r="K818" s="1" t="str">
        <f>VLOOKUP(B818,Orders!A:B,2,FALSE)</f>
        <v>C0109</v>
      </c>
    </row>
    <row r="819" spans="1:11" x14ac:dyDescent="0.3">
      <c r="A819" s="1" t="s">
        <v>2472</v>
      </c>
      <c r="B819" s="1" t="s">
        <v>2473</v>
      </c>
      <c r="C819" s="1" t="s">
        <v>1307</v>
      </c>
      <c r="D819" s="1">
        <v>2</v>
      </c>
      <c r="E819" s="1">
        <v>0</v>
      </c>
      <c r="F819" s="1" t="b">
        <v>0</v>
      </c>
      <c r="G819">
        <f>VLOOKUP(C819,Products!A:D,4,FALSE)</f>
        <v>99</v>
      </c>
      <c r="H819" t="str">
        <f>VLOOKUP(C819,Products!A:D,3,FALSE)</f>
        <v>Sports</v>
      </c>
      <c r="I819">
        <f t="shared" si="12"/>
        <v>198</v>
      </c>
      <c r="J819" s="2">
        <f>VLOOKUP(B819,Orders!A:C,3,FALSE)</f>
        <v>46209</v>
      </c>
      <c r="K819" s="1" t="str">
        <f>VLOOKUP(B819,Orders!A:B,2,FALSE)</f>
        <v>C0244</v>
      </c>
    </row>
    <row r="820" spans="1:11" x14ac:dyDescent="0.3">
      <c r="A820" s="1" t="s">
        <v>2474</v>
      </c>
      <c r="B820" s="1" t="s">
        <v>2475</v>
      </c>
      <c r="C820" s="1" t="s">
        <v>1265</v>
      </c>
      <c r="D820" s="1">
        <v>2</v>
      </c>
      <c r="E820" s="1">
        <v>0</v>
      </c>
      <c r="F820" s="1" t="b">
        <v>0</v>
      </c>
      <c r="G820">
        <f>VLOOKUP(C820,Products!A:D,4,FALSE)</f>
        <v>99</v>
      </c>
      <c r="H820" t="str">
        <f>VLOOKUP(C820,Products!A:D,3,FALSE)</f>
        <v>Beauty</v>
      </c>
      <c r="I820">
        <f t="shared" si="12"/>
        <v>198</v>
      </c>
      <c r="J820" s="2">
        <f>VLOOKUP(B820,Orders!A:C,3,FALSE)</f>
        <v>46261</v>
      </c>
      <c r="K820" s="1" t="str">
        <f>VLOOKUP(B820,Orders!A:B,2,FALSE)</f>
        <v>C0144</v>
      </c>
    </row>
    <row r="821" spans="1:11" x14ac:dyDescent="0.3">
      <c r="A821" s="1" t="s">
        <v>2476</v>
      </c>
      <c r="B821" s="1" t="s">
        <v>2475</v>
      </c>
      <c r="C821" s="1" t="s">
        <v>1265</v>
      </c>
      <c r="D821" s="1">
        <v>1</v>
      </c>
      <c r="E821" s="1">
        <v>0.15</v>
      </c>
      <c r="F821" s="1" t="b">
        <v>0</v>
      </c>
      <c r="G821">
        <f>VLOOKUP(C821,Products!A:D,4,FALSE)</f>
        <v>99</v>
      </c>
      <c r="H821" t="str">
        <f>VLOOKUP(C821,Products!A:D,3,FALSE)</f>
        <v>Beauty</v>
      </c>
      <c r="I821">
        <f t="shared" si="12"/>
        <v>84.149999999999991</v>
      </c>
      <c r="J821" s="2">
        <f>VLOOKUP(B821,Orders!A:C,3,FALSE)</f>
        <v>46261</v>
      </c>
      <c r="K821" s="1" t="str">
        <f>VLOOKUP(B821,Orders!A:B,2,FALSE)</f>
        <v>C0144</v>
      </c>
    </row>
    <row r="822" spans="1:11" x14ac:dyDescent="0.3">
      <c r="A822" s="1" t="s">
        <v>2477</v>
      </c>
      <c r="B822" s="1" t="s">
        <v>2478</v>
      </c>
      <c r="C822" s="1" t="s">
        <v>1135</v>
      </c>
      <c r="D822" s="1">
        <v>1</v>
      </c>
      <c r="E822" s="1">
        <v>0.15</v>
      </c>
      <c r="F822" s="1" t="b">
        <v>0</v>
      </c>
      <c r="G822">
        <f>VLOOKUP(C822,Products!A:D,4,FALSE)</f>
        <v>470</v>
      </c>
      <c r="H822" t="str">
        <f>VLOOKUP(C822,Products!A:D,3,FALSE)</f>
        <v>Apparel</v>
      </c>
      <c r="I822">
        <f t="shared" si="12"/>
        <v>399.5</v>
      </c>
      <c r="J822" s="2">
        <f>VLOOKUP(B822,Orders!A:C,3,FALSE)</f>
        <v>45843</v>
      </c>
      <c r="K822" s="1" t="str">
        <f>VLOOKUP(B822,Orders!A:B,2,FALSE)</f>
        <v>C0017</v>
      </c>
    </row>
    <row r="823" spans="1:11" x14ac:dyDescent="0.3">
      <c r="A823" s="1" t="s">
        <v>2479</v>
      </c>
      <c r="B823" s="1" t="s">
        <v>2478</v>
      </c>
      <c r="C823" s="1" t="s">
        <v>1182</v>
      </c>
      <c r="D823" s="1">
        <v>2</v>
      </c>
      <c r="E823" s="1">
        <v>0</v>
      </c>
      <c r="F823" s="1" t="b">
        <v>0</v>
      </c>
      <c r="G823">
        <f>VLOOKUP(C823,Products!A:D,4,FALSE)</f>
        <v>790</v>
      </c>
      <c r="H823" t="str">
        <f>VLOOKUP(C823,Products!A:D,3,FALSE)</f>
        <v>Sports</v>
      </c>
      <c r="I823">
        <f t="shared" si="12"/>
        <v>1580</v>
      </c>
      <c r="J823" s="2">
        <f>VLOOKUP(B823,Orders!A:C,3,FALSE)</f>
        <v>45843</v>
      </c>
      <c r="K823" s="1" t="str">
        <f>VLOOKUP(B823,Orders!A:B,2,FALSE)</f>
        <v>C0017</v>
      </c>
    </row>
    <row r="824" spans="1:11" x14ac:dyDescent="0.3">
      <c r="A824" s="1" t="s">
        <v>2480</v>
      </c>
      <c r="B824" s="1" t="s">
        <v>2481</v>
      </c>
      <c r="C824" s="1" t="s">
        <v>1249</v>
      </c>
      <c r="D824" s="1">
        <v>5</v>
      </c>
      <c r="E824" s="1">
        <v>0</v>
      </c>
      <c r="F824" s="1" t="b">
        <v>0</v>
      </c>
      <c r="G824">
        <f>VLOOKUP(C824,Products!A:D,4,FALSE)</f>
        <v>3630</v>
      </c>
      <c r="H824" t="str">
        <f>VLOOKUP(C824,Products!A:D,3,FALSE)</f>
        <v>Electronics</v>
      </c>
      <c r="I824">
        <f t="shared" si="12"/>
        <v>18150</v>
      </c>
      <c r="J824" s="2">
        <f>VLOOKUP(B824,Orders!A:C,3,FALSE)</f>
        <v>46049</v>
      </c>
      <c r="K824" s="1" t="str">
        <f>VLOOKUP(B824,Orders!A:B,2,FALSE)</f>
        <v>C0009</v>
      </c>
    </row>
    <row r="825" spans="1:11" x14ac:dyDescent="0.3">
      <c r="A825" s="1" t="s">
        <v>2482</v>
      </c>
      <c r="B825" s="1" t="s">
        <v>2483</v>
      </c>
      <c r="C825" s="1" t="s">
        <v>1656</v>
      </c>
      <c r="D825" s="1">
        <v>5</v>
      </c>
      <c r="E825" s="1">
        <v>0.15</v>
      </c>
      <c r="F825" s="1" t="b">
        <v>0</v>
      </c>
      <c r="G825">
        <f>VLOOKUP(C825,Products!A:D,4,FALSE)</f>
        <v>1240</v>
      </c>
      <c r="H825" t="str">
        <f>VLOOKUP(C825,Products!A:D,3,FALSE)</f>
        <v>Beauty</v>
      </c>
      <c r="I825">
        <f t="shared" si="12"/>
        <v>5270</v>
      </c>
      <c r="J825" s="2">
        <f>VLOOKUP(B825,Orders!A:C,3,FALSE)</f>
        <v>46089</v>
      </c>
      <c r="K825" s="1" t="str">
        <f>VLOOKUP(B825,Orders!A:B,2,FALSE)</f>
        <v>C0074</v>
      </c>
    </row>
    <row r="826" spans="1:11" x14ac:dyDescent="0.3">
      <c r="A826" s="1" t="s">
        <v>2484</v>
      </c>
      <c r="B826" s="1" t="s">
        <v>2485</v>
      </c>
      <c r="C826" s="1" t="s">
        <v>1143</v>
      </c>
      <c r="D826" s="1">
        <v>4</v>
      </c>
      <c r="E826" s="1">
        <v>0</v>
      </c>
      <c r="F826" s="1" t="b">
        <v>0</v>
      </c>
      <c r="G826">
        <f>VLOOKUP(C826,Products!A:D,4,FALSE)</f>
        <v>2230</v>
      </c>
      <c r="H826" t="str">
        <f>VLOOKUP(C826,Products!A:D,3,FALSE)</f>
        <v>Home &amp; Kitchen</v>
      </c>
      <c r="I826">
        <f t="shared" si="12"/>
        <v>8920</v>
      </c>
      <c r="J826" s="2">
        <f>VLOOKUP(B826,Orders!A:C,3,FALSE)</f>
        <v>45829</v>
      </c>
      <c r="K826" s="1" t="str">
        <f>VLOOKUP(B826,Orders!A:B,2,FALSE)</f>
        <v>C0040</v>
      </c>
    </row>
    <row r="827" spans="1:11" x14ac:dyDescent="0.3">
      <c r="A827" s="1" t="s">
        <v>2486</v>
      </c>
      <c r="B827" s="1" t="s">
        <v>2487</v>
      </c>
      <c r="C827" s="1" t="s">
        <v>1242</v>
      </c>
      <c r="D827" s="1">
        <v>3</v>
      </c>
      <c r="E827" s="1">
        <v>0.2</v>
      </c>
      <c r="F827" s="1" t="b">
        <v>0</v>
      </c>
      <c r="G827">
        <f>VLOOKUP(C827,Products!A:D,4,FALSE)</f>
        <v>2720</v>
      </c>
      <c r="H827" t="str">
        <f>VLOOKUP(C827,Products!A:D,3,FALSE)</f>
        <v>Beauty</v>
      </c>
      <c r="I827">
        <f t="shared" si="12"/>
        <v>6528</v>
      </c>
      <c r="J827" s="2">
        <f>VLOOKUP(B827,Orders!A:C,3,FALSE)</f>
        <v>46161</v>
      </c>
      <c r="K827" s="1" t="str">
        <f>VLOOKUP(B827,Orders!A:B,2,FALSE)</f>
        <v>C0124</v>
      </c>
    </row>
    <row r="828" spans="1:11" x14ac:dyDescent="0.3">
      <c r="A828" s="1" t="s">
        <v>2488</v>
      </c>
      <c r="B828" s="1" t="s">
        <v>2489</v>
      </c>
      <c r="C828" s="1" t="s">
        <v>1403</v>
      </c>
      <c r="D828" s="1">
        <v>1</v>
      </c>
      <c r="E828" s="1">
        <v>0</v>
      </c>
      <c r="F828" s="1" t="b">
        <v>0</v>
      </c>
      <c r="G828">
        <f>VLOOKUP(C828,Products!A:D,4,FALSE)</f>
        <v>1340</v>
      </c>
      <c r="H828" t="str">
        <f>VLOOKUP(C828,Products!A:D,3,FALSE)</f>
        <v>Electronics</v>
      </c>
      <c r="I828">
        <f t="shared" si="12"/>
        <v>1340</v>
      </c>
      <c r="J828" s="2">
        <f>VLOOKUP(B828,Orders!A:C,3,FALSE)</f>
        <v>45928</v>
      </c>
      <c r="K828" s="1" t="str">
        <f>VLOOKUP(B828,Orders!A:B,2,FALSE)</f>
        <v>C0277</v>
      </c>
    </row>
    <row r="829" spans="1:11" x14ac:dyDescent="0.3">
      <c r="A829" s="1" t="s">
        <v>2490</v>
      </c>
      <c r="B829" s="1" t="s">
        <v>2489</v>
      </c>
      <c r="C829" s="1" t="s">
        <v>1160</v>
      </c>
      <c r="D829" s="1">
        <v>4</v>
      </c>
      <c r="E829" s="1">
        <v>0.15</v>
      </c>
      <c r="F829" s="1" t="b">
        <v>0</v>
      </c>
      <c r="G829">
        <f>VLOOKUP(C829,Products!A:D,4,FALSE)</f>
        <v>1710</v>
      </c>
      <c r="H829" t="str">
        <f>VLOOKUP(C829,Products!A:D,3,FALSE)</f>
        <v>Home &amp; Kitchen</v>
      </c>
      <c r="I829">
        <f t="shared" si="12"/>
        <v>5814</v>
      </c>
      <c r="J829" s="2">
        <f>VLOOKUP(B829,Orders!A:C,3,FALSE)</f>
        <v>45928</v>
      </c>
      <c r="K829" s="1" t="str">
        <f>VLOOKUP(B829,Orders!A:B,2,FALSE)</f>
        <v>C0277</v>
      </c>
    </row>
    <row r="830" spans="1:11" x14ac:dyDescent="0.3">
      <c r="A830" s="1" t="s">
        <v>2491</v>
      </c>
      <c r="B830" s="1" t="s">
        <v>2492</v>
      </c>
      <c r="C830" s="1" t="s">
        <v>1143</v>
      </c>
      <c r="D830" s="1">
        <v>2</v>
      </c>
      <c r="E830" s="1">
        <v>0.15</v>
      </c>
      <c r="F830" s="1" t="b">
        <v>0</v>
      </c>
      <c r="G830">
        <f>VLOOKUP(C830,Products!A:D,4,FALSE)</f>
        <v>2230</v>
      </c>
      <c r="H830" t="str">
        <f>VLOOKUP(C830,Products!A:D,3,FALSE)</f>
        <v>Home &amp; Kitchen</v>
      </c>
      <c r="I830">
        <f t="shared" si="12"/>
        <v>3791</v>
      </c>
      <c r="J830" s="2">
        <f>VLOOKUP(B830,Orders!A:C,3,FALSE)</f>
        <v>46102</v>
      </c>
      <c r="K830" s="1" t="str">
        <f>VLOOKUP(B830,Orders!A:B,2,FALSE)</f>
        <v>C0041</v>
      </c>
    </row>
    <row r="831" spans="1:11" x14ac:dyDescent="0.3">
      <c r="A831" s="1" t="s">
        <v>2493</v>
      </c>
      <c r="B831" s="1" t="s">
        <v>2492</v>
      </c>
      <c r="C831" s="1" t="s">
        <v>1109</v>
      </c>
      <c r="D831" s="1">
        <v>2</v>
      </c>
      <c r="E831" s="1">
        <v>0</v>
      </c>
      <c r="F831" s="1" t="b">
        <v>0</v>
      </c>
      <c r="G831">
        <f>VLOOKUP(C831,Products!A:D,4,FALSE)</f>
        <v>1475</v>
      </c>
      <c r="H831" t="str">
        <f>VLOOKUP(C831,Products!A:D,3,FALSE)</f>
        <v>Books</v>
      </c>
      <c r="I831">
        <f t="shared" si="12"/>
        <v>2950</v>
      </c>
      <c r="J831" s="2">
        <f>VLOOKUP(B831,Orders!A:C,3,FALSE)</f>
        <v>46102</v>
      </c>
      <c r="K831" s="1" t="str">
        <f>VLOOKUP(B831,Orders!A:B,2,FALSE)</f>
        <v>C0041</v>
      </c>
    </row>
    <row r="832" spans="1:11" x14ac:dyDescent="0.3">
      <c r="A832" s="1" t="s">
        <v>2494</v>
      </c>
      <c r="B832" s="1" t="s">
        <v>2492</v>
      </c>
      <c r="C832" s="1" t="s">
        <v>1393</v>
      </c>
      <c r="D832" s="1">
        <v>2</v>
      </c>
      <c r="E832" s="1">
        <v>0.05</v>
      </c>
      <c r="F832" s="1" t="b">
        <v>0</v>
      </c>
      <c r="G832">
        <f>VLOOKUP(C832,Products!A:D,4,FALSE)</f>
        <v>1520</v>
      </c>
      <c r="H832" t="str">
        <f>VLOOKUP(C832,Products!A:D,3,FALSE)</f>
        <v>Electronics</v>
      </c>
      <c r="I832">
        <f t="shared" ref="I832:I895" si="13">G832*D832*(1-E832)</f>
        <v>2888</v>
      </c>
      <c r="J832" s="2">
        <f>VLOOKUP(B832,Orders!A:C,3,FALSE)</f>
        <v>46102</v>
      </c>
      <c r="K832" s="1" t="str">
        <f>VLOOKUP(B832,Orders!A:B,2,FALSE)</f>
        <v>C0041</v>
      </c>
    </row>
    <row r="833" spans="1:11" x14ac:dyDescent="0.3">
      <c r="A833" s="1" t="s">
        <v>2495</v>
      </c>
      <c r="B833" s="1" t="s">
        <v>2496</v>
      </c>
      <c r="C833" s="1" t="s">
        <v>1302</v>
      </c>
      <c r="D833" s="1">
        <v>5</v>
      </c>
      <c r="E833" s="1">
        <v>0</v>
      </c>
      <c r="F833" s="1" t="b">
        <v>0</v>
      </c>
      <c r="G833">
        <f>VLOOKUP(C833,Products!A:D,4,FALSE)</f>
        <v>1220</v>
      </c>
      <c r="H833" t="str">
        <f>VLOOKUP(C833,Products!A:D,3,FALSE)</f>
        <v>Home &amp; Kitchen</v>
      </c>
      <c r="I833">
        <f t="shared" si="13"/>
        <v>6100</v>
      </c>
      <c r="J833" s="2">
        <f>VLOOKUP(B833,Orders!A:C,3,FALSE)</f>
        <v>46001</v>
      </c>
      <c r="K833" s="1" t="str">
        <f>VLOOKUP(B833,Orders!A:B,2,FALSE)</f>
        <v>C0028</v>
      </c>
    </row>
    <row r="834" spans="1:11" x14ac:dyDescent="0.3">
      <c r="A834" s="1" t="s">
        <v>2497</v>
      </c>
      <c r="B834" s="1" t="s">
        <v>2496</v>
      </c>
      <c r="C834" s="1" t="s">
        <v>1262</v>
      </c>
      <c r="D834" s="1">
        <v>2</v>
      </c>
      <c r="E834" s="1">
        <v>0</v>
      </c>
      <c r="F834" s="1" t="b">
        <v>0</v>
      </c>
      <c r="G834">
        <f>VLOOKUP(C834,Products!A:D,4,FALSE)</f>
        <v>4020</v>
      </c>
      <c r="H834" t="str">
        <f>VLOOKUP(C834,Products!A:D,3,FALSE)</f>
        <v>Sports</v>
      </c>
      <c r="I834">
        <f t="shared" si="13"/>
        <v>8040</v>
      </c>
      <c r="J834" s="2">
        <f>VLOOKUP(B834,Orders!A:C,3,FALSE)</f>
        <v>46001</v>
      </c>
      <c r="K834" s="1" t="str">
        <f>VLOOKUP(B834,Orders!A:B,2,FALSE)</f>
        <v>C0028</v>
      </c>
    </row>
    <row r="835" spans="1:11" x14ac:dyDescent="0.3">
      <c r="A835" s="1" t="s">
        <v>2498</v>
      </c>
      <c r="B835" s="1" t="s">
        <v>2499</v>
      </c>
      <c r="C835" s="1" t="s">
        <v>1118</v>
      </c>
      <c r="D835" s="1">
        <v>3</v>
      </c>
      <c r="E835" s="1">
        <v>0.2</v>
      </c>
      <c r="F835" s="1" t="b">
        <v>0</v>
      </c>
      <c r="G835">
        <f>VLOOKUP(C835,Products!A:D,4,FALSE)</f>
        <v>5550</v>
      </c>
      <c r="H835" t="str">
        <f>VLOOKUP(C835,Products!A:D,3,FALSE)</f>
        <v>Home &amp; Kitchen</v>
      </c>
      <c r="I835">
        <f t="shared" si="13"/>
        <v>13320</v>
      </c>
      <c r="J835" s="2">
        <f>VLOOKUP(B835,Orders!A:C,3,FALSE)</f>
        <v>46137</v>
      </c>
      <c r="K835" s="1" t="str">
        <f>VLOOKUP(B835,Orders!A:B,2,FALSE)</f>
        <v>C0039</v>
      </c>
    </row>
    <row r="836" spans="1:11" x14ac:dyDescent="0.3">
      <c r="A836" s="1" t="s">
        <v>2500</v>
      </c>
      <c r="B836" s="1" t="s">
        <v>2501</v>
      </c>
      <c r="C836" s="1" t="s">
        <v>1123</v>
      </c>
      <c r="D836" s="1">
        <v>5</v>
      </c>
      <c r="E836" s="1">
        <v>0</v>
      </c>
      <c r="F836" s="1" t="b">
        <v>0</v>
      </c>
      <c r="G836">
        <f>VLOOKUP(C836,Products!A:D,4,FALSE)</f>
        <v>2200</v>
      </c>
      <c r="H836" t="str">
        <f>VLOOKUP(C836,Products!A:D,3,FALSE)</f>
        <v>Electronics</v>
      </c>
      <c r="I836">
        <f t="shared" si="13"/>
        <v>11000</v>
      </c>
      <c r="J836" s="2">
        <f>VLOOKUP(B836,Orders!A:C,3,FALSE)</f>
        <v>46221</v>
      </c>
      <c r="K836" s="1" t="str">
        <f>VLOOKUP(B836,Orders!A:B,2,FALSE)</f>
        <v>C0204</v>
      </c>
    </row>
    <row r="837" spans="1:11" x14ac:dyDescent="0.3">
      <c r="A837" s="1" t="s">
        <v>2502</v>
      </c>
      <c r="B837" s="1" t="s">
        <v>2501</v>
      </c>
      <c r="C837" s="1" t="s">
        <v>1320</v>
      </c>
      <c r="D837" s="1">
        <v>1</v>
      </c>
      <c r="E837" s="1">
        <v>0.2</v>
      </c>
      <c r="F837" s="1" t="b">
        <v>0</v>
      </c>
      <c r="G837">
        <f>VLOOKUP(C837,Products!A:D,4,FALSE)</f>
        <v>2790</v>
      </c>
      <c r="H837" t="str">
        <f>VLOOKUP(C837,Products!A:D,3,FALSE)</f>
        <v>Electronics</v>
      </c>
      <c r="I837">
        <f t="shared" si="13"/>
        <v>2232</v>
      </c>
      <c r="J837" s="2">
        <f>VLOOKUP(B837,Orders!A:C,3,FALSE)</f>
        <v>46221</v>
      </c>
      <c r="K837" s="1" t="str">
        <f>VLOOKUP(B837,Orders!A:B,2,FALSE)</f>
        <v>C0204</v>
      </c>
    </row>
    <row r="838" spans="1:11" x14ac:dyDescent="0.3">
      <c r="A838" s="1" t="s">
        <v>2503</v>
      </c>
      <c r="B838" s="1" t="s">
        <v>2504</v>
      </c>
      <c r="C838" s="1" t="s">
        <v>1213</v>
      </c>
      <c r="D838" s="1">
        <v>4</v>
      </c>
      <c r="E838" s="1">
        <v>0.1</v>
      </c>
      <c r="F838" s="1" t="b">
        <v>0</v>
      </c>
      <c r="G838">
        <f>VLOOKUP(C838,Products!A:D,4,FALSE)</f>
        <v>1765</v>
      </c>
      <c r="H838" t="str">
        <f>VLOOKUP(C838,Products!A:D,3,FALSE)</f>
        <v>Beauty</v>
      </c>
      <c r="I838">
        <f t="shared" si="13"/>
        <v>6354</v>
      </c>
      <c r="J838" s="2">
        <f>VLOOKUP(B838,Orders!A:C,3,FALSE)</f>
        <v>45942</v>
      </c>
      <c r="K838" s="1" t="str">
        <f>VLOOKUP(B838,Orders!A:B,2,FALSE)</f>
        <v>C0016</v>
      </c>
    </row>
    <row r="839" spans="1:11" x14ac:dyDescent="0.3">
      <c r="A839" s="1" t="s">
        <v>2505</v>
      </c>
      <c r="B839" s="1" t="s">
        <v>2504</v>
      </c>
      <c r="C839" s="1" t="s">
        <v>1137</v>
      </c>
      <c r="D839" s="1">
        <v>2</v>
      </c>
      <c r="E839" s="1">
        <v>0</v>
      </c>
      <c r="F839" s="1" t="b">
        <v>0</v>
      </c>
      <c r="G839">
        <f>VLOOKUP(C839,Products!A:D,4,FALSE)</f>
        <v>1910</v>
      </c>
      <c r="H839" t="str">
        <f>VLOOKUP(C839,Products!A:D,3,FALSE)</f>
        <v>Apparel</v>
      </c>
      <c r="I839">
        <f t="shared" si="13"/>
        <v>3820</v>
      </c>
      <c r="J839" s="2">
        <f>VLOOKUP(B839,Orders!A:C,3,FALSE)</f>
        <v>45942</v>
      </c>
      <c r="K839" s="1" t="str">
        <f>VLOOKUP(B839,Orders!A:B,2,FALSE)</f>
        <v>C0016</v>
      </c>
    </row>
    <row r="840" spans="1:11" x14ac:dyDescent="0.3">
      <c r="A840" s="1" t="s">
        <v>2506</v>
      </c>
      <c r="B840" s="1" t="s">
        <v>2504</v>
      </c>
      <c r="C840" s="1" t="s">
        <v>1644</v>
      </c>
      <c r="D840" s="1">
        <v>4</v>
      </c>
      <c r="E840" s="1">
        <v>0</v>
      </c>
      <c r="F840" s="1" t="b">
        <v>0</v>
      </c>
      <c r="G840">
        <f>VLOOKUP(C840,Products!A:D,4,FALSE)</f>
        <v>1930</v>
      </c>
      <c r="H840" t="str">
        <f>VLOOKUP(C840,Products!A:D,3,FALSE)</f>
        <v>Home &amp; Kitchen</v>
      </c>
      <c r="I840">
        <f t="shared" si="13"/>
        <v>7720</v>
      </c>
      <c r="J840" s="2">
        <f>VLOOKUP(B840,Orders!A:C,3,FALSE)</f>
        <v>45942</v>
      </c>
      <c r="K840" s="1" t="str">
        <f>VLOOKUP(B840,Orders!A:B,2,FALSE)</f>
        <v>C0016</v>
      </c>
    </row>
    <row r="841" spans="1:11" x14ac:dyDescent="0.3">
      <c r="A841" s="1" t="s">
        <v>2507</v>
      </c>
      <c r="B841" s="1" t="s">
        <v>2508</v>
      </c>
      <c r="C841" s="1" t="s">
        <v>1403</v>
      </c>
      <c r="D841" s="1">
        <v>3</v>
      </c>
      <c r="E841" s="1">
        <v>0</v>
      </c>
      <c r="F841" s="1" t="b">
        <v>0</v>
      </c>
      <c r="G841">
        <f>VLOOKUP(C841,Products!A:D,4,FALSE)</f>
        <v>1340</v>
      </c>
      <c r="H841" t="str">
        <f>VLOOKUP(C841,Products!A:D,3,FALSE)</f>
        <v>Electronics</v>
      </c>
      <c r="I841">
        <f t="shared" si="13"/>
        <v>4020</v>
      </c>
      <c r="J841" s="2">
        <f>VLOOKUP(B841,Orders!A:C,3,FALSE)</f>
        <v>45891</v>
      </c>
      <c r="K841" s="1" t="str">
        <f>VLOOKUP(B841,Orders!A:B,2,FALSE)</f>
        <v>C0252</v>
      </c>
    </row>
    <row r="842" spans="1:11" x14ac:dyDescent="0.3">
      <c r="A842" s="1" t="s">
        <v>2509</v>
      </c>
      <c r="B842" s="1" t="s">
        <v>2508</v>
      </c>
      <c r="C842" s="1" t="s">
        <v>1564</v>
      </c>
      <c r="D842" s="1">
        <v>5</v>
      </c>
      <c r="E842" s="1">
        <v>0</v>
      </c>
      <c r="F842" s="1" t="b">
        <v>0</v>
      </c>
      <c r="G842">
        <f>VLOOKUP(C842,Products!A:D,4,FALSE)</f>
        <v>3680</v>
      </c>
      <c r="H842" t="str">
        <f>VLOOKUP(C842,Products!A:D,3,FALSE)</f>
        <v>Home &amp; Kitchen</v>
      </c>
      <c r="I842">
        <f t="shared" si="13"/>
        <v>18400</v>
      </c>
      <c r="J842" s="2">
        <f>VLOOKUP(B842,Orders!A:C,3,FALSE)</f>
        <v>45891</v>
      </c>
      <c r="K842" s="1" t="str">
        <f>VLOOKUP(B842,Orders!A:B,2,FALSE)</f>
        <v>C0252</v>
      </c>
    </row>
    <row r="843" spans="1:11" x14ac:dyDescent="0.3">
      <c r="A843" s="1" t="s">
        <v>2510</v>
      </c>
      <c r="B843" s="1" t="s">
        <v>2508</v>
      </c>
      <c r="C843" s="1" t="s">
        <v>1276</v>
      </c>
      <c r="D843" s="1">
        <v>2</v>
      </c>
      <c r="E843" s="1">
        <v>0.2</v>
      </c>
      <c r="F843" s="1" t="b">
        <v>0</v>
      </c>
      <c r="G843">
        <f>VLOOKUP(C843,Products!A:D,4,FALSE)</f>
        <v>2010</v>
      </c>
      <c r="H843" t="str">
        <f>VLOOKUP(C843,Products!A:D,3,FALSE)</f>
        <v>Beauty</v>
      </c>
      <c r="I843">
        <f t="shared" si="13"/>
        <v>3216</v>
      </c>
      <c r="J843" s="2">
        <f>VLOOKUP(B843,Orders!A:C,3,FALSE)</f>
        <v>45891</v>
      </c>
      <c r="K843" s="1" t="str">
        <f>VLOOKUP(B843,Orders!A:B,2,FALSE)</f>
        <v>C0252</v>
      </c>
    </row>
    <row r="844" spans="1:11" x14ac:dyDescent="0.3">
      <c r="A844" s="1" t="s">
        <v>2511</v>
      </c>
      <c r="B844" s="1" t="s">
        <v>2512</v>
      </c>
      <c r="C844" s="1" t="s">
        <v>1328</v>
      </c>
      <c r="D844" s="1">
        <v>3</v>
      </c>
      <c r="E844" s="1">
        <v>0</v>
      </c>
      <c r="F844" s="1" t="b">
        <v>0</v>
      </c>
      <c r="G844">
        <f>VLOOKUP(C844,Products!A:D,4,FALSE)</f>
        <v>1880</v>
      </c>
      <c r="H844" t="str">
        <f>VLOOKUP(C844,Products!A:D,3,FALSE)</f>
        <v>Apparel</v>
      </c>
      <c r="I844">
        <f t="shared" si="13"/>
        <v>5640</v>
      </c>
      <c r="J844" s="2">
        <f>VLOOKUP(B844,Orders!A:C,3,FALSE)</f>
        <v>46080</v>
      </c>
      <c r="K844" s="1" t="str">
        <f>VLOOKUP(B844,Orders!A:B,2,FALSE)</f>
        <v>C0284</v>
      </c>
    </row>
    <row r="845" spans="1:11" x14ac:dyDescent="0.3">
      <c r="A845" s="1" t="s">
        <v>2513</v>
      </c>
      <c r="B845" s="1" t="s">
        <v>2514</v>
      </c>
      <c r="C845" s="1" t="s">
        <v>1459</v>
      </c>
      <c r="D845" s="1">
        <v>4</v>
      </c>
      <c r="E845" s="1">
        <v>0</v>
      </c>
      <c r="F845" s="1" t="b">
        <v>0</v>
      </c>
      <c r="G845">
        <f>VLOOKUP(C845,Products!A:D,4,FALSE)</f>
        <v>710</v>
      </c>
      <c r="H845" t="str">
        <f>VLOOKUP(C845,Products!A:D,3,FALSE)</f>
        <v>Sports</v>
      </c>
      <c r="I845">
        <f t="shared" si="13"/>
        <v>2840</v>
      </c>
      <c r="J845" s="2">
        <f>VLOOKUP(B845,Orders!A:C,3,FALSE)</f>
        <v>45813</v>
      </c>
      <c r="K845" s="1" t="str">
        <f>VLOOKUP(B845,Orders!A:B,2,FALSE)</f>
        <v>C0096</v>
      </c>
    </row>
    <row r="846" spans="1:11" x14ac:dyDescent="0.3">
      <c r="A846" s="1" t="s">
        <v>2515</v>
      </c>
      <c r="B846" s="1" t="s">
        <v>2516</v>
      </c>
      <c r="C846" s="1" t="s">
        <v>1184</v>
      </c>
      <c r="D846" s="1">
        <v>2</v>
      </c>
      <c r="E846" s="1">
        <v>0.05</v>
      </c>
      <c r="F846" s="1" t="b">
        <v>0</v>
      </c>
      <c r="G846">
        <f>VLOOKUP(C846,Products!A:D,4,FALSE)</f>
        <v>2230</v>
      </c>
      <c r="H846" t="str">
        <f>VLOOKUP(C846,Products!A:D,3,FALSE)</f>
        <v>Sports</v>
      </c>
      <c r="I846">
        <f t="shared" si="13"/>
        <v>4237</v>
      </c>
      <c r="J846" s="2">
        <f>VLOOKUP(B846,Orders!A:C,3,FALSE)</f>
        <v>45825</v>
      </c>
      <c r="K846" s="1" t="str">
        <f>VLOOKUP(B846,Orders!A:B,2,FALSE)</f>
        <v>C0044</v>
      </c>
    </row>
    <row r="847" spans="1:11" x14ac:dyDescent="0.3">
      <c r="A847" s="1" t="s">
        <v>2517</v>
      </c>
      <c r="B847" s="1" t="s">
        <v>2516</v>
      </c>
      <c r="C847" s="1" t="s">
        <v>1262</v>
      </c>
      <c r="D847" s="1">
        <v>5</v>
      </c>
      <c r="E847" s="1">
        <v>0</v>
      </c>
      <c r="F847" s="1" t="b">
        <v>0</v>
      </c>
      <c r="G847">
        <f>VLOOKUP(C847,Products!A:D,4,FALSE)</f>
        <v>4020</v>
      </c>
      <c r="H847" t="str">
        <f>VLOOKUP(C847,Products!A:D,3,FALSE)</f>
        <v>Sports</v>
      </c>
      <c r="I847">
        <f t="shared" si="13"/>
        <v>20100</v>
      </c>
      <c r="J847" s="2">
        <f>VLOOKUP(B847,Orders!A:C,3,FALSE)</f>
        <v>45825</v>
      </c>
      <c r="K847" s="1" t="str">
        <f>VLOOKUP(B847,Orders!A:B,2,FALSE)</f>
        <v>C0044</v>
      </c>
    </row>
    <row r="848" spans="1:11" x14ac:dyDescent="0.3">
      <c r="A848" s="1" t="s">
        <v>2518</v>
      </c>
      <c r="B848" s="1" t="s">
        <v>2519</v>
      </c>
      <c r="C848" s="1" t="s">
        <v>1393</v>
      </c>
      <c r="D848" s="1">
        <v>5</v>
      </c>
      <c r="E848" s="1">
        <v>0.05</v>
      </c>
      <c r="F848" s="1" t="b">
        <v>0</v>
      </c>
      <c r="G848">
        <f>VLOOKUP(C848,Products!A:D,4,FALSE)</f>
        <v>1520</v>
      </c>
      <c r="H848" t="str">
        <f>VLOOKUP(C848,Products!A:D,3,FALSE)</f>
        <v>Electronics</v>
      </c>
      <c r="I848">
        <f t="shared" si="13"/>
        <v>7220</v>
      </c>
      <c r="J848" s="2">
        <f>VLOOKUP(B848,Orders!A:C,3,FALSE)</f>
        <v>46176</v>
      </c>
      <c r="K848" s="1" t="str">
        <f>VLOOKUP(B848,Orders!A:B,2,FALSE)</f>
        <v>C0127</v>
      </c>
    </row>
    <row r="849" spans="1:11" x14ac:dyDescent="0.3">
      <c r="A849" s="1" t="s">
        <v>2520</v>
      </c>
      <c r="B849" s="1" t="s">
        <v>2521</v>
      </c>
      <c r="C849" s="1" t="s">
        <v>1288</v>
      </c>
      <c r="D849" s="1">
        <v>4</v>
      </c>
      <c r="E849" s="1">
        <v>0</v>
      </c>
      <c r="F849" s="1" t="b">
        <v>0</v>
      </c>
      <c r="G849">
        <f>VLOOKUP(C849,Products!A:D,4,FALSE)</f>
        <v>2580</v>
      </c>
      <c r="H849" t="str">
        <f>VLOOKUP(C849,Products!A:D,3,FALSE)</f>
        <v>Beauty</v>
      </c>
      <c r="I849">
        <f t="shared" si="13"/>
        <v>10320</v>
      </c>
      <c r="J849" s="2">
        <f>VLOOKUP(B849,Orders!A:C,3,FALSE)</f>
        <v>45918</v>
      </c>
      <c r="K849" s="1" t="str">
        <f>VLOOKUP(B849,Orders!A:B,2,FALSE)</f>
        <v>C0138</v>
      </c>
    </row>
    <row r="850" spans="1:11" x14ac:dyDescent="0.3">
      <c r="A850" s="1" t="s">
        <v>2522</v>
      </c>
      <c r="B850" s="1" t="s">
        <v>2521</v>
      </c>
      <c r="C850" s="1" t="s">
        <v>1130</v>
      </c>
      <c r="D850" s="1">
        <v>3</v>
      </c>
      <c r="E850" s="1">
        <v>0</v>
      </c>
      <c r="F850" s="1" t="b">
        <v>1</v>
      </c>
      <c r="G850">
        <f>VLOOKUP(C850,Products!A:D,4,FALSE)</f>
        <v>2400</v>
      </c>
      <c r="H850" t="str">
        <f>VLOOKUP(C850,Products!A:D,3,FALSE)</f>
        <v>Electronics</v>
      </c>
      <c r="I850">
        <f t="shared" si="13"/>
        <v>7200</v>
      </c>
      <c r="J850" s="2">
        <f>VLOOKUP(B850,Orders!A:C,3,FALSE)</f>
        <v>45918</v>
      </c>
      <c r="K850" s="1" t="str">
        <f>VLOOKUP(B850,Orders!A:B,2,FALSE)</f>
        <v>C0138</v>
      </c>
    </row>
    <row r="851" spans="1:11" x14ac:dyDescent="0.3">
      <c r="A851" s="1" t="s">
        <v>2523</v>
      </c>
      <c r="B851" s="1" t="s">
        <v>2524</v>
      </c>
      <c r="C851" s="1" t="s">
        <v>1320</v>
      </c>
      <c r="D851" s="1">
        <v>3</v>
      </c>
      <c r="E851" s="1">
        <v>0.05</v>
      </c>
      <c r="F851" s="1" t="b">
        <v>0</v>
      </c>
      <c r="G851">
        <f>VLOOKUP(C851,Products!A:D,4,FALSE)</f>
        <v>2790</v>
      </c>
      <c r="H851" t="str">
        <f>VLOOKUP(C851,Products!A:D,3,FALSE)</f>
        <v>Electronics</v>
      </c>
      <c r="I851">
        <f t="shared" si="13"/>
        <v>7951.5</v>
      </c>
      <c r="J851" s="2">
        <f>VLOOKUP(B851,Orders!A:C,3,FALSE)</f>
        <v>46079</v>
      </c>
      <c r="K851" s="1" t="str">
        <f>VLOOKUP(B851,Orders!A:B,2,FALSE)</f>
        <v>C0200</v>
      </c>
    </row>
    <row r="852" spans="1:11" x14ac:dyDescent="0.3">
      <c r="A852" s="1" t="s">
        <v>2525</v>
      </c>
      <c r="B852" s="1" t="s">
        <v>2524</v>
      </c>
      <c r="C852" s="1" t="s">
        <v>1302</v>
      </c>
      <c r="D852" s="1">
        <v>2</v>
      </c>
      <c r="E852" s="1">
        <v>0</v>
      </c>
      <c r="F852" s="1" t="b">
        <v>0</v>
      </c>
      <c r="G852">
        <f>VLOOKUP(C852,Products!A:D,4,FALSE)</f>
        <v>1220</v>
      </c>
      <c r="H852" t="str">
        <f>VLOOKUP(C852,Products!A:D,3,FALSE)</f>
        <v>Home &amp; Kitchen</v>
      </c>
      <c r="I852">
        <f t="shared" si="13"/>
        <v>2440</v>
      </c>
      <c r="J852" s="2">
        <f>VLOOKUP(B852,Orders!A:C,3,FALSE)</f>
        <v>46079</v>
      </c>
      <c r="K852" s="1" t="str">
        <f>VLOOKUP(B852,Orders!A:B,2,FALSE)</f>
        <v>C0200</v>
      </c>
    </row>
    <row r="853" spans="1:11" x14ac:dyDescent="0.3">
      <c r="A853" s="1" t="s">
        <v>2526</v>
      </c>
      <c r="B853" s="1" t="s">
        <v>2524</v>
      </c>
      <c r="C853" s="1" t="s">
        <v>1459</v>
      </c>
      <c r="D853" s="1">
        <v>3</v>
      </c>
      <c r="E853" s="1">
        <v>0.1</v>
      </c>
      <c r="F853" s="1" t="b">
        <v>0</v>
      </c>
      <c r="G853">
        <f>VLOOKUP(C853,Products!A:D,4,FALSE)</f>
        <v>710</v>
      </c>
      <c r="H853" t="str">
        <f>VLOOKUP(C853,Products!A:D,3,FALSE)</f>
        <v>Sports</v>
      </c>
      <c r="I853">
        <f t="shared" si="13"/>
        <v>1917</v>
      </c>
      <c r="J853" s="2">
        <f>VLOOKUP(B853,Orders!A:C,3,FALSE)</f>
        <v>46079</v>
      </c>
      <c r="K853" s="1" t="str">
        <f>VLOOKUP(B853,Orders!A:B,2,FALSE)</f>
        <v>C0200</v>
      </c>
    </row>
    <row r="854" spans="1:11" x14ac:dyDescent="0.3">
      <c r="A854" s="1" t="s">
        <v>2527</v>
      </c>
      <c r="B854" s="1" t="s">
        <v>2528</v>
      </c>
      <c r="C854" s="1" t="s">
        <v>1484</v>
      </c>
      <c r="D854" s="1">
        <v>2</v>
      </c>
      <c r="E854" s="1">
        <v>0.1</v>
      </c>
      <c r="F854" s="1" t="b">
        <v>0</v>
      </c>
      <c r="G854">
        <f>VLOOKUP(C854,Products!A:D,4,FALSE)</f>
        <v>1080</v>
      </c>
      <c r="H854" t="str">
        <f>VLOOKUP(C854,Products!A:D,3,FALSE)</f>
        <v>Home &amp; Kitchen</v>
      </c>
      <c r="I854">
        <f t="shared" si="13"/>
        <v>1944</v>
      </c>
      <c r="J854" s="2">
        <f>VLOOKUP(B854,Orders!A:C,3,FALSE)</f>
        <v>46047</v>
      </c>
      <c r="K854" s="1" t="str">
        <f>VLOOKUP(B854,Orders!A:B,2,FALSE)</f>
        <v>C0047</v>
      </c>
    </row>
    <row r="855" spans="1:11" x14ac:dyDescent="0.3">
      <c r="A855" s="1" t="s">
        <v>2529</v>
      </c>
      <c r="B855" s="1" t="s">
        <v>2530</v>
      </c>
      <c r="C855" s="1" t="s">
        <v>1391</v>
      </c>
      <c r="D855" s="1">
        <v>2</v>
      </c>
      <c r="E855" s="1">
        <v>0.15</v>
      </c>
      <c r="F855" s="1" t="b">
        <v>0</v>
      </c>
      <c r="G855">
        <f>VLOOKUP(C855,Products!A:D,4,FALSE)</f>
        <v>1900</v>
      </c>
      <c r="H855" t="str">
        <f>VLOOKUP(C855,Products!A:D,3,FALSE)</f>
        <v>Beauty</v>
      </c>
      <c r="I855">
        <f t="shared" si="13"/>
        <v>3230</v>
      </c>
      <c r="J855" s="2">
        <f>VLOOKUP(B855,Orders!A:C,3,FALSE)</f>
        <v>46199</v>
      </c>
      <c r="K855" s="1" t="str">
        <f>VLOOKUP(B855,Orders!A:B,2,FALSE)</f>
        <v>C0228</v>
      </c>
    </row>
    <row r="856" spans="1:11" x14ac:dyDescent="0.3">
      <c r="A856" s="1" t="s">
        <v>2531</v>
      </c>
      <c r="B856" s="1" t="s">
        <v>2530</v>
      </c>
      <c r="C856" s="1" t="s">
        <v>1273</v>
      </c>
      <c r="D856" s="1">
        <v>5</v>
      </c>
      <c r="E856" s="1">
        <v>0</v>
      </c>
      <c r="F856" s="1" t="b">
        <v>0</v>
      </c>
      <c r="G856">
        <f>VLOOKUP(C856,Products!A:D,4,FALSE)</f>
        <v>360</v>
      </c>
      <c r="H856" t="str">
        <f>VLOOKUP(C856,Products!A:D,3,FALSE)</f>
        <v>Beauty</v>
      </c>
      <c r="I856">
        <f t="shared" si="13"/>
        <v>1800</v>
      </c>
      <c r="J856" s="2">
        <f>VLOOKUP(B856,Orders!A:C,3,FALSE)</f>
        <v>46199</v>
      </c>
      <c r="K856" s="1" t="str">
        <f>VLOOKUP(B856,Orders!A:B,2,FALSE)</f>
        <v>C0228</v>
      </c>
    </row>
    <row r="857" spans="1:11" x14ac:dyDescent="0.3">
      <c r="A857" s="1" t="s">
        <v>2532</v>
      </c>
      <c r="B857" s="1" t="s">
        <v>2533</v>
      </c>
      <c r="C857" s="1" t="s">
        <v>1294</v>
      </c>
      <c r="D857" s="1">
        <v>3</v>
      </c>
      <c r="E857" s="1">
        <v>0.05</v>
      </c>
      <c r="F857" s="1" t="b">
        <v>0</v>
      </c>
      <c r="G857">
        <f>VLOOKUP(C857,Products!A:D,4,FALSE)</f>
        <v>210</v>
      </c>
      <c r="H857" t="str">
        <f>VLOOKUP(C857,Products!A:D,3,FALSE)</f>
        <v>Electronics</v>
      </c>
      <c r="I857">
        <f t="shared" si="13"/>
        <v>598.5</v>
      </c>
      <c r="J857" s="2">
        <f>VLOOKUP(B857,Orders!A:C,3,FALSE)</f>
        <v>45773</v>
      </c>
      <c r="K857" s="1" t="str">
        <f>VLOOKUP(B857,Orders!A:B,2,FALSE)</f>
        <v>C0053</v>
      </c>
    </row>
    <row r="858" spans="1:11" x14ac:dyDescent="0.3">
      <c r="A858" s="1" t="s">
        <v>2534</v>
      </c>
      <c r="B858" s="1" t="s">
        <v>2533</v>
      </c>
      <c r="C858" s="1" t="s">
        <v>1130</v>
      </c>
      <c r="D858" s="1">
        <v>5</v>
      </c>
      <c r="E858" s="1">
        <v>0</v>
      </c>
      <c r="F858" s="1" t="b">
        <v>0</v>
      </c>
      <c r="G858">
        <f>VLOOKUP(C858,Products!A:D,4,FALSE)</f>
        <v>2400</v>
      </c>
      <c r="H858" t="str">
        <f>VLOOKUP(C858,Products!A:D,3,FALSE)</f>
        <v>Electronics</v>
      </c>
      <c r="I858">
        <f t="shared" si="13"/>
        <v>12000</v>
      </c>
      <c r="J858" s="2">
        <f>VLOOKUP(B858,Orders!A:C,3,FALSE)</f>
        <v>45773</v>
      </c>
      <c r="K858" s="1" t="str">
        <f>VLOOKUP(B858,Orders!A:B,2,FALSE)</f>
        <v>C0053</v>
      </c>
    </row>
    <row r="859" spans="1:11" x14ac:dyDescent="0.3">
      <c r="A859" s="1" t="s">
        <v>2535</v>
      </c>
      <c r="B859" s="1" t="s">
        <v>2536</v>
      </c>
      <c r="C859" s="1" t="s">
        <v>1116</v>
      </c>
      <c r="D859" s="1">
        <v>1</v>
      </c>
      <c r="E859" s="1">
        <v>0.1</v>
      </c>
      <c r="F859" s="1" t="b">
        <v>0</v>
      </c>
      <c r="G859">
        <f>VLOOKUP(C859,Products!A:D,4,FALSE)</f>
        <v>3000</v>
      </c>
      <c r="H859" t="str">
        <f>VLOOKUP(C859,Products!A:D,3,FALSE)</f>
        <v>Home &amp; Kitchen</v>
      </c>
      <c r="I859">
        <f t="shared" si="13"/>
        <v>2700</v>
      </c>
      <c r="J859" s="2">
        <f>VLOOKUP(B859,Orders!A:C,3,FALSE)</f>
        <v>45822</v>
      </c>
      <c r="K859" s="1" t="str">
        <f>VLOOKUP(B859,Orders!A:B,2,FALSE)</f>
        <v>C0221</v>
      </c>
    </row>
    <row r="860" spans="1:11" x14ac:dyDescent="0.3">
      <c r="A860" s="1" t="s">
        <v>2537</v>
      </c>
      <c r="B860" s="1" t="s">
        <v>2538</v>
      </c>
      <c r="C860" s="1" t="s">
        <v>1418</v>
      </c>
      <c r="D860" s="1">
        <v>5</v>
      </c>
      <c r="E860" s="1">
        <v>0</v>
      </c>
      <c r="F860" s="1" t="b">
        <v>0</v>
      </c>
      <c r="G860">
        <f>VLOOKUP(C860,Products!A:D,4,FALSE)</f>
        <v>1030</v>
      </c>
      <c r="H860" t="str">
        <f>VLOOKUP(C860,Products!A:D,3,FALSE)</f>
        <v>Beauty</v>
      </c>
      <c r="I860">
        <f t="shared" si="13"/>
        <v>5150</v>
      </c>
      <c r="J860" s="2">
        <f>VLOOKUP(B860,Orders!A:C,3,FALSE)</f>
        <v>45859</v>
      </c>
      <c r="K860" s="1" t="str">
        <f>VLOOKUP(B860,Orders!A:B,2,FALSE)</f>
        <v>C0263</v>
      </c>
    </row>
    <row r="861" spans="1:11" x14ac:dyDescent="0.3">
      <c r="A861" s="1" t="s">
        <v>2539</v>
      </c>
      <c r="B861" s="1" t="s">
        <v>2540</v>
      </c>
      <c r="C861" s="1" t="s">
        <v>1393</v>
      </c>
      <c r="D861" s="1">
        <v>2</v>
      </c>
      <c r="E861" s="1">
        <v>0</v>
      </c>
      <c r="F861" s="1" t="b">
        <v>0</v>
      </c>
      <c r="G861">
        <f>VLOOKUP(C861,Products!A:D,4,FALSE)</f>
        <v>1520</v>
      </c>
      <c r="H861" t="str">
        <f>VLOOKUP(C861,Products!A:D,3,FALSE)</f>
        <v>Electronics</v>
      </c>
      <c r="I861">
        <f t="shared" si="13"/>
        <v>3040</v>
      </c>
      <c r="J861" s="2">
        <f>VLOOKUP(B861,Orders!A:C,3,FALSE)</f>
        <v>45907</v>
      </c>
      <c r="K861" s="1" t="str">
        <f>VLOOKUP(B861,Orders!A:B,2,FALSE)</f>
        <v>C0046</v>
      </c>
    </row>
    <row r="862" spans="1:11" x14ac:dyDescent="0.3">
      <c r="A862" s="1" t="s">
        <v>2541</v>
      </c>
      <c r="B862" s="1" t="s">
        <v>2542</v>
      </c>
      <c r="C862" s="1" t="s">
        <v>1213</v>
      </c>
      <c r="D862" s="1">
        <v>2</v>
      </c>
      <c r="E862" s="1">
        <v>0.15</v>
      </c>
      <c r="F862" s="1" t="b">
        <v>0</v>
      </c>
      <c r="G862">
        <f>VLOOKUP(C862,Products!A:D,4,FALSE)</f>
        <v>1765</v>
      </c>
      <c r="H862" t="str">
        <f>VLOOKUP(C862,Products!A:D,3,FALSE)</f>
        <v>Beauty</v>
      </c>
      <c r="I862">
        <f t="shared" si="13"/>
        <v>3000.5</v>
      </c>
      <c r="J862" s="2">
        <f>VLOOKUP(B862,Orders!A:C,3,FALSE)</f>
        <v>45893</v>
      </c>
      <c r="K862" s="1" t="str">
        <f>VLOOKUP(B862,Orders!A:B,2,FALSE)</f>
        <v>C0167</v>
      </c>
    </row>
    <row r="863" spans="1:11" x14ac:dyDescent="0.3">
      <c r="A863" s="1" t="s">
        <v>2543</v>
      </c>
      <c r="B863" s="1" t="s">
        <v>2544</v>
      </c>
      <c r="C863" s="1" t="s">
        <v>1302</v>
      </c>
      <c r="D863" s="1">
        <v>4</v>
      </c>
      <c r="E863" s="1">
        <v>0</v>
      </c>
      <c r="F863" s="1" t="b">
        <v>0</v>
      </c>
      <c r="G863">
        <f>VLOOKUP(C863,Products!A:D,4,FALSE)</f>
        <v>1220</v>
      </c>
      <c r="H863" t="str">
        <f>VLOOKUP(C863,Products!A:D,3,FALSE)</f>
        <v>Home &amp; Kitchen</v>
      </c>
      <c r="I863">
        <f t="shared" si="13"/>
        <v>4880</v>
      </c>
      <c r="J863" s="2">
        <f>VLOOKUP(B863,Orders!A:C,3,FALSE)</f>
        <v>45880</v>
      </c>
      <c r="K863" s="1" t="str">
        <f>VLOOKUP(B863,Orders!A:B,2,FALSE)</f>
        <v>C0150</v>
      </c>
    </row>
    <row r="864" spans="1:11" x14ac:dyDescent="0.3">
      <c r="A864" s="1" t="s">
        <v>2545</v>
      </c>
      <c r="B864" s="1" t="s">
        <v>2544</v>
      </c>
      <c r="C864" s="1" t="s">
        <v>1270</v>
      </c>
      <c r="D864" s="1">
        <v>1</v>
      </c>
      <c r="E864" s="1">
        <v>0</v>
      </c>
      <c r="F864" s="1" t="b">
        <v>0</v>
      </c>
      <c r="G864">
        <f>VLOOKUP(C864,Products!A:D,4,FALSE)</f>
        <v>3560</v>
      </c>
      <c r="H864" t="str">
        <f>VLOOKUP(C864,Products!A:D,3,FALSE)</f>
        <v>Sports</v>
      </c>
      <c r="I864">
        <f t="shared" si="13"/>
        <v>3560</v>
      </c>
      <c r="J864" s="2">
        <f>VLOOKUP(B864,Orders!A:C,3,FALSE)</f>
        <v>45880</v>
      </c>
      <c r="K864" s="1" t="str">
        <f>VLOOKUP(B864,Orders!A:B,2,FALSE)</f>
        <v>C0150</v>
      </c>
    </row>
    <row r="865" spans="1:11" x14ac:dyDescent="0.3">
      <c r="A865" s="1" t="s">
        <v>2546</v>
      </c>
      <c r="B865" s="1" t="s">
        <v>2544</v>
      </c>
      <c r="C865" s="1" t="s">
        <v>1174</v>
      </c>
      <c r="D865" s="1">
        <v>3</v>
      </c>
      <c r="E865" s="1">
        <v>0</v>
      </c>
      <c r="F865" s="1" t="b">
        <v>0</v>
      </c>
      <c r="G865">
        <f>VLOOKUP(C865,Products!A:D,4,FALSE)</f>
        <v>1250</v>
      </c>
      <c r="H865" t="str">
        <f>VLOOKUP(C865,Products!A:D,3,FALSE)</f>
        <v>Sports</v>
      </c>
      <c r="I865">
        <f t="shared" si="13"/>
        <v>3750</v>
      </c>
      <c r="J865" s="2">
        <f>VLOOKUP(B865,Orders!A:C,3,FALSE)</f>
        <v>45880</v>
      </c>
      <c r="K865" s="1" t="str">
        <f>VLOOKUP(B865,Orders!A:B,2,FALSE)</f>
        <v>C0150</v>
      </c>
    </row>
    <row r="866" spans="1:11" x14ac:dyDescent="0.3">
      <c r="A866" s="1" t="s">
        <v>2547</v>
      </c>
      <c r="B866" s="1" t="s">
        <v>2548</v>
      </c>
      <c r="C866" s="1" t="s">
        <v>1127</v>
      </c>
      <c r="D866" s="1">
        <v>5</v>
      </c>
      <c r="E866" s="1">
        <v>0.2</v>
      </c>
      <c r="F866" s="1" t="b">
        <v>0</v>
      </c>
      <c r="G866">
        <f>VLOOKUP(C866,Products!A:D,4,FALSE)</f>
        <v>1660</v>
      </c>
      <c r="H866" t="str">
        <f>VLOOKUP(C866,Products!A:D,3,FALSE)</f>
        <v>Apparel</v>
      </c>
      <c r="I866">
        <f t="shared" si="13"/>
        <v>6640</v>
      </c>
      <c r="J866" s="2">
        <f>VLOOKUP(B866,Orders!A:C,3,FALSE)</f>
        <v>46087</v>
      </c>
      <c r="K866" s="1" t="str">
        <f>VLOOKUP(B866,Orders!A:B,2,FALSE)</f>
        <v>C0287</v>
      </c>
    </row>
    <row r="867" spans="1:11" x14ac:dyDescent="0.3">
      <c r="A867" s="1" t="s">
        <v>2549</v>
      </c>
      <c r="B867" s="1" t="s">
        <v>2550</v>
      </c>
      <c r="C867" s="1" t="s">
        <v>1123</v>
      </c>
      <c r="D867" s="1">
        <v>1</v>
      </c>
      <c r="E867" s="1">
        <v>0</v>
      </c>
      <c r="F867" s="1" t="b">
        <v>0</v>
      </c>
      <c r="G867">
        <f>VLOOKUP(C867,Products!A:D,4,FALSE)</f>
        <v>2200</v>
      </c>
      <c r="H867" t="str">
        <f>VLOOKUP(C867,Products!A:D,3,FALSE)</f>
        <v>Electronics</v>
      </c>
      <c r="I867">
        <f t="shared" si="13"/>
        <v>2200</v>
      </c>
      <c r="J867" s="2">
        <f>VLOOKUP(B867,Orders!A:C,3,FALSE)</f>
        <v>45882</v>
      </c>
      <c r="K867" s="1" t="str">
        <f>VLOOKUP(B867,Orders!A:B,2,FALSE)</f>
        <v>C0293</v>
      </c>
    </row>
    <row r="868" spans="1:11" x14ac:dyDescent="0.3">
      <c r="A868" s="1" t="s">
        <v>2551</v>
      </c>
      <c r="B868" s="1" t="s">
        <v>2550</v>
      </c>
      <c r="C868" s="1" t="s">
        <v>1118</v>
      </c>
      <c r="D868" s="1">
        <v>5</v>
      </c>
      <c r="E868" s="1">
        <v>0</v>
      </c>
      <c r="F868" s="1" t="b">
        <v>0</v>
      </c>
      <c r="G868">
        <f>VLOOKUP(C868,Products!A:D,4,FALSE)</f>
        <v>5550</v>
      </c>
      <c r="H868" t="str">
        <f>VLOOKUP(C868,Products!A:D,3,FALSE)</f>
        <v>Home &amp; Kitchen</v>
      </c>
      <c r="I868">
        <f t="shared" si="13"/>
        <v>27750</v>
      </c>
      <c r="J868" s="2">
        <f>VLOOKUP(B868,Orders!A:C,3,FALSE)</f>
        <v>45882</v>
      </c>
      <c r="K868" s="1" t="str">
        <f>VLOOKUP(B868,Orders!A:B,2,FALSE)</f>
        <v>C0293</v>
      </c>
    </row>
    <row r="869" spans="1:11" x14ac:dyDescent="0.3">
      <c r="A869" s="1" t="s">
        <v>2552</v>
      </c>
      <c r="B869" s="1" t="s">
        <v>2550</v>
      </c>
      <c r="C869" s="1" t="s">
        <v>1270</v>
      </c>
      <c r="D869" s="1">
        <v>1</v>
      </c>
      <c r="E869" s="1">
        <v>0.05</v>
      </c>
      <c r="F869" s="1" t="b">
        <v>0</v>
      </c>
      <c r="G869">
        <f>VLOOKUP(C869,Products!A:D,4,FALSE)</f>
        <v>3560</v>
      </c>
      <c r="H869" t="str">
        <f>VLOOKUP(C869,Products!A:D,3,FALSE)</f>
        <v>Sports</v>
      </c>
      <c r="I869">
        <f t="shared" si="13"/>
        <v>3382</v>
      </c>
      <c r="J869" s="2">
        <f>VLOOKUP(B869,Orders!A:C,3,FALSE)</f>
        <v>45882</v>
      </c>
      <c r="K869" s="1" t="str">
        <f>VLOOKUP(B869,Orders!A:B,2,FALSE)</f>
        <v>C0293</v>
      </c>
    </row>
    <row r="870" spans="1:11" x14ac:dyDescent="0.3">
      <c r="A870" s="1" t="s">
        <v>2553</v>
      </c>
      <c r="B870" s="1" t="s">
        <v>2554</v>
      </c>
      <c r="C870" s="1" t="s">
        <v>1111</v>
      </c>
      <c r="D870" s="1">
        <v>2</v>
      </c>
      <c r="E870" s="1">
        <v>0.15</v>
      </c>
      <c r="F870" s="1" t="b">
        <v>0</v>
      </c>
      <c r="G870">
        <f>VLOOKUP(C870,Products!A:D,4,FALSE)</f>
        <v>2450</v>
      </c>
      <c r="H870" t="str">
        <f>VLOOKUP(C870,Products!A:D,3,FALSE)</f>
        <v>Sports</v>
      </c>
      <c r="I870">
        <f t="shared" si="13"/>
        <v>4165</v>
      </c>
      <c r="J870" s="2">
        <f>VLOOKUP(B870,Orders!A:C,3,FALSE)</f>
        <v>45977</v>
      </c>
      <c r="K870" s="1" t="str">
        <f>VLOOKUP(B870,Orders!A:B,2,FALSE)</f>
        <v>C0087</v>
      </c>
    </row>
    <row r="871" spans="1:11" x14ac:dyDescent="0.3">
      <c r="A871" s="1" t="s">
        <v>2555</v>
      </c>
      <c r="B871" s="1" t="s">
        <v>2554</v>
      </c>
      <c r="C871" s="1" t="s">
        <v>1182</v>
      </c>
      <c r="D871" s="1">
        <v>5</v>
      </c>
      <c r="E871" s="1">
        <v>0.1</v>
      </c>
      <c r="F871" s="1" t="b">
        <v>0</v>
      </c>
      <c r="G871">
        <f>VLOOKUP(C871,Products!A:D,4,FALSE)</f>
        <v>790</v>
      </c>
      <c r="H871" t="str">
        <f>VLOOKUP(C871,Products!A:D,3,FALSE)</f>
        <v>Sports</v>
      </c>
      <c r="I871">
        <f t="shared" si="13"/>
        <v>3555</v>
      </c>
      <c r="J871" s="2">
        <f>VLOOKUP(B871,Orders!A:C,3,FALSE)</f>
        <v>45977</v>
      </c>
      <c r="K871" s="1" t="str">
        <f>VLOOKUP(B871,Orders!A:B,2,FALSE)</f>
        <v>C0087</v>
      </c>
    </row>
    <row r="872" spans="1:11" x14ac:dyDescent="0.3">
      <c r="A872" s="1" t="s">
        <v>2556</v>
      </c>
      <c r="B872" s="1" t="s">
        <v>2557</v>
      </c>
      <c r="C872" s="1" t="s">
        <v>1644</v>
      </c>
      <c r="D872" s="1">
        <v>3</v>
      </c>
      <c r="E872" s="1">
        <v>0</v>
      </c>
      <c r="F872" s="1" t="b">
        <v>0</v>
      </c>
      <c r="G872">
        <f>VLOOKUP(C872,Products!A:D,4,FALSE)</f>
        <v>1930</v>
      </c>
      <c r="H872" t="str">
        <f>VLOOKUP(C872,Products!A:D,3,FALSE)</f>
        <v>Home &amp; Kitchen</v>
      </c>
      <c r="I872">
        <f t="shared" si="13"/>
        <v>5790</v>
      </c>
      <c r="J872" s="2">
        <f>VLOOKUP(B872,Orders!A:C,3,FALSE)</f>
        <v>46206</v>
      </c>
      <c r="K872" s="1" t="str">
        <f>VLOOKUP(B872,Orders!A:B,2,FALSE)</f>
        <v>C0138</v>
      </c>
    </row>
    <row r="873" spans="1:11" x14ac:dyDescent="0.3">
      <c r="A873" s="1" t="s">
        <v>2558</v>
      </c>
      <c r="B873" s="1" t="s">
        <v>2559</v>
      </c>
      <c r="C873" s="1" t="s">
        <v>1276</v>
      </c>
      <c r="D873" s="1">
        <v>2</v>
      </c>
      <c r="E873" s="1">
        <v>0</v>
      </c>
      <c r="F873" s="1" t="b">
        <v>0</v>
      </c>
      <c r="G873">
        <f>VLOOKUP(C873,Products!A:D,4,FALSE)</f>
        <v>2010</v>
      </c>
      <c r="H873" t="str">
        <f>VLOOKUP(C873,Products!A:D,3,FALSE)</f>
        <v>Beauty</v>
      </c>
      <c r="I873">
        <f t="shared" si="13"/>
        <v>4020</v>
      </c>
      <c r="J873" s="2">
        <f>VLOOKUP(B873,Orders!A:C,3,FALSE)</f>
        <v>45933</v>
      </c>
      <c r="K873" s="1" t="str">
        <f>VLOOKUP(B873,Orders!A:B,2,FALSE)</f>
        <v>C0033</v>
      </c>
    </row>
    <row r="874" spans="1:11" x14ac:dyDescent="0.3">
      <c r="A874" s="1" t="s">
        <v>2560</v>
      </c>
      <c r="B874" s="1" t="s">
        <v>2559</v>
      </c>
      <c r="C874" s="1" t="s">
        <v>1484</v>
      </c>
      <c r="D874" s="1">
        <v>4</v>
      </c>
      <c r="E874" s="1">
        <v>0.2</v>
      </c>
      <c r="F874" s="1" t="b">
        <v>0</v>
      </c>
      <c r="G874">
        <f>VLOOKUP(C874,Products!A:D,4,FALSE)</f>
        <v>1080</v>
      </c>
      <c r="H874" t="str">
        <f>VLOOKUP(C874,Products!A:D,3,FALSE)</f>
        <v>Home &amp; Kitchen</v>
      </c>
      <c r="I874">
        <f t="shared" si="13"/>
        <v>3456</v>
      </c>
      <c r="J874" s="2">
        <f>VLOOKUP(B874,Orders!A:C,3,FALSE)</f>
        <v>45933</v>
      </c>
      <c r="K874" s="1" t="str">
        <f>VLOOKUP(B874,Orders!A:B,2,FALSE)</f>
        <v>C0033</v>
      </c>
    </row>
    <row r="875" spans="1:11" x14ac:dyDescent="0.3">
      <c r="A875" s="1" t="s">
        <v>2561</v>
      </c>
      <c r="B875" s="1" t="s">
        <v>2562</v>
      </c>
      <c r="C875" s="1" t="s">
        <v>1299</v>
      </c>
      <c r="D875" s="1">
        <v>1</v>
      </c>
      <c r="E875" s="1">
        <v>0.05</v>
      </c>
      <c r="F875" s="1" t="b">
        <v>0</v>
      </c>
      <c r="G875">
        <f>VLOOKUP(C875,Products!A:D,4,FALSE)</f>
        <v>1080</v>
      </c>
      <c r="H875" t="str">
        <f>VLOOKUP(C875,Products!A:D,3,FALSE)</f>
        <v>Beauty</v>
      </c>
      <c r="I875">
        <f t="shared" si="13"/>
        <v>1026</v>
      </c>
      <c r="J875" s="2">
        <f>VLOOKUP(B875,Orders!A:C,3,FALSE)</f>
        <v>46055</v>
      </c>
      <c r="K875" s="1" t="str">
        <f>VLOOKUP(B875,Orders!A:B,2,FALSE)</f>
        <v>C0216</v>
      </c>
    </row>
    <row r="876" spans="1:11" x14ac:dyDescent="0.3">
      <c r="A876" s="1" t="s">
        <v>2563</v>
      </c>
      <c r="B876" s="1" t="s">
        <v>2564</v>
      </c>
      <c r="C876" s="1" t="s">
        <v>1118</v>
      </c>
      <c r="D876" s="1">
        <v>4</v>
      </c>
      <c r="E876" s="1">
        <v>0</v>
      </c>
      <c r="F876" s="1" t="b">
        <v>0</v>
      </c>
      <c r="G876">
        <f>VLOOKUP(C876,Products!A:D,4,FALSE)</f>
        <v>5550</v>
      </c>
      <c r="H876" t="str">
        <f>VLOOKUP(C876,Products!A:D,3,FALSE)</f>
        <v>Home &amp; Kitchen</v>
      </c>
      <c r="I876">
        <f t="shared" si="13"/>
        <v>22200</v>
      </c>
      <c r="J876" s="2">
        <f>VLOOKUP(B876,Orders!A:C,3,FALSE)</f>
        <v>46263</v>
      </c>
      <c r="K876" s="1" t="str">
        <f>VLOOKUP(B876,Orders!A:B,2,FALSE)</f>
        <v>C0185</v>
      </c>
    </row>
    <row r="877" spans="1:11" x14ac:dyDescent="0.3">
      <c r="A877" s="1" t="s">
        <v>2565</v>
      </c>
      <c r="B877" s="1" t="s">
        <v>2564</v>
      </c>
      <c r="C877" s="1" t="s">
        <v>1171</v>
      </c>
      <c r="D877" s="1">
        <v>5</v>
      </c>
      <c r="E877" s="1">
        <v>0.05</v>
      </c>
      <c r="F877" s="1" t="b">
        <v>0</v>
      </c>
      <c r="G877">
        <f>VLOOKUP(C877,Products!A:D,4,FALSE)</f>
        <v>2250</v>
      </c>
      <c r="H877" t="str">
        <f>VLOOKUP(C877,Products!A:D,3,FALSE)</f>
        <v>Home &amp; Kitchen</v>
      </c>
      <c r="I877">
        <f t="shared" si="13"/>
        <v>10687.5</v>
      </c>
      <c r="J877" s="2">
        <f>VLOOKUP(B877,Orders!A:C,3,FALSE)</f>
        <v>46263</v>
      </c>
      <c r="K877" s="1" t="str">
        <f>VLOOKUP(B877,Orders!A:B,2,FALSE)</f>
        <v>C0185</v>
      </c>
    </row>
    <row r="878" spans="1:11" x14ac:dyDescent="0.3">
      <c r="A878" s="1" t="s">
        <v>2566</v>
      </c>
      <c r="B878" s="1" t="s">
        <v>2567</v>
      </c>
      <c r="C878" s="1" t="s">
        <v>1462</v>
      </c>
      <c r="D878" s="1">
        <v>2</v>
      </c>
      <c r="E878" s="1">
        <v>0.05</v>
      </c>
      <c r="F878" s="1" t="b">
        <v>0</v>
      </c>
      <c r="G878">
        <f>VLOOKUP(C878,Products!A:D,4,FALSE)</f>
        <v>3070</v>
      </c>
      <c r="H878" t="str">
        <f>VLOOKUP(C878,Products!A:D,3,FALSE)</f>
        <v>Apparel</v>
      </c>
      <c r="I878">
        <f t="shared" si="13"/>
        <v>5833</v>
      </c>
      <c r="J878" s="2">
        <f>VLOOKUP(B878,Orders!A:C,3,FALSE)</f>
        <v>45960</v>
      </c>
      <c r="K878" s="1" t="str">
        <f>VLOOKUP(B878,Orders!A:B,2,FALSE)</f>
        <v>C0254</v>
      </c>
    </row>
    <row r="879" spans="1:11" x14ac:dyDescent="0.3">
      <c r="A879" s="1" t="s">
        <v>2568</v>
      </c>
      <c r="B879" s="1" t="s">
        <v>2569</v>
      </c>
      <c r="C879" s="1" t="s">
        <v>1393</v>
      </c>
      <c r="D879" s="1">
        <v>3</v>
      </c>
      <c r="E879" s="1">
        <v>0</v>
      </c>
      <c r="F879" s="1" t="b">
        <v>0</v>
      </c>
      <c r="G879">
        <f>VLOOKUP(C879,Products!A:D,4,FALSE)</f>
        <v>1520</v>
      </c>
      <c r="H879" t="str">
        <f>VLOOKUP(C879,Products!A:D,3,FALSE)</f>
        <v>Electronics</v>
      </c>
      <c r="I879">
        <f t="shared" si="13"/>
        <v>4560</v>
      </c>
      <c r="J879" s="2">
        <f>VLOOKUP(B879,Orders!A:C,3,FALSE)</f>
        <v>45834</v>
      </c>
      <c r="K879" s="1" t="str">
        <f>VLOOKUP(B879,Orders!A:B,2,FALSE)</f>
        <v>C0235</v>
      </c>
    </row>
    <row r="880" spans="1:11" x14ac:dyDescent="0.3">
      <c r="A880" s="1" t="s">
        <v>2570</v>
      </c>
      <c r="B880" s="1" t="s">
        <v>2569</v>
      </c>
      <c r="C880" s="1" t="s">
        <v>1644</v>
      </c>
      <c r="D880" s="1">
        <v>3</v>
      </c>
      <c r="E880" s="1">
        <v>0</v>
      </c>
      <c r="F880" s="1" t="b">
        <v>0</v>
      </c>
      <c r="G880">
        <f>VLOOKUP(C880,Products!A:D,4,FALSE)</f>
        <v>1930</v>
      </c>
      <c r="H880" t="str">
        <f>VLOOKUP(C880,Products!A:D,3,FALSE)</f>
        <v>Home &amp; Kitchen</v>
      </c>
      <c r="I880">
        <f t="shared" si="13"/>
        <v>5790</v>
      </c>
      <c r="J880" s="2">
        <f>VLOOKUP(B880,Orders!A:C,3,FALSE)</f>
        <v>45834</v>
      </c>
      <c r="K880" s="1" t="str">
        <f>VLOOKUP(B880,Orders!A:B,2,FALSE)</f>
        <v>C0235</v>
      </c>
    </row>
    <row r="881" spans="1:11" x14ac:dyDescent="0.3">
      <c r="A881" s="1" t="s">
        <v>2571</v>
      </c>
      <c r="B881" s="1" t="s">
        <v>2572</v>
      </c>
      <c r="C881" s="1" t="s">
        <v>1257</v>
      </c>
      <c r="D881" s="1">
        <v>1</v>
      </c>
      <c r="E881" s="1">
        <v>0</v>
      </c>
      <c r="F881" s="1" t="b">
        <v>0</v>
      </c>
      <c r="G881">
        <f>VLOOKUP(C881,Products!A:D,4,FALSE)</f>
        <v>1760</v>
      </c>
      <c r="H881" t="str">
        <f>VLOOKUP(C881,Products!A:D,3,FALSE)</f>
        <v>Books</v>
      </c>
      <c r="I881">
        <f t="shared" si="13"/>
        <v>1760</v>
      </c>
      <c r="J881" s="2">
        <f>VLOOKUP(B881,Orders!A:C,3,FALSE)</f>
        <v>45746</v>
      </c>
      <c r="K881" s="1" t="str">
        <f>VLOOKUP(B881,Orders!A:B,2,FALSE)</f>
        <v>C0004</v>
      </c>
    </row>
    <row r="882" spans="1:11" x14ac:dyDescent="0.3">
      <c r="A882" s="1" t="s">
        <v>2573</v>
      </c>
      <c r="B882" s="1" t="s">
        <v>2574</v>
      </c>
      <c r="C882" s="1" t="s">
        <v>1498</v>
      </c>
      <c r="D882" s="1">
        <v>4</v>
      </c>
      <c r="E882" s="1">
        <v>0.05</v>
      </c>
      <c r="F882" s="1" t="b">
        <v>0</v>
      </c>
      <c r="G882">
        <f>VLOOKUP(C882,Products!A:D,4,FALSE)</f>
        <v>1910</v>
      </c>
      <c r="H882" t="str">
        <f>VLOOKUP(C882,Products!A:D,3,FALSE)</f>
        <v>Apparel</v>
      </c>
      <c r="I882">
        <f t="shared" si="13"/>
        <v>7258</v>
      </c>
      <c r="J882" s="2">
        <f>VLOOKUP(B882,Orders!A:C,3,FALSE)</f>
        <v>46132</v>
      </c>
      <c r="K882" s="1" t="str">
        <f>VLOOKUP(B882,Orders!A:B,2,FALSE)</f>
        <v>C0195</v>
      </c>
    </row>
    <row r="883" spans="1:11" x14ac:dyDescent="0.3">
      <c r="A883" s="1" t="s">
        <v>2575</v>
      </c>
      <c r="B883" s="1" t="s">
        <v>2576</v>
      </c>
      <c r="C883" s="1" t="s">
        <v>1121</v>
      </c>
      <c r="D883" s="1">
        <v>2</v>
      </c>
      <c r="E883" s="1">
        <v>0</v>
      </c>
      <c r="F883" s="1" t="b">
        <v>0</v>
      </c>
      <c r="G883">
        <f>VLOOKUP(C883,Products!A:D,4,FALSE)</f>
        <v>1440</v>
      </c>
      <c r="H883" t="str">
        <f>VLOOKUP(C883,Products!A:D,3,FALSE)</f>
        <v>Sports</v>
      </c>
      <c r="I883">
        <f t="shared" si="13"/>
        <v>2880</v>
      </c>
      <c r="J883" s="2">
        <f>VLOOKUP(B883,Orders!A:C,3,FALSE)</f>
        <v>46096</v>
      </c>
      <c r="K883" s="1" t="str">
        <f>VLOOKUP(B883,Orders!A:B,2,FALSE)</f>
        <v>C0226</v>
      </c>
    </row>
    <row r="884" spans="1:11" x14ac:dyDescent="0.3">
      <c r="A884" s="1" t="s">
        <v>2577</v>
      </c>
      <c r="B884" s="1" t="s">
        <v>2578</v>
      </c>
      <c r="C884" s="1" t="s">
        <v>1137</v>
      </c>
      <c r="D884" s="1">
        <v>2</v>
      </c>
      <c r="E884" s="1">
        <v>0.1</v>
      </c>
      <c r="F884" s="1" t="b">
        <v>0</v>
      </c>
      <c r="G884">
        <f>VLOOKUP(C884,Products!A:D,4,FALSE)</f>
        <v>1910</v>
      </c>
      <c r="H884" t="str">
        <f>VLOOKUP(C884,Products!A:D,3,FALSE)</f>
        <v>Apparel</v>
      </c>
      <c r="I884">
        <f t="shared" si="13"/>
        <v>3438</v>
      </c>
      <c r="J884" s="2">
        <f>VLOOKUP(B884,Orders!A:C,3,FALSE)</f>
        <v>46249</v>
      </c>
      <c r="K884" s="1" t="str">
        <f>VLOOKUP(B884,Orders!A:B,2,FALSE)</f>
        <v>C0070</v>
      </c>
    </row>
    <row r="885" spans="1:11" x14ac:dyDescent="0.3">
      <c r="A885" s="1" t="s">
        <v>2579</v>
      </c>
      <c r="B885" s="1" t="s">
        <v>2578</v>
      </c>
      <c r="C885" s="1" t="s">
        <v>1184</v>
      </c>
      <c r="D885" s="1">
        <v>2</v>
      </c>
      <c r="E885" s="1">
        <v>0</v>
      </c>
      <c r="F885" s="1" t="b">
        <v>0</v>
      </c>
      <c r="G885">
        <f>VLOOKUP(C885,Products!A:D,4,FALSE)</f>
        <v>2230</v>
      </c>
      <c r="H885" t="str">
        <f>VLOOKUP(C885,Products!A:D,3,FALSE)</f>
        <v>Sports</v>
      </c>
      <c r="I885">
        <f t="shared" si="13"/>
        <v>4460</v>
      </c>
      <c r="J885" s="2">
        <f>VLOOKUP(B885,Orders!A:C,3,FALSE)</f>
        <v>46249</v>
      </c>
      <c r="K885" s="1" t="str">
        <f>VLOOKUP(B885,Orders!A:B,2,FALSE)</f>
        <v>C0070</v>
      </c>
    </row>
    <row r="886" spans="1:11" x14ac:dyDescent="0.3">
      <c r="A886" s="1" t="s">
        <v>2580</v>
      </c>
      <c r="B886" s="1" t="s">
        <v>2581</v>
      </c>
      <c r="C886" s="1" t="s">
        <v>1160</v>
      </c>
      <c r="D886" s="1">
        <v>4</v>
      </c>
      <c r="E886" s="1">
        <v>0.2</v>
      </c>
      <c r="F886" s="1" t="b">
        <v>0</v>
      </c>
      <c r="G886">
        <f>VLOOKUP(C886,Products!A:D,4,FALSE)</f>
        <v>1710</v>
      </c>
      <c r="H886" t="str">
        <f>VLOOKUP(C886,Products!A:D,3,FALSE)</f>
        <v>Home &amp; Kitchen</v>
      </c>
      <c r="I886">
        <f t="shared" si="13"/>
        <v>5472</v>
      </c>
      <c r="J886" s="2">
        <f>VLOOKUP(B886,Orders!A:C,3,FALSE)</f>
        <v>46117</v>
      </c>
      <c r="K886" s="1" t="str">
        <f>VLOOKUP(B886,Orders!A:B,2,FALSE)</f>
        <v>C0103</v>
      </c>
    </row>
    <row r="887" spans="1:11" x14ac:dyDescent="0.3">
      <c r="A887" s="1" t="s">
        <v>2582</v>
      </c>
      <c r="B887" s="1" t="s">
        <v>2583</v>
      </c>
      <c r="C887" s="1" t="s">
        <v>1320</v>
      </c>
      <c r="D887" s="1">
        <v>4</v>
      </c>
      <c r="E887" s="1">
        <v>0.2</v>
      </c>
      <c r="F887" s="1" t="b">
        <v>0</v>
      </c>
      <c r="G887">
        <f>VLOOKUP(C887,Products!A:D,4,FALSE)</f>
        <v>2790</v>
      </c>
      <c r="H887" t="str">
        <f>VLOOKUP(C887,Products!A:D,3,FALSE)</f>
        <v>Electronics</v>
      </c>
      <c r="I887">
        <f t="shared" si="13"/>
        <v>8928</v>
      </c>
      <c r="J887" s="2">
        <f>VLOOKUP(B887,Orders!A:C,3,FALSE)</f>
        <v>45777</v>
      </c>
      <c r="K887" s="1" t="str">
        <f>VLOOKUP(B887,Orders!A:B,2,FALSE)</f>
        <v>C0204</v>
      </c>
    </row>
    <row r="888" spans="1:11" x14ac:dyDescent="0.3">
      <c r="A888" s="1" t="s">
        <v>2584</v>
      </c>
      <c r="B888" s="1" t="s">
        <v>2583</v>
      </c>
      <c r="C888" s="1" t="s">
        <v>1498</v>
      </c>
      <c r="D888" s="1">
        <v>3</v>
      </c>
      <c r="E888" s="1">
        <v>0</v>
      </c>
      <c r="F888" s="1" t="b">
        <v>0</v>
      </c>
      <c r="G888">
        <f>VLOOKUP(C888,Products!A:D,4,FALSE)</f>
        <v>1910</v>
      </c>
      <c r="H888" t="str">
        <f>VLOOKUP(C888,Products!A:D,3,FALSE)</f>
        <v>Apparel</v>
      </c>
      <c r="I888">
        <f t="shared" si="13"/>
        <v>5730</v>
      </c>
      <c r="J888" s="2">
        <f>VLOOKUP(B888,Orders!A:C,3,FALSE)</f>
        <v>45777</v>
      </c>
      <c r="K888" s="1" t="str">
        <f>VLOOKUP(B888,Orders!A:B,2,FALSE)</f>
        <v>C0204</v>
      </c>
    </row>
    <row r="889" spans="1:11" x14ac:dyDescent="0.3">
      <c r="A889" s="1" t="s">
        <v>2585</v>
      </c>
      <c r="B889" s="1" t="s">
        <v>2583</v>
      </c>
      <c r="C889" s="1" t="s">
        <v>1140</v>
      </c>
      <c r="D889" s="1">
        <v>2</v>
      </c>
      <c r="E889" s="1">
        <v>0</v>
      </c>
      <c r="F889" s="1" t="b">
        <v>0</v>
      </c>
      <c r="G889">
        <f>VLOOKUP(C889,Products!A:D,4,FALSE)</f>
        <v>3040</v>
      </c>
      <c r="H889" t="str">
        <f>VLOOKUP(C889,Products!A:D,3,FALSE)</f>
        <v>Electronics</v>
      </c>
      <c r="I889">
        <f t="shared" si="13"/>
        <v>6080</v>
      </c>
      <c r="J889" s="2">
        <f>VLOOKUP(B889,Orders!A:C,3,FALSE)</f>
        <v>45777</v>
      </c>
      <c r="K889" s="1" t="str">
        <f>VLOOKUP(B889,Orders!A:B,2,FALSE)</f>
        <v>C0204</v>
      </c>
    </row>
    <row r="890" spans="1:11" x14ac:dyDescent="0.3">
      <c r="A890" s="1" t="s">
        <v>2586</v>
      </c>
      <c r="B890" s="1" t="s">
        <v>2583</v>
      </c>
      <c r="C890" s="1" t="s">
        <v>1276</v>
      </c>
      <c r="D890" s="1">
        <v>4</v>
      </c>
      <c r="E890" s="1">
        <v>0.1</v>
      </c>
      <c r="F890" s="1" t="b">
        <v>0</v>
      </c>
      <c r="G890">
        <f>VLOOKUP(C890,Products!A:D,4,FALSE)</f>
        <v>2010</v>
      </c>
      <c r="H890" t="str">
        <f>VLOOKUP(C890,Products!A:D,3,FALSE)</f>
        <v>Beauty</v>
      </c>
      <c r="I890">
        <f t="shared" si="13"/>
        <v>7236</v>
      </c>
      <c r="J890" s="2">
        <f>VLOOKUP(B890,Orders!A:C,3,FALSE)</f>
        <v>45777</v>
      </c>
      <c r="K890" s="1" t="str">
        <f>VLOOKUP(B890,Orders!A:B,2,FALSE)</f>
        <v>C0204</v>
      </c>
    </row>
    <row r="891" spans="1:11" x14ac:dyDescent="0.3">
      <c r="A891" s="1" t="s">
        <v>2587</v>
      </c>
      <c r="B891" s="1" t="s">
        <v>2588</v>
      </c>
      <c r="C891" s="1" t="s">
        <v>1320</v>
      </c>
      <c r="D891" s="1">
        <v>2</v>
      </c>
      <c r="E891" s="1">
        <v>0.1</v>
      </c>
      <c r="F891" s="1" t="b">
        <v>0</v>
      </c>
      <c r="G891">
        <f>VLOOKUP(C891,Products!A:D,4,FALSE)</f>
        <v>2790</v>
      </c>
      <c r="H891" t="str">
        <f>VLOOKUP(C891,Products!A:D,3,FALSE)</f>
        <v>Electronics</v>
      </c>
      <c r="I891">
        <f t="shared" si="13"/>
        <v>5022</v>
      </c>
      <c r="J891" s="2">
        <f>VLOOKUP(B891,Orders!A:C,3,FALSE)</f>
        <v>45825</v>
      </c>
      <c r="K891" s="1" t="str">
        <f>VLOOKUP(B891,Orders!A:B,2,FALSE)</f>
        <v>C0252</v>
      </c>
    </row>
    <row r="892" spans="1:11" x14ac:dyDescent="0.3">
      <c r="A892" s="1" t="s">
        <v>2589</v>
      </c>
      <c r="B892" s="1" t="s">
        <v>2590</v>
      </c>
      <c r="C892" s="1" t="s">
        <v>1188</v>
      </c>
      <c r="D892" s="1">
        <v>1</v>
      </c>
      <c r="E892" s="1">
        <v>0</v>
      </c>
      <c r="F892" s="1" t="b">
        <v>0</v>
      </c>
      <c r="G892">
        <f>VLOOKUP(C892,Products!A:D,4,FALSE)</f>
        <v>2530</v>
      </c>
      <c r="H892" t="str">
        <f>VLOOKUP(C892,Products!A:D,3,FALSE)</f>
        <v>Beauty</v>
      </c>
      <c r="I892">
        <f t="shared" si="13"/>
        <v>2530</v>
      </c>
      <c r="J892" s="2">
        <f>VLOOKUP(B892,Orders!A:C,3,FALSE)</f>
        <v>45790</v>
      </c>
      <c r="K892" s="1" t="str">
        <f>VLOOKUP(B892,Orders!A:B,2,FALSE)</f>
        <v>C0167</v>
      </c>
    </row>
    <row r="893" spans="1:11" x14ac:dyDescent="0.3">
      <c r="A893" s="1" t="s">
        <v>2591</v>
      </c>
      <c r="B893" s="1" t="s">
        <v>2590</v>
      </c>
      <c r="C893" s="1" t="s">
        <v>1302</v>
      </c>
      <c r="D893" s="1">
        <v>5</v>
      </c>
      <c r="E893" s="1">
        <v>0</v>
      </c>
      <c r="F893" s="1" t="b">
        <v>0</v>
      </c>
      <c r="G893">
        <f>VLOOKUP(C893,Products!A:D,4,FALSE)</f>
        <v>1220</v>
      </c>
      <c r="H893" t="str">
        <f>VLOOKUP(C893,Products!A:D,3,FALSE)</f>
        <v>Home &amp; Kitchen</v>
      </c>
      <c r="I893">
        <f t="shared" si="13"/>
        <v>6100</v>
      </c>
      <c r="J893" s="2">
        <f>VLOOKUP(B893,Orders!A:C,3,FALSE)</f>
        <v>45790</v>
      </c>
      <c r="K893" s="1" t="str">
        <f>VLOOKUP(B893,Orders!A:B,2,FALSE)</f>
        <v>C0167</v>
      </c>
    </row>
    <row r="894" spans="1:11" x14ac:dyDescent="0.3">
      <c r="A894" s="1" t="s">
        <v>2592</v>
      </c>
      <c r="B894" s="1" t="s">
        <v>2590</v>
      </c>
      <c r="C894" s="1" t="s">
        <v>1140</v>
      </c>
      <c r="D894" s="1">
        <v>5</v>
      </c>
      <c r="E894" s="1">
        <v>0.05</v>
      </c>
      <c r="F894" s="1" t="b">
        <v>0</v>
      </c>
      <c r="G894">
        <f>VLOOKUP(C894,Products!A:D,4,FALSE)</f>
        <v>3040</v>
      </c>
      <c r="H894" t="str">
        <f>VLOOKUP(C894,Products!A:D,3,FALSE)</f>
        <v>Electronics</v>
      </c>
      <c r="I894">
        <f t="shared" si="13"/>
        <v>14440</v>
      </c>
      <c r="J894" s="2">
        <f>VLOOKUP(B894,Orders!A:C,3,FALSE)</f>
        <v>45790</v>
      </c>
      <c r="K894" s="1" t="str">
        <f>VLOOKUP(B894,Orders!A:B,2,FALSE)</f>
        <v>C0167</v>
      </c>
    </row>
    <row r="895" spans="1:11" x14ac:dyDescent="0.3">
      <c r="A895" s="1" t="s">
        <v>2593</v>
      </c>
      <c r="B895" s="1" t="s">
        <v>2594</v>
      </c>
      <c r="C895" s="1" t="s">
        <v>1219</v>
      </c>
      <c r="D895" s="1">
        <v>4</v>
      </c>
      <c r="E895" s="1">
        <v>0.05</v>
      </c>
      <c r="F895" s="1" t="b">
        <v>0</v>
      </c>
      <c r="G895">
        <f>VLOOKUP(C895,Products!A:D,4,FALSE)</f>
        <v>2090</v>
      </c>
      <c r="H895" t="str">
        <f>VLOOKUP(C895,Products!A:D,3,FALSE)</f>
        <v>Beauty</v>
      </c>
      <c r="I895">
        <f t="shared" si="13"/>
        <v>7942</v>
      </c>
      <c r="J895" s="2">
        <f>VLOOKUP(B895,Orders!A:C,3,FALSE)</f>
        <v>45768</v>
      </c>
      <c r="K895" s="1" t="str">
        <f>VLOOKUP(B895,Orders!A:B,2,FALSE)</f>
        <v>C0187</v>
      </c>
    </row>
    <row r="896" spans="1:11" x14ac:dyDescent="0.3">
      <c r="A896" s="1" t="s">
        <v>2595</v>
      </c>
      <c r="B896" s="1" t="s">
        <v>2596</v>
      </c>
      <c r="C896" s="1" t="s">
        <v>1267</v>
      </c>
      <c r="D896" s="1">
        <v>1</v>
      </c>
      <c r="E896" s="1">
        <v>0.15</v>
      </c>
      <c r="F896" s="1" t="b">
        <v>0</v>
      </c>
      <c r="G896">
        <f>VLOOKUP(C896,Products!A:D,4,FALSE)</f>
        <v>3650</v>
      </c>
      <c r="H896" t="str">
        <f>VLOOKUP(C896,Products!A:D,3,FALSE)</f>
        <v>Books</v>
      </c>
      <c r="I896">
        <f t="shared" ref="I896:I959" si="14">G896*D896*(1-E896)</f>
        <v>3102.5</v>
      </c>
      <c r="J896" s="2">
        <f>VLOOKUP(B896,Orders!A:C,3,FALSE)</f>
        <v>46215</v>
      </c>
      <c r="K896" s="1" t="str">
        <f>VLOOKUP(B896,Orders!A:B,2,FALSE)</f>
        <v>C0103</v>
      </c>
    </row>
    <row r="897" spans="1:11" x14ac:dyDescent="0.3">
      <c r="A897" s="1" t="s">
        <v>2597</v>
      </c>
      <c r="B897" s="1" t="s">
        <v>2598</v>
      </c>
      <c r="C897" s="1" t="s">
        <v>1171</v>
      </c>
      <c r="D897" s="1">
        <v>2</v>
      </c>
      <c r="E897" s="1">
        <v>0</v>
      </c>
      <c r="F897" s="1" t="b">
        <v>0</v>
      </c>
      <c r="G897">
        <f>VLOOKUP(C897,Products!A:D,4,FALSE)</f>
        <v>2250</v>
      </c>
      <c r="H897" t="str">
        <f>VLOOKUP(C897,Products!A:D,3,FALSE)</f>
        <v>Home &amp; Kitchen</v>
      </c>
      <c r="I897">
        <f t="shared" si="14"/>
        <v>4500</v>
      </c>
      <c r="J897" s="2">
        <f>VLOOKUP(B897,Orders!A:C,3,FALSE)</f>
        <v>46034</v>
      </c>
      <c r="K897" s="1" t="str">
        <f>VLOOKUP(B897,Orders!A:B,2,FALSE)</f>
        <v>C0093</v>
      </c>
    </row>
    <row r="898" spans="1:11" x14ac:dyDescent="0.3">
      <c r="A898" s="1" t="s">
        <v>2599</v>
      </c>
      <c r="B898" s="1" t="s">
        <v>2598</v>
      </c>
      <c r="C898" s="1" t="s">
        <v>1307</v>
      </c>
      <c r="D898" s="1">
        <v>2</v>
      </c>
      <c r="E898" s="1">
        <v>0.15</v>
      </c>
      <c r="F898" s="1" t="b">
        <v>0</v>
      </c>
      <c r="G898">
        <f>VLOOKUP(C898,Products!A:D,4,FALSE)</f>
        <v>99</v>
      </c>
      <c r="H898" t="str">
        <f>VLOOKUP(C898,Products!A:D,3,FALSE)</f>
        <v>Sports</v>
      </c>
      <c r="I898">
        <f t="shared" si="14"/>
        <v>168.29999999999998</v>
      </c>
      <c r="J898" s="2">
        <f>VLOOKUP(B898,Orders!A:C,3,FALSE)</f>
        <v>46034</v>
      </c>
      <c r="K898" s="1" t="str">
        <f>VLOOKUP(B898,Orders!A:B,2,FALSE)</f>
        <v>C0093</v>
      </c>
    </row>
    <row r="899" spans="1:11" x14ac:dyDescent="0.3">
      <c r="A899" s="1" t="s">
        <v>2600</v>
      </c>
      <c r="B899" s="1" t="s">
        <v>2601</v>
      </c>
      <c r="C899" s="1" t="s">
        <v>1288</v>
      </c>
      <c r="D899" s="1">
        <v>4</v>
      </c>
      <c r="E899" s="1">
        <v>0.15</v>
      </c>
      <c r="F899" s="1" t="b">
        <v>0</v>
      </c>
      <c r="G899">
        <f>VLOOKUP(C899,Products!A:D,4,FALSE)</f>
        <v>2580</v>
      </c>
      <c r="H899" t="str">
        <f>VLOOKUP(C899,Products!A:D,3,FALSE)</f>
        <v>Beauty</v>
      </c>
      <c r="I899">
        <f t="shared" si="14"/>
        <v>8772</v>
      </c>
      <c r="J899" s="2">
        <f>VLOOKUP(B899,Orders!A:C,3,FALSE)</f>
        <v>45748</v>
      </c>
      <c r="K899" s="1" t="str">
        <f>VLOOKUP(B899,Orders!A:B,2,FALSE)</f>
        <v>C0014</v>
      </c>
    </row>
    <row r="900" spans="1:11" x14ac:dyDescent="0.3">
      <c r="A900" s="1" t="s">
        <v>2602</v>
      </c>
      <c r="B900" s="1" t="s">
        <v>2601</v>
      </c>
      <c r="C900" s="1" t="s">
        <v>1468</v>
      </c>
      <c r="D900" s="1">
        <v>3</v>
      </c>
      <c r="E900" s="1">
        <v>0.15</v>
      </c>
      <c r="F900" s="1" t="b">
        <v>1</v>
      </c>
      <c r="G900">
        <f>VLOOKUP(C900,Products!A:D,4,FALSE)</f>
        <v>2040</v>
      </c>
      <c r="H900" t="str">
        <f>VLOOKUP(C900,Products!A:D,3,FALSE)</f>
        <v>Books</v>
      </c>
      <c r="I900">
        <f t="shared" si="14"/>
        <v>5202</v>
      </c>
      <c r="J900" s="2">
        <f>VLOOKUP(B900,Orders!A:C,3,FALSE)</f>
        <v>45748</v>
      </c>
      <c r="K900" s="1" t="str">
        <f>VLOOKUP(B900,Orders!A:B,2,FALSE)</f>
        <v>C0014</v>
      </c>
    </row>
    <row r="901" spans="1:11" x14ac:dyDescent="0.3">
      <c r="A901" s="1" t="s">
        <v>2603</v>
      </c>
      <c r="B901" s="1" t="s">
        <v>2601</v>
      </c>
      <c r="C901" s="1" t="s">
        <v>1123</v>
      </c>
      <c r="D901" s="1">
        <v>5</v>
      </c>
      <c r="E901" s="1">
        <v>0.15</v>
      </c>
      <c r="F901" s="1" t="b">
        <v>0</v>
      </c>
      <c r="G901">
        <f>VLOOKUP(C901,Products!A:D,4,FALSE)</f>
        <v>2200</v>
      </c>
      <c r="H901" t="str">
        <f>VLOOKUP(C901,Products!A:D,3,FALSE)</f>
        <v>Electronics</v>
      </c>
      <c r="I901">
        <f t="shared" si="14"/>
        <v>9350</v>
      </c>
      <c r="J901" s="2">
        <f>VLOOKUP(B901,Orders!A:C,3,FALSE)</f>
        <v>45748</v>
      </c>
      <c r="K901" s="1" t="str">
        <f>VLOOKUP(B901,Orders!A:B,2,FALSE)</f>
        <v>C0014</v>
      </c>
    </row>
    <row r="902" spans="1:11" x14ac:dyDescent="0.3">
      <c r="A902" s="1" t="s">
        <v>2604</v>
      </c>
      <c r="B902" s="1" t="s">
        <v>2601</v>
      </c>
      <c r="C902" s="1" t="s">
        <v>1109</v>
      </c>
      <c r="D902" s="1">
        <v>1</v>
      </c>
      <c r="E902" s="1">
        <v>0.05</v>
      </c>
      <c r="F902" s="1" t="b">
        <v>0</v>
      </c>
      <c r="G902">
        <f>VLOOKUP(C902,Products!A:D,4,FALSE)</f>
        <v>1475</v>
      </c>
      <c r="H902" t="str">
        <f>VLOOKUP(C902,Products!A:D,3,FALSE)</f>
        <v>Books</v>
      </c>
      <c r="I902">
        <f t="shared" si="14"/>
        <v>1401.25</v>
      </c>
      <c r="J902" s="2">
        <f>VLOOKUP(B902,Orders!A:C,3,FALSE)</f>
        <v>45748</v>
      </c>
      <c r="K902" s="1" t="str">
        <f>VLOOKUP(B902,Orders!A:B,2,FALSE)</f>
        <v>C0014</v>
      </c>
    </row>
    <row r="903" spans="1:11" x14ac:dyDescent="0.3">
      <c r="A903" s="1" t="s">
        <v>2605</v>
      </c>
      <c r="B903" s="1" t="s">
        <v>2606</v>
      </c>
      <c r="C903" s="1" t="s">
        <v>1163</v>
      </c>
      <c r="D903" s="1">
        <v>4</v>
      </c>
      <c r="E903" s="1">
        <v>0</v>
      </c>
      <c r="F903" s="1" t="b">
        <v>0</v>
      </c>
      <c r="G903">
        <f>VLOOKUP(C903,Products!A:D,4,FALSE)</f>
        <v>2180</v>
      </c>
      <c r="H903" t="str">
        <f>VLOOKUP(C903,Products!A:D,3,FALSE)</f>
        <v>Electronics</v>
      </c>
      <c r="I903">
        <f t="shared" si="14"/>
        <v>8720</v>
      </c>
      <c r="J903" s="2">
        <f>VLOOKUP(B903,Orders!A:C,3,FALSE)</f>
        <v>45951</v>
      </c>
      <c r="K903" s="1" t="str">
        <f>VLOOKUP(B903,Orders!A:B,2,FALSE)</f>
        <v>C0108</v>
      </c>
    </row>
    <row r="904" spans="1:11" x14ac:dyDescent="0.3">
      <c r="A904" s="1" t="s">
        <v>2607</v>
      </c>
      <c r="B904" s="1" t="s">
        <v>2608</v>
      </c>
      <c r="C904" s="1" t="s">
        <v>1462</v>
      </c>
      <c r="D904" s="1">
        <v>4</v>
      </c>
      <c r="E904" s="1">
        <v>0.15</v>
      </c>
      <c r="F904" s="1" t="b">
        <v>0</v>
      </c>
      <c r="G904">
        <f>VLOOKUP(C904,Products!A:D,4,FALSE)</f>
        <v>3070</v>
      </c>
      <c r="H904" t="str">
        <f>VLOOKUP(C904,Products!A:D,3,FALSE)</f>
        <v>Apparel</v>
      </c>
      <c r="I904">
        <f t="shared" si="14"/>
        <v>10438</v>
      </c>
      <c r="J904" s="2">
        <f>VLOOKUP(B904,Orders!A:C,3,FALSE)</f>
        <v>46153</v>
      </c>
      <c r="K904" s="1" t="str">
        <f>VLOOKUP(B904,Orders!A:B,2,FALSE)</f>
        <v>C0150</v>
      </c>
    </row>
    <row r="905" spans="1:11" x14ac:dyDescent="0.3">
      <c r="A905" s="1" t="s">
        <v>2609</v>
      </c>
      <c r="B905" s="1" t="s">
        <v>2608</v>
      </c>
      <c r="C905" s="1" t="s">
        <v>1130</v>
      </c>
      <c r="D905" s="1">
        <v>1</v>
      </c>
      <c r="E905" s="1">
        <v>0.05</v>
      </c>
      <c r="F905" s="1" t="b">
        <v>0</v>
      </c>
      <c r="G905">
        <f>VLOOKUP(C905,Products!A:D,4,FALSE)</f>
        <v>2400</v>
      </c>
      <c r="H905" t="str">
        <f>VLOOKUP(C905,Products!A:D,3,FALSE)</f>
        <v>Electronics</v>
      </c>
      <c r="I905">
        <f t="shared" si="14"/>
        <v>2280</v>
      </c>
      <c r="J905" s="2">
        <f>VLOOKUP(B905,Orders!A:C,3,FALSE)</f>
        <v>46153</v>
      </c>
      <c r="K905" s="1" t="str">
        <f>VLOOKUP(B905,Orders!A:B,2,FALSE)</f>
        <v>C0150</v>
      </c>
    </row>
    <row r="906" spans="1:11" x14ac:dyDescent="0.3">
      <c r="A906" s="1" t="s">
        <v>2610</v>
      </c>
      <c r="B906" s="1" t="s">
        <v>2611</v>
      </c>
      <c r="C906" s="1" t="s">
        <v>1127</v>
      </c>
      <c r="D906" s="1">
        <v>5</v>
      </c>
      <c r="E906" s="1">
        <v>0</v>
      </c>
      <c r="F906" s="1" t="b">
        <v>0</v>
      </c>
      <c r="G906">
        <f>VLOOKUP(C906,Products!A:D,4,FALSE)</f>
        <v>1660</v>
      </c>
      <c r="H906" t="str">
        <f>VLOOKUP(C906,Products!A:D,3,FALSE)</f>
        <v>Apparel</v>
      </c>
      <c r="I906">
        <f t="shared" si="14"/>
        <v>8300</v>
      </c>
      <c r="J906" s="2">
        <f>VLOOKUP(B906,Orders!A:C,3,FALSE)</f>
        <v>45779</v>
      </c>
      <c r="K906" s="1" t="str">
        <f>VLOOKUP(B906,Orders!A:B,2,FALSE)</f>
        <v>C0210</v>
      </c>
    </row>
    <row r="907" spans="1:11" x14ac:dyDescent="0.3">
      <c r="A907" s="1" t="s">
        <v>2612</v>
      </c>
      <c r="B907" s="1" t="s">
        <v>2611</v>
      </c>
      <c r="C907" s="1" t="s">
        <v>1307</v>
      </c>
      <c r="D907" s="1">
        <v>4</v>
      </c>
      <c r="E907" s="1">
        <v>0.2</v>
      </c>
      <c r="F907" s="1" t="b">
        <v>0</v>
      </c>
      <c r="G907">
        <f>VLOOKUP(C907,Products!A:D,4,FALSE)</f>
        <v>99</v>
      </c>
      <c r="H907" t="str">
        <f>VLOOKUP(C907,Products!A:D,3,FALSE)</f>
        <v>Sports</v>
      </c>
      <c r="I907">
        <f t="shared" si="14"/>
        <v>316.8</v>
      </c>
      <c r="J907" s="2">
        <f>VLOOKUP(B907,Orders!A:C,3,FALSE)</f>
        <v>45779</v>
      </c>
      <c r="K907" s="1" t="str">
        <f>VLOOKUP(B907,Orders!A:B,2,FALSE)</f>
        <v>C0210</v>
      </c>
    </row>
    <row r="908" spans="1:11" x14ac:dyDescent="0.3">
      <c r="A908" s="1" t="s">
        <v>2613</v>
      </c>
      <c r="B908" s="1" t="s">
        <v>2611</v>
      </c>
      <c r="C908" s="1" t="s">
        <v>1719</v>
      </c>
      <c r="D908" s="1">
        <v>5</v>
      </c>
      <c r="E908" s="1">
        <v>0.1</v>
      </c>
      <c r="F908" s="1" t="b">
        <v>0</v>
      </c>
      <c r="G908">
        <f>VLOOKUP(C908,Products!A:D,4,FALSE)</f>
        <v>2790</v>
      </c>
      <c r="H908" t="str">
        <f>VLOOKUP(C908,Products!A:D,3,FALSE)</f>
        <v>Sports</v>
      </c>
      <c r="I908">
        <f t="shared" si="14"/>
        <v>12555</v>
      </c>
      <c r="J908" s="2">
        <f>VLOOKUP(B908,Orders!A:C,3,FALSE)</f>
        <v>45779</v>
      </c>
      <c r="K908" s="1" t="str">
        <f>VLOOKUP(B908,Orders!A:B,2,FALSE)</f>
        <v>C0210</v>
      </c>
    </row>
    <row r="909" spans="1:11" x14ac:dyDescent="0.3">
      <c r="A909" s="1" t="s">
        <v>2614</v>
      </c>
      <c r="B909" s="1" t="s">
        <v>2615</v>
      </c>
      <c r="C909" s="1" t="s">
        <v>1132</v>
      </c>
      <c r="D909" s="1">
        <v>1</v>
      </c>
      <c r="E909" s="1">
        <v>0.1</v>
      </c>
      <c r="F909" s="1" t="b">
        <v>0</v>
      </c>
      <c r="G909">
        <f>VLOOKUP(C909,Products!A:D,4,FALSE)</f>
        <v>420</v>
      </c>
      <c r="H909" t="str">
        <f>VLOOKUP(C909,Products!A:D,3,FALSE)</f>
        <v>Beauty</v>
      </c>
      <c r="I909">
        <f t="shared" si="14"/>
        <v>378</v>
      </c>
      <c r="J909" s="2">
        <f>VLOOKUP(B909,Orders!A:C,3,FALSE)</f>
        <v>45877</v>
      </c>
      <c r="K909" s="1" t="str">
        <f>VLOOKUP(B909,Orders!A:B,2,FALSE)</f>
        <v>C0156</v>
      </c>
    </row>
    <row r="910" spans="1:11" x14ac:dyDescent="0.3">
      <c r="A910" s="1" t="s">
        <v>2616</v>
      </c>
      <c r="B910" s="1" t="s">
        <v>2615</v>
      </c>
      <c r="C910" s="1" t="s">
        <v>1127</v>
      </c>
      <c r="D910" s="1">
        <v>1</v>
      </c>
      <c r="E910" s="1">
        <v>0.1</v>
      </c>
      <c r="F910" s="1" t="b">
        <v>0</v>
      </c>
      <c r="G910">
        <f>VLOOKUP(C910,Products!A:D,4,FALSE)</f>
        <v>1660</v>
      </c>
      <c r="H910" t="str">
        <f>VLOOKUP(C910,Products!A:D,3,FALSE)</f>
        <v>Apparel</v>
      </c>
      <c r="I910">
        <f t="shared" si="14"/>
        <v>1494</v>
      </c>
      <c r="J910" s="2">
        <f>VLOOKUP(B910,Orders!A:C,3,FALSE)</f>
        <v>45877</v>
      </c>
      <c r="K910" s="1" t="str">
        <f>VLOOKUP(B910,Orders!A:B,2,FALSE)</f>
        <v>C0156</v>
      </c>
    </row>
    <row r="911" spans="1:11" x14ac:dyDescent="0.3">
      <c r="A911" s="1" t="s">
        <v>2617</v>
      </c>
      <c r="B911" s="1" t="s">
        <v>2618</v>
      </c>
      <c r="C911" s="1" t="s">
        <v>1174</v>
      </c>
      <c r="D911" s="1">
        <v>1</v>
      </c>
      <c r="E911" s="1">
        <v>0</v>
      </c>
      <c r="F911" s="1" t="b">
        <v>0</v>
      </c>
      <c r="G911">
        <f>VLOOKUP(C911,Products!A:D,4,FALSE)</f>
        <v>1250</v>
      </c>
      <c r="H911" t="str">
        <f>VLOOKUP(C911,Products!A:D,3,FALSE)</f>
        <v>Sports</v>
      </c>
      <c r="I911">
        <f t="shared" si="14"/>
        <v>1250</v>
      </c>
      <c r="J911" s="2">
        <f>VLOOKUP(B911,Orders!A:C,3,FALSE)</f>
        <v>45819</v>
      </c>
      <c r="K911" s="1" t="str">
        <f>VLOOKUP(B911,Orders!A:B,2,FALSE)</f>
        <v>C0217</v>
      </c>
    </row>
    <row r="912" spans="1:11" x14ac:dyDescent="0.3">
      <c r="A912" s="1" t="s">
        <v>2619</v>
      </c>
      <c r="B912" s="1" t="s">
        <v>2618</v>
      </c>
      <c r="C912" s="1" t="s">
        <v>1265</v>
      </c>
      <c r="D912" s="1">
        <v>3</v>
      </c>
      <c r="E912" s="1">
        <v>0.05</v>
      </c>
      <c r="F912" s="1" t="b">
        <v>0</v>
      </c>
      <c r="G912">
        <f>VLOOKUP(C912,Products!A:D,4,FALSE)</f>
        <v>99</v>
      </c>
      <c r="H912" t="str">
        <f>VLOOKUP(C912,Products!A:D,3,FALSE)</f>
        <v>Beauty</v>
      </c>
      <c r="I912">
        <f t="shared" si="14"/>
        <v>282.14999999999998</v>
      </c>
      <c r="J912" s="2">
        <f>VLOOKUP(B912,Orders!A:C,3,FALSE)</f>
        <v>45819</v>
      </c>
      <c r="K912" s="1" t="str">
        <f>VLOOKUP(B912,Orders!A:B,2,FALSE)</f>
        <v>C0217</v>
      </c>
    </row>
    <row r="913" spans="1:11" x14ac:dyDescent="0.3">
      <c r="A913" s="1" t="s">
        <v>2620</v>
      </c>
      <c r="B913" s="1" t="s">
        <v>2618</v>
      </c>
      <c r="C913" s="1" t="s">
        <v>1191</v>
      </c>
      <c r="D913" s="1">
        <v>1</v>
      </c>
      <c r="E913" s="1">
        <v>0</v>
      </c>
      <c r="F913" s="1" t="b">
        <v>0</v>
      </c>
      <c r="G913">
        <f>VLOOKUP(C913,Products!A:D,4,FALSE)</f>
        <v>99</v>
      </c>
      <c r="H913" t="str">
        <f>VLOOKUP(C913,Products!A:D,3,FALSE)</f>
        <v>Sports</v>
      </c>
      <c r="I913">
        <f t="shared" si="14"/>
        <v>99</v>
      </c>
      <c r="J913" s="2">
        <f>VLOOKUP(B913,Orders!A:C,3,FALSE)</f>
        <v>45819</v>
      </c>
      <c r="K913" s="1" t="str">
        <f>VLOOKUP(B913,Orders!A:B,2,FALSE)</f>
        <v>C0217</v>
      </c>
    </row>
    <row r="914" spans="1:11" x14ac:dyDescent="0.3">
      <c r="A914" s="1" t="s">
        <v>2621</v>
      </c>
      <c r="B914" s="1" t="s">
        <v>2622</v>
      </c>
      <c r="C914" s="1" t="s">
        <v>1267</v>
      </c>
      <c r="D914" s="1">
        <v>1</v>
      </c>
      <c r="E914" s="1">
        <v>0.1</v>
      </c>
      <c r="F914" s="1" t="b">
        <v>0</v>
      </c>
      <c r="G914">
        <f>VLOOKUP(C914,Products!A:D,4,FALSE)</f>
        <v>3650</v>
      </c>
      <c r="H914" t="str">
        <f>VLOOKUP(C914,Products!A:D,3,FALSE)</f>
        <v>Books</v>
      </c>
      <c r="I914">
        <f t="shared" si="14"/>
        <v>3285</v>
      </c>
      <c r="J914" s="2">
        <f>VLOOKUP(B914,Orders!A:C,3,FALSE)</f>
        <v>46092</v>
      </c>
      <c r="K914" s="1" t="str">
        <f>VLOOKUP(B914,Orders!A:B,2,FALSE)</f>
        <v>C0230</v>
      </c>
    </row>
    <row r="915" spans="1:11" x14ac:dyDescent="0.3">
      <c r="A915" s="1" t="s">
        <v>2623</v>
      </c>
      <c r="B915" s="1" t="s">
        <v>2624</v>
      </c>
      <c r="C915" s="1" t="s">
        <v>1132</v>
      </c>
      <c r="D915" s="1">
        <v>2</v>
      </c>
      <c r="E915" s="1">
        <v>0</v>
      </c>
      <c r="F915" s="1" t="b">
        <v>0</v>
      </c>
      <c r="G915">
        <f>VLOOKUP(C915,Products!A:D,4,FALSE)</f>
        <v>420</v>
      </c>
      <c r="H915" t="str">
        <f>VLOOKUP(C915,Products!A:D,3,FALSE)</f>
        <v>Beauty</v>
      </c>
      <c r="I915">
        <f t="shared" si="14"/>
        <v>840</v>
      </c>
      <c r="J915" s="2">
        <f>VLOOKUP(B915,Orders!A:C,3,FALSE)</f>
        <v>46219</v>
      </c>
      <c r="K915" s="1" t="str">
        <f>VLOOKUP(B915,Orders!A:B,2,FALSE)</f>
        <v>C0299</v>
      </c>
    </row>
    <row r="916" spans="1:11" x14ac:dyDescent="0.3">
      <c r="A916" s="1" t="s">
        <v>2625</v>
      </c>
      <c r="B916" s="1" t="s">
        <v>2624</v>
      </c>
      <c r="C916" s="1" t="s">
        <v>1484</v>
      </c>
      <c r="D916" s="1">
        <v>5</v>
      </c>
      <c r="E916" s="1">
        <v>0</v>
      </c>
      <c r="F916" s="1" t="b">
        <v>0</v>
      </c>
      <c r="G916">
        <f>VLOOKUP(C916,Products!A:D,4,FALSE)</f>
        <v>1080</v>
      </c>
      <c r="H916" t="str">
        <f>VLOOKUP(C916,Products!A:D,3,FALSE)</f>
        <v>Home &amp; Kitchen</v>
      </c>
      <c r="I916">
        <f t="shared" si="14"/>
        <v>5400</v>
      </c>
      <c r="J916" s="2">
        <f>VLOOKUP(B916,Orders!A:C,3,FALSE)</f>
        <v>46219</v>
      </c>
      <c r="K916" s="1" t="str">
        <f>VLOOKUP(B916,Orders!A:B,2,FALSE)</f>
        <v>C0299</v>
      </c>
    </row>
    <row r="917" spans="1:11" x14ac:dyDescent="0.3">
      <c r="A917" s="1" t="s">
        <v>2626</v>
      </c>
      <c r="B917" s="1" t="s">
        <v>2627</v>
      </c>
      <c r="C917" s="1" t="s">
        <v>1109</v>
      </c>
      <c r="D917" s="1">
        <v>2</v>
      </c>
      <c r="E917" s="1">
        <v>0.2</v>
      </c>
      <c r="F917" s="1" t="b">
        <v>0</v>
      </c>
      <c r="G917">
        <f>VLOOKUP(C917,Products!A:D,4,FALSE)</f>
        <v>1475</v>
      </c>
      <c r="H917" t="str">
        <f>VLOOKUP(C917,Products!A:D,3,FALSE)</f>
        <v>Books</v>
      </c>
      <c r="I917">
        <f t="shared" si="14"/>
        <v>2360</v>
      </c>
      <c r="J917" s="2">
        <f>VLOOKUP(B917,Orders!A:C,3,FALSE)</f>
        <v>45903</v>
      </c>
      <c r="K917" s="1" t="str">
        <f>VLOOKUP(B917,Orders!A:B,2,FALSE)</f>
        <v>C0215</v>
      </c>
    </row>
    <row r="918" spans="1:11" x14ac:dyDescent="0.3">
      <c r="A918" s="1" t="s">
        <v>2628</v>
      </c>
      <c r="B918" s="1" t="s">
        <v>2627</v>
      </c>
      <c r="C918" s="1" t="s">
        <v>1299</v>
      </c>
      <c r="D918" s="1">
        <v>3</v>
      </c>
      <c r="E918" s="1">
        <v>0</v>
      </c>
      <c r="F918" s="1" t="b">
        <v>0</v>
      </c>
      <c r="G918">
        <f>VLOOKUP(C918,Products!A:D,4,FALSE)</f>
        <v>1080</v>
      </c>
      <c r="H918" t="str">
        <f>VLOOKUP(C918,Products!A:D,3,FALSE)</f>
        <v>Beauty</v>
      </c>
      <c r="I918">
        <f t="shared" si="14"/>
        <v>3240</v>
      </c>
      <c r="J918" s="2">
        <f>VLOOKUP(B918,Orders!A:C,3,FALSE)</f>
        <v>45903</v>
      </c>
      <c r="K918" s="1" t="str">
        <f>VLOOKUP(B918,Orders!A:B,2,FALSE)</f>
        <v>C0215</v>
      </c>
    </row>
    <row r="919" spans="1:11" x14ac:dyDescent="0.3">
      <c r="A919" s="1" t="s">
        <v>2629</v>
      </c>
      <c r="B919" s="1" t="s">
        <v>2630</v>
      </c>
      <c r="C919" s="1" t="s">
        <v>1113</v>
      </c>
      <c r="D919" s="1">
        <v>4</v>
      </c>
      <c r="E919" s="1">
        <v>0</v>
      </c>
      <c r="F919" s="1" t="b">
        <v>0</v>
      </c>
      <c r="G919">
        <f>VLOOKUP(C919,Products!A:D,4,FALSE)</f>
        <v>2780</v>
      </c>
      <c r="H919" t="str">
        <f>VLOOKUP(C919,Products!A:D,3,FALSE)</f>
        <v>Apparel</v>
      </c>
      <c r="I919">
        <f t="shared" si="14"/>
        <v>11120</v>
      </c>
      <c r="J919" s="2">
        <f>VLOOKUP(B919,Orders!A:C,3,FALSE)</f>
        <v>45869</v>
      </c>
      <c r="K919" s="1" t="str">
        <f>VLOOKUP(B919,Orders!A:B,2,FALSE)</f>
        <v>C0275</v>
      </c>
    </row>
    <row r="920" spans="1:11" x14ac:dyDescent="0.3">
      <c r="A920" s="1" t="s">
        <v>2631</v>
      </c>
      <c r="B920" s="1" t="s">
        <v>2630</v>
      </c>
      <c r="C920" s="1" t="s">
        <v>1118</v>
      </c>
      <c r="D920" s="1">
        <v>1</v>
      </c>
      <c r="E920" s="1">
        <v>0</v>
      </c>
      <c r="F920" s="1" t="b">
        <v>0</v>
      </c>
      <c r="G920">
        <f>VLOOKUP(C920,Products!A:D,4,FALSE)</f>
        <v>5550</v>
      </c>
      <c r="H920" t="str">
        <f>VLOOKUP(C920,Products!A:D,3,FALSE)</f>
        <v>Home &amp; Kitchen</v>
      </c>
      <c r="I920">
        <f t="shared" si="14"/>
        <v>5550</v>
      </c>
      <c r="J920" s="2">
        <f>VLOOKUP(B920,Orders!A:C,3,FALSE)</f>
        <v>45869</v>
      </c>
      <c r="K920" s="1" t="str">
        <f>VLOOKUP(B920,Orders!A:B,2,FALSE)</f>
        <v>C0275</v>
      </c>
    </row>
    <row r="921" spans="1:11" x14ac:dyDescent="0.3">
      <c r="A921" s="1" t="s">
        <v>2632</v>
      </c>
      <c r="B921" s="1" t="s">
        <v>2630</v>
      </c>
      <c r="C921" s="1" t="s">
        <v>1152</v>
      </c>
      <c r="D921" s="1">
        <v>4</v>
      </c>
      <c r="E921" s="1">
        <v>0.05</v>
      </c>
      <c r="F921" s="1" t="b">
        <v>0</v>
      </c>
      <c r="G921">
        <f>VLOOKUP(C921,Products!A:D,4,FALSE)</f>
        <v>2250</v>
      </c>
      <c r="H921" t="str">
        <f>VLOOKUP(C921,Products!A:D,3,FALSE)</f>
        <v>Home &amp; Kitchen</v>
      </c>
      <c r="I921">
        <f t="shared" si="14"/>
        <v>8550</v>
      </c>
      <c r="J921" s="2">
        <f>VLOOKUP(B921,Orders!A:C,3,FALSE)</f>
        <v>45869</v>
      </c>
      <c r="K921" s="1" t="str">
        <f>VLOOKUP(B921,Orders!A:B,2,FALSE)</f>
        <v>C0275</v>
      </c>
    </row>
    <row r="922" spans="1:11" x14ac:dyDescent="0.3">
      <c r="A922" s="1" t="s">
        <v>2633</v>
      </c>
      <c r="B922" s="1" t="s">
        <v>2634</v>
      </c>
      <c r="C922" s="1" t="s">
        <v>1106</v>
      </c>
      <c r="D922" s="1">
        <v>4</v>
      </c>
      <c r="E922" s="1">
        <v>0.15</v>
      </c>
      <c r="F922" s="1" t="b">
        <v>0</v>
      </c>
      <c r="G922">
        <f>VLOOKUP(C922,Products!A:D,4,FALSE)</f>
        <v>1130</v>
      </c>
      <c r="H922" t="str">
        <f>VLOOKUP(C922,Products!A:D,3,FALSE)</f>
        <v>Books</v>
      </c>
      <c r="I922">
        <f t="shared" si="14"/>
        <v>3842</v>
      </c>
      <c r="J922" s="2">
        <f>VLOOKUP(B922,Orders!A:C,3,FALSE)</f>
        <v>45889</v>
      </c>
      <c r="K922" s="1" t="str">
        <f>VLOOKUP(B922,Orders!A:B,2,FALSE)</f>
        <v>C0056</v>
      </c>
    </row>
    <row r="923" spans="1:11" x14ac:dyDescent="0.3">
      <c r="A923" s="1" t="s">
        <v>2635</v>
      </c>
      <c r="B923" s="1" t="s">
        <v>2634</v>
      </c>
      <c r="C923" s="1" t="s">
        <v>1143</v>
      </c>
      <c r="D923" s="1">
        <v>5</v>
      </c>
      <c r="E923" s="1">
        <v>0</v>
      </c>
      <c r="F923" s="1" t="b">
        <v>0</v>
      </c>
      <c r="G923">
        <f>VLOOKUP(C923,Products!A:D,4,FALSE)</f>
        <v>2230</v>
      </c>
      <c r="H923" t="str">
        <f>VLOOKUP(C923,Products!A:D,3,FALSE)</f>
        <v>Home &amp; Kitchen</v>
      </c>
      <c r="I923">
        <f t="shared" si="14"/>
        <v>11150</v>
      </c>
      <c r="J923" s="2">
        <f>VLOOKUP(B923,Orders!A:C,3,FALSE)</f>
        <v>45889</v>
      </c>
      <c r="K923" s="1" t="str">
        <f>VLOOKUP(B923,Orders!A:B,2,FALSE)</f>
        <v>C0056</v>
      </c>
    </row>
    <row r="924" spans="1:11" x14ac:dyDescent="0.3">
      <c r="A924" s="1" t="s">
        <v>2636</v>
      </c>
      <c r="B924" s="1" t="s">
        <v>2637</v>
      </c>
      <c r="C924" s="1" t="s">
        <v>1462</v>
      </c>
      <c r="D924" s="1">
        <v>1</v>
      </c>
      <c r="E924" s="1">
        <v>0</v>
      </c>
      <c r="F924" s="1" t="b">
        <v>0</v>
      </c>
      <c r="G924">
        <f>VLOOKUP(C924,Products!A:D,4,FALSE)</f>
        <v>3070</v>
      </c>
      <c r="H924" t="str">
        <f>VLOOKUP(C924,Products!A:D,3,FALSE)</f>
        <v>Apparel</v>
      </c>
      <c r="I924">
        <f t="shared" si="14"/>
        <v>3070</v>
      </c>
      <c r="J924" s="2">
        <f>VLOOKUP(B924,Orders!A:C,3,FALSE)</f>
        <v>46077</v>
      </c>
      <c r="K924" s="1" t="str">
        <f>VLOOKUP(B924,Orders!A:B,2,FALSE)</f>
        <v>C0086</v>
      </c>
    </row>
    <row r="925" spans="1:11" x14ac:dyDescent="0.3">
      <c r="A925" s="1" t="s">
        <v>2638</v>
      </c>
      <c r="B925" s="1" t="s">
        <v>2639</v>
      </c>
      <c r="C925" s="1" t="s">
        <v>1123</v>
      </c>
      <c r="D925" s="1">
        <v>1</v>
      </c>
      <c r="E925" s="1">
        <v>0</v>
      </c>
      <c r="F925" s="1" t="b">
        <v>0</v>
      </c>
      <c r="G925">
        <f>VLOOKUP(C925,Products!A:D,4,FALSE)</f>
        <v>2200</v>
      </c>
      <c r="H925" t="str">
        <f>VLOOKUP(C925,Products!A:D,3,FALSE)</f>
        <v>Electronics</v>
      </c>
      <c r="I925">
        <f t="shared" si="14"/>
        <v>2200</v>
      </c>
      <c r="J925" s="2">
        <f>VLOOKUP(B925,Orders!A:C,3,FALSE)</f>
        <v>45805</v>
      </c>
      <c r="K925" s="1" t="str">
        <f>VLOOKUP(B925,Orders!A:B,2,FALSE)</f>
        <v>C0289</v>
      </c>
    </row>
    <row r="926" spans="1:11" x14ac:dyDescent="0.3">
      <c r="A926" s="1" t="s">
        <v>2640</v>
      </c>
      <c r="B926" s="1" t="s">
        <v>2639</v>
      </c>
      <c r="C926" s="1" t="s">
        <v>1315</v>
      </c>
      <c r="D926" s="1">
        <v>2</v>
      </c>
      <c r="E926" s="1">
        <v>0</v>
      </c>
      <c r="F926" s="1" t="b">
        <v>0</v>
      </c>
      <c r="G926">
        <f>VLOOKUP(C926,Products!A:D,4,FALSE)</f>
        <v>2190</v>
      </c>
      <c r="H926" t="str">
        <f>VLOOKUP(C926,Products!A:D,3,FALSE)</f>
        <v>Electronics</v>
      </c>
      <c r="I926">
        <f t="shared" si="14"/>
        <v>4380</v>
      </c>
      <c r="J926" s="2">
        <f>VLOOKUP(B926,Orders!A:C,3,FALSE)</f>
        <v>45805</v>
      </c>
      <c r="K926" s="1" t="str">
        <f>VLOOKUP(B926,Orders!A:B,2,FALSE)</f>
        <v>C0289</v>
      </c>
    </row>
    <row r="927" spans="1:11" x14ac:dyDescent="0.3">
      <c r="A927" s="1" t="s">
        <v>2641</v>
      </c>
      <c r="B927" s="1" t="s">
        <v>2639</v>
      </c>
      <c r="C927" s="1" t="s">
        <v>1111</v>
      </c>
      <c r="D927" s="1">
        <v>1</v>
      </c>
      <c r="E927" s="1">
        <v>0</v>
      </c>
      <c r="F927" s="1" t="b">
        <v>0</v>
      </c>
      <c r="G927">
        <f>VLOOKUP(C927,Products!A:D,4,FALSE)</f>
        <v>2450</v>
      </c>
      <c r="H927" t="str">
        <f>VLOOKUP(C927,Products!A:D,3,FALSE)</f>
        <v>Sports</v>
      </c>
      <c r="I927">
        <f t="shared" si="14"/>
        <v>2450</v>
      </c>
      <c r="J927" s="2">
        <f>VLOOKUP(B927,Orders!A:C,3,FALSE)</f>
        <v>45805</v>
      </c>
      <c r="K927" s="1" t="str">
        <f>VLOOKUP(B927,Orders!A:B,2,FALSE)</f>
        <v>C0289</v>
      </c>
    </row>
    <row r="928" spans="1:11" x14ac:dyDescent="0.3">
      <c r="A928" s="1" t="s">
        <v>2642</v>
      </c>
      <c r="B928" s="1" t="s">
        <v>2643</v>
      </c>
      <c r="C928" s="1" t="s">
        <v>1459</v>
      </c>
      <c r="D928" s="1">
        <v>4</v>
      </c>
      <c r="E928" s="1">
        <v>0</v>
      </c>
      <c r="F928" s="1" t="b">
        <v>0</v>
      </c>
      <c r="G928">
        <f>VLOOKUP(C928,Products!A:D,4,FALSE)</f>
        <v>710</v>
      </c>
      <c r="H928" t="str">
        <f>VLOOKUP(C928,Products!A:D,3,FALSE)</f>
        <v>Sports</v>
      </c>
      <c r="I928">
        <f t="shared" si="14"/>
        <v>2840</v>
      </c>
      <c r="J928" s="2">
        <f>VLOOKUP(B928,Orders!A:C,3,FALSE)</f>
        <v>46193</v>
      </c>
      <c r="K928" s="1" t="str">
        <f>VLOOKUP(B928,Orders!A:B,2,FALSE)</f>
        <v>C0170</v>
      </c>
    </row>
    <row r="929" spans="1:11" x14ac:dyDescent="0.3">
      <c r="A929" s="1" t="s">
        <v>2644</v>
      </c>
      <c r="B929" s="1" t="s">
        <v>2645</v>
      </c>
      <c r="C929" s="1" t="s">
        <v>1160</v>
      </c>
      <c r="D929" s="1">
        <v>1</v>
      </c>
      <c r="E929" s="1">
        <v>0</v>
      </c>
      <c r="F929" s="1" t="b">
        <v>0</v>
      </c>
      <c r="G929">
        <f>VLOOKUP(C929,Products!A:D,4,FALSE)</f>
        <v>1710</v>
      </c>
      <c r="H929" t="str">
        <f>VLOOKUP(C929,Products!A:D,3,FALSE)</f>
        <v>Home &amp; Kitchen</v>
      </c>
      <c r="I929">
        <f t="shared" si="14"/>
        <v>1710</v>
      </c>
      <c r="J929" s="2">
        <f>VLOOKUP(B929,Orders!A:C,3,FALSE)</f>
        <v>45749</v>
      </c>
      <c r="K929" s="1" t="str">
        <f>VLOOKUP(B929,Orders!A:B,2,FALSE)</f>
        <v>C0055</v>
      </c>
    </row>
    <row r="930" spans="1:11" x14ac:dyDescent="0.3">
      <c r="A930" s="1" t="s">
        <v>2646</v>
      </c>
      <c r="B930" s="1" t="s">
        <v>2645</v>
      </c>
      <c r="C930" s="1" t="s">
        <v>1188</v>
      </c>
      <c r="D930" s="1">
        <v>5</v>
      </c>
      <c r="E930" s="1">
        <v>0</v>
      </c>
      <c r="F930" s="1" t="b">
        <v>0</v>
      </c>
      <c r="G930">
        <f>VLOOKUP(C930,Products!A:D,4,FALSE)</f>
        <v>2530</v>
      </c>
      <c r="H930" t="str">
        <f>VLOOKUP(C930,Products!A:D,3,FALSE)</f>
        <v>Beauty</v>
      </c>
      <c r="I930">
        <f t="shared" si="14"/>
        <v>12650</v>
      </c>
      <c r="J930" s="2">
        <f>VLOOKUP(B930,Orders!A:C,3,FALSE)</f>
        <v>45749</v>
      </c>
      <c r="K930" s="1" t="str">
        <f>VLOOKUP(B930,Orders!A:B,2,FALSE)</f>
        <v>C0055</v>
      </c>
    </row>
    <row r="931" spans="1:11" x14ac:dyDescent="0.3">
      <c r="A931" s="1" t="s">
        <v>2647</v>
      </c>
      <c r="B931" s="1" t="s">
        <v>2645</v>
      </c>
      <c r="C931" s="1" t="s">
        <v>1302</v>
      </c>
      <c r="D931" s="1">
        <v>3</v>
      </c>
      <c r="E931" s="1">
        <v>0.05</v>
      </c>
      <c r="F931" s="1" t="b">
        <v>0</v>
      </c>
      <c r="G931">
        <f>VLOOKUP(C931,Products!A:D,4,FALSE)</f>
        <v>1220</v>
      </c>
      <c r="H931" t="str">
        <f>VLOOKUP(C931,Products!A:D,3,FALSE)</f>
        <v>Home &amp; Kitchen</v>
      </c>
      <c r="I931">
        <f t="shared" si="14"/>
        <v>3477</v>
      </c>
      <c r="J931" s="2">
        <f>VLOOKUP(B931,Orders!A:C,3,FALSE)</f>
        <v>45749</v>
      </c>
      <c r="K931" s="1" t="str">
        <f>VLOOKUP(B931,Orders!A:B,2,FALSE)</f>
        <v>C0055</v>
      </c>
    </row>
    <row r="932" spans="1:11" x14ac:dyDescent="0.3">
      <c r="A932" s="1" t="s">
        <v>2648</v>
      </c>
      <c r="B932" s="1" t="s">
        <v>2649</v>
      </c>
      <c r="C932" s="1" t="s">
        <v>1288</v>
      </c>
      <c r="D932" s="1">
        <v>3</v>
      </c>
      <c r="E932" s="1">
        <v>0</v>
      </c>
      <c r="F932" s="1" t="b">
        <v>0</v>
      </c>
      <c r="G932">
        <f>VLOOKUP(C932,Products!A:D,4,FALSE)</f>
        <v>2580</v>
      </c>
      <c r="H932" t="str">
        <f>VLOOKUP(C932,Products!A:D,3,FALSE)</f>
        <v>Beauty</v>
      </c>
      <c r="I932">
        <f t="shared" si="14"/>
        <v>7740</v>
      </c>
      <c r="J932" s="2">
        <f>VLOOKUP(B932,Orders!A:C,3,FALSE)</f>
        <v>46097</v>
      </c>
      <c r="K932" s="1" t="str">
        <f>VLOOKUP(B932,Orders!A:B,2,FALSE)</f>
        <v>C0114</v>
      </c>
    </row>
    <row r="933" spans="1:11" x14ac:dyDescent="0.3">
      <c r="A933" s="1" t="s">
        <v>2650</v>
      </c>
      <c r="B933" s="1" t="s">
        <v>2651</v>
      </c>
      <c r="C933" s="1" t="s">
        <v>1168</v>
      </c>
      <c r="D933" s="1">
        <v>5</v>
      </c>
      <c r="E933" s="1">
        <v>0.15</v>
      </c>
      <c r="F933" s="1" t="b">
        <v>0</v>
      </c>
      <c r="G933">
        <f>VLOOKUP(C933,Products!A:D,4,FALSE)</f>
        <v>1440</v>
      </c>
      <c r="H933" t="str">
        <f>VLOOKUP(C933,Products!A:D,3,FALSE)</f>
        <v>Sports</v>
      </c>
      <c r="I933">
        <f t="shared" si="14"/>
        <v>6120</v>
      </c>
      <c r="J933" s="2">
        <f>VLOOKUP(B933,Orders!A:C,3,FALSE)</f>
        <v>46205</v>
      </c>
      <c r="K933" s="1" t="str">
        <f>VLOOKUP(B933,Orders!A:B,2,FALSE)</f>
        <v>C0286</v>
      </c>
    </row>
    <row r="934" spans="1:11" x14ac:dyDescent="0.3">
      <c r="A934" s="1" t="s">
        <v>2652</v>
      </c>
      <c r="B934" s="1" t="s">
        <v>2653</v>
      </c>
      <c r="C934" s="1" t="s">
        <v>1109</v>
      </c>
      <c r="D934" s="1">
        <v>3</v>
      </c>
      <c r="E934" s="1">
        <v>0.15</v>
      </c>
      <c r="F934" s="1" t="b">
        <v>0</v>
      </c>
      <c r="G934">
        <f>VLOOKUP(C934,Products!A:D,4,FALSE)</f>
        <v>1475</v>
      </c>
      <c r="H934" t="str">
        <f>VLOOKUP(C934,Products!A:D,3,FALSE)</f>
        <v>Books</v>
      </c>
      <c r="I934">
        <f t="shared" si="14"/>
        <v>3761.25</v>
      </c>
      <c r="J934" s="2">
        <f>VLOOKUP(B934,Orders!A:C,3,FALSE)</f>
        <v>45912</v>
      </c>
      <c r="K934" s="1" t="str">
        <f>VLOOKUP(B934,Orders!A:B,2,FALSE)</f>
        <v>C0114</v>
      </c>
    </row>
    <row r="935" spans="1:11" x14ac:dyDescent="0.3">
      <c r="A935" s="1" t="s">
        <v>2654</v>
      </c>
      <c r="B935" s="1" t="s">
        <v>2655</v>
      </c>
      <c r="C935" s="1" t="s">
        <v>1276</v>
      </c>
      <c r="D935" s="1">
        <v>4</v>
      </c>
      <c r="E935" s="1">
        <v>0.1</v>
      </c>
      <c r="F935" s="1" t="b">
        <v>0</v>
      </c>
      <c r="G935">
        <f>VLOOKUP(C935,Products!A:D,4,FALSE)</f>
        <v>2010</v>
      </c>
      <c r="H935" t="str">
        <f>VLOOKUP(C935,Products!A:D,3,FALSE)</f>
        <v>Beauty</v>
      </c>
      <c r="I935">
        <f t="shared" si="14"/>
        <v>7236</v>
      </c>
      <c r="J935" s="2">
        <f>VLOOKUP(B935,Orders!A:C,3,FALSE)</f>
        <v>45994</v>
      </c>
      <c r="K935" s="1" t="str">
        <f>VLOOKUP(B935,Orders!A:B,2,FALSE)</f>
        <v>C0238</v>
      </c>
    </row>
    <row r="936" spans="1:11" x14ac:dyDescent="0.3">
      <c r="A936" s="1" t="s">
        <v>2656</v>
      </c>
      <c r="B936" s="1" t="s">
        <v>2655</v>
      </c>
      <c r="C936" s="1" t="s">
        <v>1116</v>
      </c>
      <c r="D936" s="1">
        <v>5</v>
      </c>
      <c r="E936" s="1">
        <v>0.05</v>
      </c>
      <c r="F936" s="1" t="b">
        <v>0</v>
      </c>
      <c r="G936">
        <f>VLOOKUP(C936,Products!A:D,4,FALSE)</f>
        <v>3000</v>
      </c>
      <c r="H936" t="str">
        <f>VLOOKUP(C936,Products!A:D,3,FALSE)</f>
        <v>Home &amp; Kitchen</v>
      </c>
      <c r="I936">
        <f t="shared" si="14"/>
        <v>14250</v>
      </c>
      <c r="J936" s="2">
        <f>VLOOKUP(B936,Orders!A:C,3,FALSE)</f>
        <v>45994</v>
      </c>
      <c r="K936" s="1" t="str">
        <f>VLOOKUP(B936,Orders!A:B,2,FALSE)</f>
        <v>C0238</v>
      </c>
    </row>
    <row r="937" spans="1:11" x14ac:dyDescent="0.3">
      <c r="A937" s="1" t="s">
        <v>2657</v>
      </c>
      <c r="B937" s="1" t="s">
        <v>2658</v>
      </c>
      <c r="C937" s="1" t="s">
        <v>1257</v>
      </c>
      <c r="D937" s="1">
        <v>2</v>
      </c>
      <c r="E937" s="1">
        <v>0.2</v>
      </c>
      <c r="F937" s="1" t="b">
        <v>0</v>
      </c>
      <c r="G937">
        <f>VLOOKUP(C937,Products!A:D,4,FALSE)</f>
        <v>1760</v>
      </c>
      <c r="H937" t="str">
        <f>VLOOKUP(C937,Products!A:D,3,FALSE)</f>
        <v>Books</v>
      </c>
      <c r="I937">
        <f t="shared" si="14"/>
        <v>2816</v>
      </c>
      <c r="J937" s="2">
        <f>VLOOKUP(B937,Orders!A:C,3,FALSE)</f>
        <v>46268</v>
      </c>
      <c r="K937" s="1" t="str">
        <f>VLOOKUP(B937,Orders!A:B,2,FALSE)</f>
        <v>C0257</v>
      </c>
    </row>
    <row r="938" spans="1:11" x14ac:dyDescent="0.3">
      <c r="A938" s="1" t="s">
        <v>2659</v>
      </c>
      <c r="B938" s="1" t="s">
        <v>2660</v>
      </c>
      <c r="C938" s="1" t="s">
        <v>1202</v>
      </c>
      <c r="D938" s="1">
        <v>2</v>
      </c>
      <c r="E938" s="1">
        <v>0.05</v>
      </c>
      <c r="F938" s="1" t="b">
        <v>0</v>
      </c>
      <c r="G938">
        <f>VLOOKUP(C938,Products!A:D,4,FALSE)</f>
        <v>530</v>
      </c>
      <c r="H938" t="str">
        <f>VLOOKUP(C938,Products!A:D,3,FALSE)</f>
        <v>Beauty</v>
      </c>
      <c r="I938">
        <f t="shared" si="14"/>
        <v>1007</v>
      </c>
      <c r="J938" s="2">
        <f>VLOOKUP(B938,Orders!A:C,3,FALSE)</f>
        <v>46030</v>
      </c>
      <c r="K938" s="1" t="str">
        <f>VLOOKUP(B938,Orders!A:B,2,FALSE)</f>
        <v>C0013</v>
      </c>
    </row>
    <row r="939" spans="1:11" x14ac:dyDescent="0.3">
      <c r="A939" s="1" t="s">
        <v>2661</v>
      </c>
      <c r="B939" s="1" t="s">
        <v>2662</v>
      </c>
      <c r="C939" s="1" t="s">
        <v>1197</v>
      </c>
      <c r="D939" s="1">
        <v>1</v>
      </c>
      <c r="E939" s="1">
        <v>0</v>
      </c>
      <c r="F939" s="1" t="b">
        <v>0</v>
      </c>
      <c r="G939">
        <f>VLOOKUP(C939,Products!A:D,4,FALSE)</f>
        <v>2050</v>
      </c>
      <c r="H939" t="str">
        <f>VLOOKUP(C939,Products!A:D,3,FALSE)</f>
        <v>Apparel</v>
      </c>
      <c r="I939">
        <f t="shared" si="14"/>
        <v>2050</v>
      </c>
      <c r="J939" s="2">
        <f>VLOOKUP(B939,Orders!A:C,3,FALSE)</f>
        <v>45883</v>
      </c>
      <c r="K939" s="1" t="str">
        <f>VLOOKUP(B939,Orders!A:B,2,FALSE)</f>
        <v>C0213</v>
      </c>
    </row>
    <row r="940" spans="1:11" x14ac:dyDescent="0.3">
      <c r="A940" s="1" t="s">
        <v>2663</v>
      </c>
      <c r="B940" s="1" t="s">
        <v>2664</v>
      </c>
      <c r="C940" s="1" t="s">
        <v>1123</v>
      </c>
      <c r="D940" s="1">
        <v>2</v>
      </c>
      <c r="E940" s="1">
        <v>0.1</v>
      </c>
      <c r="F940" s="1" t="b">
        <v>0</v>
      </c>
      <c r="G940">
        <f>VLOOKUP(C940,Products!A:D,4,FALSE)</f>
        <v>2200</v>
      </c>
      <c r="H940" t="str">
        <f>VLOOKUP(C940,Products!A:D,3,FALSE)</f>
        <v>Electronics</v>
      </c>
      <c r="I940">
        <f t="shared" si="14"/>
        <v>3960</v>
      </c>
      <c r="J940" s="2">
        <f>VLOOKUP(B940,Orders!A:C,3,FALSE)</f>
        <v>45977</v>
      </c>
      <c r="K940" s="1" t="str">
        <f>VLOOKUP(B940,Orders!A:B,2,FALSE)</f>
        <v>C0060</v>
      </c>
    </row>
    <row r="941" spans="1:11" x14ac:dyDescent="0.3">
      <c r="A941" s="1" t="s">
        <v>2665</v>
      </c>
      <c r="B941" s="1" t="s">
        <v>2666</v>
      </c>
      <c r="C941" s="1" t="s">
        <v>1143</v>
      </c>
      <c r="D941" s="1">
        <v>3</v>
      </c>
      <c r="E941" s="1">
        <v>0</v>
      </c>
      <c r="F941" s="1" t="b">
        <v>0</v>
      </c>
      <c r="G941">
        <f>VLOOKUP(C941,Products!A:D,4,FALSE)</f>
        <v>2230</v>
      </c>
      <c r="H941" t="str">
        <f>VLOOKUP(C941,Products!A:D,3,FALSE)</f>
        <v>Home &amp; Kitchen</v>
      </c>
      <c r="I941">
        <f t="shared" si="14"/>
        <v>6690</v>
      </c>
      <c r="J941" s="2">
        <f>VLOOKUP(B941,Orders!A:C,3,FALSE)</f>
        <v>46265</v>
      </c>
      <c r="K941" s="1" t="str">
        <f>VLOOKUP(B941,Orders!A:B,2,FALSE)</f>
        <v>C0179</v>
      </c>
    </row>
    <row r="942" spans="1:11" x14ac:dyDescent="0.3">
      <c r="A942" s="1" t="s">
        <v>2667</v>
      </c>
      <c r="B942" s="1" t="s">
        <v>2666</v>
      </c>
      <c r="C942" s="1" t="s">
        <v>1328</v>
      </c>
      <c r="D942" s="1">
        <v>2</v>
      </c>
      <c r="E942" s="1">
        <v>0</v>
      </c>
      <c r="F942" s="1" t="b">
        <v>0</v>
      </c>
      <c r="G942">
        <f>VLOOKUP(C942,Products!A:D,4,FALSE)</f>
        <v>1880</v>
      </c>
      <c r="H942" t="str">
        <f>VLOOKUP(C942,Products!A:D,3,FALSE)</f>
        <v>Apparel</v>
      </c>
      <c r="I942">
        <f t="shared" si="14"/>
        <v>3760</v>
      </c>
      <c r="J942" s="2">
        <f>VLOOKUP(B942,Orders!A:C,3,FALSE)</f>
        <v>46265</v>
      </c>
      <c r="K942" s="1" t="str">
        <f>VLOOKUP(B942,Orders!A:B,2,FALSE)</f>
        <v>C0179</v>
      </c>
    </row>
    <row r="943" spans="1:11" x14ac:dyDescent="0.3">
      <c r="A943" s="1" t="s">
        <v>2668</v>
      </c>
      <c r="B943" s="1" t="s">
        <v>2666</v>
      </c>
      <c r="C943" s="1" t="s">
        <v>1484</v>
      </c>
      <c r="D943" s="1">
        <v>1</v>
      </c>
      <c r="E943" s="1">
        <v>0</v>
      </c>
      <c r="F943" s="1" t="b">
        <v>0</v>
      </c>
      <c r="G943">
        <f>VLOOKUP(C943,Products!A:D,4,FALSE)</f>
        <v>1080</v>
      </c>
      <c r="H943" t="str">
        <f>VLOOKUP(C943,Products!A:D,3,FALSE)</f>
        <v>Home &amp; Kitchen</v>
      </c>
      <c r="I943">
        <f t="shared" si="14"/>
        <v>1080</v>
      </c>
      <c r="J943" s="2">
        <f>VLOOKUP(B943,Orders!A:C,3,FALSE)</f>
        <v>46265</v>
      </c>
      <c r="K943" s="1" t="str">
        <f>VLOOKUP(B943,Orders!A:B,2,FALSE)</f>
        <v>C0179</v>
      </c>
    </row>
    <row r="944" spans="1:11" x14ac:dyDescent="0.3">
      <c r="A944" s="1" t="s">
        <v>2669</v>
      </c>
      <c r="B944" s="1" t="s">
        <v>2670</v>
      </c>
      <c r="C944" s="1" t="s">
        <v>1564</v>
      </c>
      <c r="D944" s="1">
        <v>2</v>
      </c>
      <c r="E944" s="1">
        <v>0.05</v>
      </c>
      <c r="F944" s="1" t="b">
        <v>0</v>
      </c>
      <c r="G944">
        <f>VLOOKUP(C944,Products!A:D,4,FALSE)</f>
        <v>3680</v>
      </c>
      <c r="H944" t="str">
        <f>VLOOKUP(C944,Products!A:D,3,FALSE)</f>
        <v>Home &amp; Kitchen</v>
      </c>
      <c r="I944">
        <f t="shared" si="14"/>
        <v>6992</v>
      </c>
      <c r="J944" s="2">
        <f>VLOOKUP(B944,Orders!A:C,3,FALSE)</f>
        <v>46116</v>
      </c>
      <c r="K944" s="1" t="str">
        <f>VLOOKUP(B944,Orders!A:B,2,FALSE)</f>
        <v>C0106</v>
      </c>
    </row>
    <row r="945" spans="1:11" x14ac:dyDescent="0.3">
      <c r="A945" s="1" t="s">
        <v>2671</v>
      </c>
      <c r="B945" s="1" t="s">
        <v>2670</v>
      </c>
      <c r="C945" s="1" t="s">
        <v>1202</v>
      </c>
      <c r="D945" s="1">
        <v>3</v>
      </c>
      <c r="E945" s="1">
        <v>0</v>
      </c>
      <c r="F945" s="1" t="b">
        <v>0</v>
      </c>
      <c r="G945">
        <f>VLOOKUP(C945,Products!A:D,4,FALSE)</f>
        <v>530</v>
      </c>
      <c r="H945" t="str">
        <f>VLOOKUP(C945,Products!A:D,3,FALSE)</f>
        <v>Beauty</v>
      </c>
      <c r="I945">
        <f t="shared" si="14"/>
        <v>1590</v>
      </c>
      <c r="J945" s="2">
        <f>VLOOKUP(B945,Orders!A:C,3,FALSE)</f>
        <v>46116</v>
      </c>
      <c r="K945" s="1" t="str">
        <f>VLOOKUP(B945,Orders!A:B,2,FALSE)</f>
        <v>C0106</v>
      </c>
    </row>
    <row r="946" spans="1:11" x14ac:dyDescent="0.3">
      <c r="A946" s="1" t="s">
        <v>2672</v>
      </c>
      <c r="B946" s="1" t="s">
        <v>2670</v>
      </c>
      <c r="C946" s="1" t="s">
        <v>1132</v>
      </c>
      <c r="D946" s="1">
        <v>5</v>
      </c>
      <c r="E946" s="1">
        <v>0.15</v>
      </c>
      <c r="F946" s="1" t="b">
        <v>0</v>
      </c>
      <c r="G946">
        <f>VLOOKUP(C946,Products!A:D,4,FALSE)</f>
        <v>420</v>
      </c>
      <c r="H946" t="str">
        <f>VLOOKUP(C946,Products!A:D,3,FALSE)</f>
        <v>Beauty</v>
      </c>
      <c r="I946">
        <f t="shared" si="14"/>
        <v>1785</v>
      </c>
      <c r="J946" s="2">
        <f>VLOOKUP(B946,Orders!A:C,3,FALSE)</f>
        <v>46116</v>
      </c>
      <c r="K946" s="1" t="str">
        <f>VLOOKUP(B946,Orders!A:B,2,FALSE)</f>
        <v>C0106</v>
      </c>
    </row>
    <row r="947" spans="1:11" x14ac:dyDescent="0.3">
      <c r="A947" s="1" t="s">
        <v>2673</v>
      </c>
      <c r="B947" s="1" t="s">
        <v>2670</v>
      </c>
      <c r="C947" s="1" t="s">
        <v>1393</v>
      </c>
      <c r="D947" s="1">
        <v>3</v>
      </c>
      <c r="E947" s="1">
        <v>0</v>
      </c>
      <c r="F947" s="1" t="b">
        <v>0</v>
      </c>
      <c r="G947">
        <f>VLOOKUP(C947,Products!A:D,4,FALSE)</f>
        <v>1520</v>
      </c>
      <c r="H947" t="str">
        <f>VLOOKUP(C947,Products!A:D,3,FALSE)</f>
        <v>Electronics</v>
      </c>
      <c r="I947">
        <f t="shared" si="14"/>
        <v>4560</v>
      </c>
      <c r="J947" s="2">
        <f>VLOOKUP(B947,Orders!A:C,3,FALSE)</f>
        <v>46116</v>
      </c>
      <c r="K947" s="1" t="str">
        <f>VLOOKUP(B947,Orders!A:B,2,FALSE)</f>
        <v>C0106</v>
      </c>
    </row>
    <row r="948" spans="1:11" x14ac:dyDescent="0.3">
      <c r="A948" s="1" t="s">
        <v>2674</v>
      </c>
      <c r="B948" s="1" t="s">
        <v>2675</v>
      </c>
      <c r="C948" s="1" t="s">
        <v>1412</v>
      </c>
      <c r="D948" s="1">
        <v>5</v>
      </c>
      <c r="E948" s="1">
        <v>0</v>
      </c>
      <c r="F948" s="1" t="b">
        <v>0</v>
      </c>
      <c r="G948">
        <f>VLOOKUP(C948,Products!A:D,4,FALSE)</f>
        <v>1430</v>
      </c>
      <c r="H948" t="str">
        <f>VLOOKUP(C948,Products!A:D,3,FALSE)</f>
        <v>Books</v>
      </c>
      <c r="I948">
        <f t="shared" si="14"/>
        <v>7150</v>
      </c>
      <c r="J948" s="2">
        <f>VLOOKUP(B948,Orders!A:C,3,FALSE)</f>
        <v>45831</v>
      </c>
      <c r="K948" s="1" t="str">
        <f>VLOOKUP(B948,Orders!A:B,2,FALSE)</f>
        <v>C0244</v>
      </c>
    </row>
    <row r="949" spans="1:11" x14ac:dyDescent="0.3">
      <c r="A949" s="1" t="s">
        <v>2676</v>
      </c>
      <c r="B949" s="1" t="s">
        <v>2677</v>
      </c>
      <c r="C949" s="1" t="s">
        <v>1106</v>
      </c>
      <c r="D949" s="1">
        <v>1</v>
      </c>
      <c r="E949" s="1">
        <v>0.05</v>
      </c>
      <c r="F949" s="1" t="b">
        <v>0</v>
      </c>
      <c r="G949">
        <f>VLOOKUP(C949,Products!A:D,4,FALSE)</f>
        <v>1130</v>
      </c>
      <c r="H949" t="str">
        <f>VLOOKUP(C949,Products!A:D,3,FALSE)</f>
        <v>Books</v>
      </c>
      <c r="I949">
        <f t="shared" si="14"/>
        <v>1073.5</v>
      </c>
      <c r="J949" s="2">
        <f>VLOOKUP(B949,Orders!A:C,3,FALSE)</f>
        <v>46061</v>
      </c>
      <c r="K949" s="1" t="str">
        <f>VLOOKUP(B949,Orders!A:B,2,FALSE)</f>
        <v>C0164</v>
      </c>
    </row>
    <row r="950" spans="1:11" x14ac:dyDescent="0.3">
      <c r="A950" s="1" t="s">
        <v>2678</v>
      </c>
      <c r="B950" s="1" t="s">
        <v>2677</v>
      </c>
      <c r="C950" s="1" t="s">
        <v>1273</v>
      </c>
      <c r="D950" s="1">
        <v>3</v>
      </c>
      <c r="E950" s="1">
        <v>0.05</v>
      </c>
      <c r="F950" s="1" t="b">
        <v>1</v>
      </c>
      <c r="G950">
        <f>VLOOKUP(C950,Products!A:D,4,FALSE)</f>
        <v>360</v>
      </c>
      <c r="H950" t="str">
        <f>VLOOKUP(C950,Products!A:D,3,FALSE)</f>
        <v>Beauty</v>
      </c>
      <c r="I950">
        <f t="shared" si="14"/>
        <v>1026</v>
      </c>
      <c r="J950" s="2">
        <f>VLOOKUP(B950,Orders!A:C,3,FALSE)</f>
        <v>46061</v>
      </c>
      <c r="K950" s="1" t="str">
        <f>VLOOKUP(B950,Orders!A:B,2,FALSE)</f>
        <v>C0164</v>
      </c>
    </row>
    <row r="951" spans="1:11" x14ac:dyDescent="0.3">
      <c r="A951" s="1" t="s">
        <v>2679</v>
      </c>
      <c r="B951" s="1" t="s">
        <v>2680</v>
      </c>
      <c r="C951" s="1" t="s">
        <v>1433</v>
      </c>
      <c r="D951" s="1">
        <v>1</v>
      </c>
      <c r="E951" s="1">
        <v>0.15</v>
      </c>
      <c r="F951" s="1" t="b">
        <v>0</v>
      </c>
      <c r="G951">
        <f>VLOOKUP(C951,Products!A:D,4,FALSE)</f>
        <v>110</v>
      </c>
      <c r="H951" t="str">
        <f>VLOOKUP(C951,Products!A:D,3,FALSE)</f>
        <v>Home &amp; Kitchen</v>
      </c>
      <c r="I951">
        <f t="shared" si="14"/>
        <v>93.5</v>
      </c>
      <c r="J951" s="2">
        <f>VLOOKUP(B951,Orders!A:C,3,FALSE)</f>
        <v>46079</v>
      </c>
      <c r="K951" s="1" t="str">
        <f>VLOOKUP(B951,Orders!A:B,2,FALSE)</f>
        <v>C0059</v>
      </c>
    </row>
    <row r="952" spans="1:11" x14ac:dyDescent="0.3">
      <c r="A952" s="1" t="s">
        <v>2681</v>
      </c>
      <c r="B952" s="1" t="s">
        <v>2680</v>
      </c>
      <c r="C952" s="1" t="s">
        <v>1418</v>
      </c>
      <c r="D952" s="1">
        <v>5</v>
      </c>
      <c r="E952" s="1">
        <v>0</v>
      </c>
      <c r="F952" s="1" t="b">
        <v>0</v>
      </c>
      <c r="G952">
        <f>VLOOKUP(C952,Products!A:D,4,FALSE)</f>
        <v>1030</v>
      </c>
      <c r="H952" t="str">
        <f>VLOOKUP(C952,Products!A:D,3,FALSE)</f>
        <v>Beauty</v>
      </c>
      <c r="I952">
        <f t="shared" si="14"/>
        <v>5150</v>
      </c>
      <c r="J952" s="2">
        <f>VLOOKUP(B952,Orders!A:C,3,FALSE)</f>
        <v>46079</v>
      </c>
      <c r="K952" s="1" t="str">
        <f>VLOOKUP(B952,Orders!A:B,2,FALSE)</f>
        <v>C0059</v>
      </c>
    </row>
    <row r="953" spans="1:11" x14ac:dyDescent="0.3">
      <c r="A953" s="1" t="s">
        <v>2682</v>
      </c>
      <c r="B953" s="1" t="s">
        <v>2680</v>
      </c>
      <c r="C953" s="1" t="s">
        <v>1307</v>
      </c>
      <c r="D953" s="1">
        <v>4</v>
      </c>
      <c r="E953" s="1">
        <v>0</v>
      </c>
      <c r="F953" s="1" t="b">
        <v>0</v>
      </c>
      <c r="G953">
        <f>VLOOKUP(C953,Products!A:D,4,FALSE)</f>
        <v>99</v>
      </c>
      <c r="H953" t="str">
        <f>VLOOKUP(C953,Products!A:D,3,FALSE)</f>
        <v>Sports</v>
      </c>
      <c r="I953">
        <f t="shared" si="14"/>
        <v>396</v>
      </c>
      <c r="J953" s="2">
        <f>VLOOKUP(B953,Orders!A:C,3,FALSE)</f>
        <v>46079</v>
      </c>
      <c r="K953" s="1" t="str">
        <f>VLOOKUP(B953,Orders!A:B,2,FALSE)</f>
        <v>C0059</v>
      </c>
    </row>
    <row r="954" spans="1:11" x14ac:dyDescent="0.3">
      <c r="A954" s="1" t="s">
        <v>2683</v>
      </c>
      <c r="B954" s="1" t="s">
        <v>2684</v>
      </c>
      <c r="C954" s="1" t="s">
        <v>1564</v>
      </c>
      <c r="D954" s="1">
        <v>2</v>
      </c>
      <c r="E954" s="1">
        <v>0.2</v>
      </c>
      <c r="F954" s="1" t="b">
        <v>0</v>
      </c>
      <c r="G954">
        <f>VLOOKUP(C954,Products!A:D,4,FALSE)</f>
        <v>3680</v>
      </c>
      <c r="H954" t="str">
        <f>VLOOKUP(C954,Products!A:D,3,FALSE)</f>
        <v>Home &amp; Kitchen</v>
      </c>
      <c r="I954">
        <f t="shared" si="14"/>
        <v>5888</v>
      </c>
      <c r="J954" s="2">
        <f>VLOOKUP(B954,Orders!A:C,3,FALSE)</f>
        <v>46082</v>
      </c>
      <c r="K954" s="1" t="str">
        <f>VLOOKUP(B954,Orders!A:B,2,FALSE)</f>
        <v>C0056</v>
      </c>
    </row>
    <row r="955" spans="1:11" x14ac:dyDescent="0.3">
      <c r="A955" s="1" t="s">
        <v>2685</v>
      </c>
      <c r="B955" s="1" t="s">
        <v>2684</v>
      </c>
      <c r="C955" s="1" t="s">
        <v>1257</v>
      </c>
      <c r="D955" s="1">
        <v>4</v>
      </c>
      <c r="E955" s="1">
        <v>0</v>
      </c>
      <c r="F955" s="1" t="b">
        <v>0</v>
      </c>
      <c r="G955">
        <f>VLOOKUP(C955,Products!A:D,4,FALSE)</f>
        <v>1760</v>
      </c>
      <c r="H955" t="str">
        <f>VLOOKUP(C955,Products!A:D,3,FALSE)</f>
        <v>Books</v>
      </c>
      <c r="I955">
        <f t="shared" si="14"/>
        <v>7040</v>
      </c>
      <c r="J955" s="2">
        <f>VLOOKUP(B955,Orders!A:C,3,FALSE)</f>
        <v>46082</v>
      </c>
      <c r="K955" s="1" t="str">
        <f>VLOOKUP(B955,Orders!A:B,2,FALSE)</f>
        <v>C0056</v>
      </c>
    </row>
    <row r="956" spans="1:11" x14ac:dyDescent="0.3">
      <c r="A956" s="1" t="s">
        <v>2686</v>
      </c>
      <c r="B956" s="1" t="s">
        <v>2684</v>
      </c>
      <c r="C956" s="1" t="s">
        <v>1213</v>
      </c>
      <c r="D956" s="1">
        <v>4</v>
      </c>
      <c r="E956" s="1">
        <v>0</v>
      </c>
      <c r="F956" s="1" t="b">
        <v>0</v>
      </c>
      <c r="G956">
        <f>VLOOKUP(C956,Products!A:D,4,FALSE)</f>
        <v>1765</v>
      </c>
      <c r="H956" t="str">
        <f>VLOOKUP(C956,Products!A:D,3,FALSE)</f>
        <v>Beauty</v>
      </c>
      <c r="I956">
        <f t="shared" si="14"/>
        <v>7060</v>
      </c>
      <c r="J956" s="2">
        <f>VLOOKUP(B956,Orders!A:C,3,FALSE)</f>
        <v>46082</v>
      </c>
      <c r="K956" s="1" t="str">
        <f>VLOOKUP(B956,Orders!A:B,2,FALSE)</f>
        <v>C0056</v>
      </c>
    </row>
    <row r="957" spans="1:11" x14ac:dyDescent="0.3">
      <c r="A957" s="1" t="s">
        <v>2687</v>
      </c>
      <c r="B957" s="1" t="s">
        <v>2684</v>
      </c>
      <c r="C957" s="1" t="s">
        <v>1163</v>
      </c>
      <c r="D957" s="1">
        <v>5</v>
      </c>
      <c r="E957" s="1">
        <v>0</v>
      </c>
      <c r="F957" s="1" t="b">
        <v>0</v>
      </c>
      <c r="G957">
        <f>VLOOKUP(C957,Products!A:D,4,FALSE)</f>
        <v>2180</v>
      </c>
      <c r="H957" t="str">
        <f>VLOOKUP(C957,Products!A:D,3,FALSE)</f>
        <v>Electronics</v>
      </c>
      <c r="I957">
        <f t="shared" si="14"/>
        <v>10900</v>
      </c>
      <c r="J957" s="2">
        <f>VLOOKUP(B957,Orders!A:C,3,FALSE)</f>
        <v>46082</v>
      </c>
      <c r="K957" s="1" t="str">
        <f>VLOOKUP(B957,Orders!A:B,2,FALSE)</f>
        <v>C0056</v>
      </c>
    </row>
    <row r="958" spans="1:11" x14ac:dyDescent="0.3">
      <c r="A958" s="1" t="s">
        <v>2688</v>
      </c>
      <c r="B958" s="1" t="s">
        <v>2689</v>
      </c>
      <c r="C958" s="1" t="s">
        <v>1403</v>
      </c>
      <c r="D958" s="1">
        <v>5</v>
      </c>
      <c r="E958" s="1">
        <v>0.2</v>
      </c>
      <c r="F958" s="1" t="b">
        <v>0</v>
      </c>
      <c r="G958">
        <f>VLOOKUP(C958,Products!A:D,4,FALSE)</f>
        <v>1340</v>
      </c>
      <c r="H958" t="str">
        <f>VLOOKUP(C958,Products!A:D,3,FALSE)</f>
        <v>Electronics</v>
      </c>
      <c r="I958">
        <f t="shared" si="14"/>
        <v>5360</v>
      </c>
      <c r="J958" s="2">
        <f>VLOOKUP(B958,Orders!A:C,3,FALSE)</f>
        <v>46043</v>
      </c>
      <c r="K958" s="1" t="str">
        <f>VLOOKUP(B958,Orders!A:B,2,FALSE)</f>
        <v>C0125</v>
      </c>
    </row>
    <row r="959" spans="1:11" x14ac:dyDescent="0.3">
      <c r="A959" s="1" t="s">
        <v>2690</v>
      </c>
      <c r="B959" s="1" t="s">
        <v>2691</v>
      </c>
      <c r="C959" s="1" t="s">
        <v>1204</v>
      </c>
      <c r="D959" s="1">
        <v>1</v>
      </c>
      <c r="E959" s="1">
        <v>0</v>
      </c>
      <c r="F959" s="1" t="b">
        <v>0</v>
      </c>
      <c r="G959">
        <f>VLOOKUP(C959,Products!A:D,4,FALSE)</f>
        <v>940</v>
      </c>
      <c r="H959" t="str">
        <f>VLOOKUP(C959,Products!A:D,3,FALSE)</f>
        <v>Apparel</v>
      </c>
      <c r="I959">
        <f t="shared" si="14"/>
        <v>940</v>
      </c>
      <c r="J959" s="2">
        <f>VLOOKUP(B959,Orders!A:C,3,FALSE)</f>
        <v>46020</v>
      </c>
      <c r="K959" s="1" t="str">
        <f>VLOOKUP(B959,Orders!A:B,2,FALSE)</f>
        <v>C0082</v>
      </c>
    </row>
    <row r="960" spans="1:11" x14ac:dyDescent="0.3">
      <c r="A960" s="1" t="s">
        <v>2692</v>
      </c>
      <c r="B960" s="1" t="s">
        <v>2693</v>
      </c>
      <c r="C960" s="1" t="s">
        <v>1149</v>
      </c>
      <c r="D960" s="1">
        <v>5</v>
      </c>
      <c r="E960" s="1">
        <v>0.1</v>
      </c>
      <c r="F960" s="1" t="b">
        <v>0</v>
      </c>
      <c r="G960">
        <f>VLOOKUP(C960,Products!A:D,4,FALSE)</f>
        <v>1150</v>
      </c>
      <c r="H960" t="str">
        <f>VLOOKUP(C960,Products!A:D,3,FALSE)</f>
        <v>Apparel</v>
      </c>
      <c r="I960">
        <f t="shared" ref="I960:I1023" si="15">G960*D960*(1-E960)</f>
        <v>5175</v>
      </c>
      <c r="J960" s="2">
        <f>VLOOKUP(B960,Orders!A:C,3,FALSE)</f>
        <v>46084</v>
      </c>
      <c r="K960" s="1" t="str">
        <f>VLOOKUP(B960,Orders!A:B,2,FALSE)</f>
        <v>C0237</v>
      </c>
    </row>
    <row r="961" spans="1:11" x14ac:dyDescent="0.3">
      <c r="A961" s="1" t="s">
        <v>2694</v>
      </c>
      <c r="B961" s="1" t="s">
        <v>2695</v>
      </c>
      <c r="C961" s="1" t="s">
        <v>1278</v>
      </c>
      <c r="D961" s="1">
        <v>2</v>
      </c>
      <c r="E961" s="1">
        <v>0</v>
      </c>
      <c r="F961" s="1" t="b">
        <v>0</v>
      </c>
      <c r="G961">
        <f>VLOOKUP(C961,Products!A:D,4,FALSE)</f>
        <v>330</v>
      </c>
      <c r="H961" t="str">
        <f>VLOOKUP(C961,Products!A:D,3,FALSE)</f>
        <v>Books</v>
      </c>
      <c r="I961">
        <f t="shared" si="15"/>
        <v>660</v>
      </c>
      <c r="J961" s="2">
        <f>VLOOKUP(B961,Orders!A:C,3,FALSE)</f>
        <v>45903</v>
      </c>
      <c r="K961" s="1" t="str">
        <f>VLOOKUP(B961,Orders!A:B,2,FALSE)</f>
        <v>C0095</v>
      </c>
    </row>
    <row r="962" spans="1:11" x14ac:dyDescent="0.3">
      <c r="A962" s="1" t="s">
        <v>2696</v>
      </c>
      <c r="B962" s="1" t="s">
        <v>2697</v>
      </c>
      <c r="C962" s="1" t="s">
        <v>1412</v>
      </c>
      <c r="D962" s="1">
        <v>1</v>
      </c>
      <c r="E962" s="1">
        <v>0.1</v>
      </c>
      <c r="F962" s="1" t="b">
        <v>0</v>
      </c>
      <c r="G962">
        <f>VLOOKUP(C962,Products!A:D,4,FALSE)</f>
        <v>1430</v>
      </c>
      <c r="H962" t="str">
        <f>VLOOKUP(C962,Products!A:D,3,FALSE)</f>
        <v>Books</v>
      </c>
      <c r="I962">
        <f t="shared" si="15"/>
        <v>1287</v>
      </c>
      <c r="J962" s="2">
        <f>VLOOKUP(B962,Orders!A:C,3,FALSE)</f>
        <v>45924</v>
      </c>
      <c r="K962" s="1" t="str">
        <f>VLOOKUP(B962,Orders!A:B,2,FALSE)</f>
        <v>C0203</v>
      </c>
    </row>
    <row r="963" spans="1:11" x14ac:dyDescent="0.3">
      <c r="A963" s="1" t="s">
        <v>2698</v>
      </c>
      <c r="B963" s="1" t="s">
        <v>2699</v>
      </c>
      <c r="C963" s="1" t="s">
        <v>1135</v>
      </c>
      <c r="D963" s="1">
        <v>3</v>
      </c>
      <c r="E963" s="1">
        <v>0.1</v>
      </c>
      <c r="F963" s="1" t="b">
        <v>0</v>
      </c>
      <c r="G963">
        <f>VLOOKUP(C963,Products!A:D,4,FALSE)</f>
        <v>470</v>
      </c>
      <c r="H963" t="str">
        <f>VLOOKUP(C963,Products!A:D,3,FALSE)</f>
        <v>Apparel</v>
      </c>
      <c r="I963">
        <f t="shared" si="15"/>
        <v>1269</v>
      </c>
      <c r="J963" s="2">
        <f>VLOOKUP(B963,Orders!A:C,3,FALSE)</f>
        <v>46029</v>
      </c>
      <c r="K963" s="1" t="str">
        <f>VLOOKUP(B963,Orders!A:B,2,FALSE)</f>
        <v>C0102</v>
      </c>
    </row>
    <row r="964" spans="1:11" x14ac:dyDescent="0.3">
      <c r="A964" s="1" t="s">
        <v>2700</v>
      </c>
      <c r="B964" s="1" t="s">
        <v>2701</v>
      </c>
      <c r="C964" s="1" t="s">
        <v>1242</v>
      </c>
      <c r="D964" s="1">
        <v>3</v>
      </c>
      <c r="E964" s="1">
        <v>0.05</v>
      </c>
      <c r="F964" s="1" t="b">
        <v>0</v>
      </c>
      <c r="G964">
        <f>VLOOKUP(C964,Products!A:D,4,FALSE)</f>
        <v>2720</v>
      </c>
      <c r="H964" t="str">
        <f>VLOOKUP(C964,Products!A:D,3,FALSE)</f>
        <v>Beauty</v>
      </c>
      <c r="I964">
        <f t="shared" si="15"/>
        <v>7752</v>
      </c>
      <c r="J964" s="2">
        <f>VLOOKUP(B964,Orders!A:C,3,FALSE)</f>
        <v>46174</v>
      </c>
      <c r="K964" s="1" t="str">
        <f>VLOOKUP(B964,Orders!A:B,2,FALSE)</f>
        <v>C0200</v>
      </c>
    </row>
    <row r="965" spans="1:11" x14ac:dyDescent="0.3">
      <c r="A965" s="1" t="s">
        <v>2702</v>
      </c>
      <c r="B965" s="1" t="s">
        <v>2701</v>
      </c>
      <c r="C965" s="1" t="s">
        <v>1459</v>
      </c>
      <c r="D965" s="1">
        <v>4</v>
      </c>
      <c r="E965" s="1">
        <v>0</v>
      </c>
      <c r="F965" s="1" t="b">
        <v>0</v>
      </c>
      <c r="G965">
        <f>VLOOKUP(C965,Products!A:D,4,FALSE)</f>
        <v>710</v>
      </c>
      <c r="H965" t="str">
        <f>VLOOKUP(C965,Products!A:D,3,FALSE)</f>
        <v>Sports</v>
      </c>
      <c r="I965">
        <f t="shared" si="15"/>
        <v>2840</v>
      </c>
      <c r="J965" s="2">
        <f>VLOOKUP(B965,Orders!A:C,3,FALSE)</f>
        <v>46174</v>
      </c>
      <c r="K965" s="1" t="str">
        <f>VLOOKUP(B965,Orders!A:B,2,FALSE)</f>
        <v>C0200</v>
      </c>
    </row>
    <row r="966" spans="1:11" x14ac:dyDescent="0.3">
      <c r="A966" s="1" t="s">
        <v>2703</v>
      </c>
      <c r="B966" s="1" t="s">
        <v>2704</v>
      </c>
      <c r="C966" s="1" t="s">
        <v>1146</v>
      </c>
      <c r="D966" s="1">
        <v>3</v>
      </c>
      <c r="E966" s="1">
        <v>0</v>
      </c>
      <c r="F966" s="1" t="b">
        <v>0</v>
      </c>
      <c r="G966">
        <f>VLOOKUP(C966,Products!A:D,4,FALSE)</f>
        <v>1630</v>
      </c>
      <c r="H966" t="str">
        <f>VLOOKUP(C966,Products!A:D,3,FALSE)</f>
        <v>Beauty</v>
      </c>
      <c r="I966">
        <f t="shared" si="15"/>
        <v>4890</v>
      </c>
      <c r="J966" s="2">
        <f>VLOOKUP(B966,Orders!A:C,3,FALSE)</f>
        <v>45976</v>
      </c>
      <c r="K966" s="1" t="str">
        <f>VLOOKUP(B966,Orders!A:B,2,FALSE)</f>
        <v>C0106</v>
      </c>
    </row>
    <row r="967" spans="1:11" x14ac:dyDescent="0.3">
      <c r="A967" s="1" t="s">
        <v>2705</v>
      </c>
      <c r="B967" s="1" t="s">
        <v>2706</v>
      </c>
      <c r="C967" s="1" t="s">
        <v>1412</v>
      </c>
      <c r="D967" s="1">
        <v>5</v>
      </c>
      <c r="E967" s="1">
        <v>0</v>
      </c>
      <c r="F967" s="1" t="b">
        <v>0</v>
      </c>
      <c r="G967">
        <f>VLOOKUP(C967,Products!A:D,4,FALSE)</f>
        <v>1430</v>
      </c>
      <c r="H967" t="str">
        <f>VLOOKUP(C967,Products!A:D,3,FALSE)</f>
        <v>Books</v>
      </c>
      <c r="I967">
        <f t="shared" si="15"/>
        <v>7150</v>
      </c>
      <c r="J967" s="2">
        <f>VLOOKUP(B967,Orders!A:C,3,FALSE)</f>
        <v>45934</v>
      </c>
      <c r="K967" s="1" t="str">
        <f>VLOOKUP(B967,Orders!A:B,2,FALSE)</f>
        <v>C0296</v>
      </c>
    </row>
    <row r="968" spans="1:11" x14ac:dyDescent="0.3">
      <c r="A968" s="1" t="s">
        <v>2707</v>
      </c>
      <c r="B968" s="1" t="s">
        <v>2708</v>
      </c>
      <c r="C968" s="1" t="s">
        <v>1182</v>
      </c>
      <c r="D968" s="1">
        <v>4</v>
      </c>
      <c r="E968" s="1">
        <v>0.2</v>
      </c>
      <c r="F968" s="1" t="b">
        <v>0</v>
      </c>
      <c r="G968">
        <f>VLOOKUP(C968,Products!A:D,4,FALSE)</f>
        <v>790</v>
      </c>
      <c r="H968" t="str">
        <f>VLOOKUP(C968,Products!A:D,3,FALSE)</f>
        <v>Sports</v>
      </c>
      <c r="I968">
        <f t="shared" si="15"/>
        <v>2528</v>
      </c>
      <c r="J968" s="2">
        <f>VLOOKUP(B968,Orders!A:C,3,FALSE)</f>
        <v>45876</v>
      </c>
      <c r="K968" s="1" t="str">
        <f>VLOOKUP(B968,Orders!A:B,2,FALSE)</f>
        <v>C0275</v>
      </c>
    </row>
    <row r="969" spans="1:11" x14ac:dyDescent="0.3">
      <c r="A969" s="1" t="s">
        <v>2709</v>
      </c>
      <c r="B969" s="1" t="s">
        <v>2710</v>
      </c>
      <c r="C969" s="1" t="s">
        <v>1270</v>
      </c>
      <c r="D969" s="1">
        <v>4</v>
      </c>
      <c r="E969" s="1">
        <v>0.15</v>
      </c>
      <c r="F969" s="1" t="b">
        <v>0</v>
      </c>
      <c r="G969">
        <f>VLOOKUP(C969,Products!A:D,4,FALSE)</f>
        <v>3560</v>
      </c>
      <c r="H969" t="str">
        <f>VLOOKUP(C969,Products!A:D,3,FALSE)</f>
        <v>Sports</v>
      </c>
      <c r="I969">
        <f t="shared" si="15"/>
        <v>12104</v>
      </c>
      <c r="J969" s="2">
        <f>VLOOKUP(B969,Orders!A:C,3,FALSE)</f>
        <v>45900</v>
      </c>
      <c r="K969" s="1" t="str">
        <f>VLOOKUP(B969,Orders!A:B,2,FALSE)</f>
        <v>C0101</v>
      </c>
    </row>
    <row r="970" spans="1:11" x14ac:dyDescent="0.3">
      <c r="A970" s="1" t="s">
        <v>2711</v>
      </c>
      <c r="B970" s="1" t="s">
        <v>2712</v>
      </c>
      <c r="C970" s="1" t="s">
        <v>1163</v>
      </c>
      <c r="D970" s="1">
        <v>5</v>
      </c>
      <c r="E970" s="1">
        <v>0.1</v>
      </c>
      <c r="F970" s="1" t="b">
        <v>0</v>
      </c>
      <c r="G970">
        <f>VLOOKUP(C970,Products!A:D,4,FALSE)</f>
        <v>2180</v>
      </c>
      <c r="H970" t="str">
        <f>VLOOKUP(C970,Products!A:D,3,FALSE)</f>
        <v>Electronics</v>
      </c>
      <c r="I970">
        <f t="shared" si="15"/>
        <v>9810</v>
      </c>
      <c r="J970" s="2">
        <f>VLOOKUP(B970,Orders!A:C,3,FALSE)</f>
        <v>45734</v>
      </c>
      <c r="K970" s="1" t="str">
        <f>VLOOKUP(B970,Orders!A:B,2,FALSE)</f>
        <v>C0251</v>
      </c>
    </row>
    <row r="971" spans="1:11" x14ac:dyDescent="0.3">
      <c r="A971" s="1" t="s">
        <v>2713</v>
      </c>
      <c r="B971" s="1" t="s">
        <v>2712</v>
      </c>
      <c r="C971" s="1" t="s">
        <v>1216</v>
      </c>
      <c r="D971" s="1">
        <v>2</v>
      </c>
      <c r="E971" s="1">
        <v>0</v>
      </c>
      <c r="F971" s="1" t="b">
        <v>0</v>
      </c>
      <c r="G971">
        <f>VLOOKUP(C971,Products!A:D,4,FALSE)</f>
        <v>1240</v>
      </c>
      <c r="H971" t="str">
        <f>VLOOKUP(C971,Products!A:D,3,FALSE)</f>
        <v>Apparel</v>
      </c>
      <c r="I971">
        <f t="shared" si="15"/>
        <v>2480</v>
      </c>
      <c r="J971" s="2">
        <f>VLOOKUP(B971,Orders!A:C,3,FALSE)</f>
        <v>45734</v>
      </c>
      <c r="K971" s="1" t="str">
        <f>VLOOKUP(B971,Orders!A:B,2,FALSE)</f>
        <v>C0251</v>
      </c>
    </row>
    <row r="972" spans="1:11" x14ac:dyDescent="0.3">
      <c r="A972" s="1" t="s">
        <v>2714</v>
      </c>
      <c r="B972" s="1" t="s">
        <v>2712</v>
      </c>
      <c r="C972" s="1" t="s">
        <v>1294</v>
      </c>
      <c r="D972" s="1">
        <v>4</v>
      </c>
      <c r="E972" s="1">
        <v>0.2</v>
      </c>
      <c r="F972" s="1" t="b">
        <v>0</v>
      </c>
      <c r="G972">
        <f>VLOOKUP(C972,Products!A:D,4,FALSE)</f>
        <v>210</v>
      </c>
      <c r="H972" t="str">
        <f>VLOOKUP(C972,Products!A:D,3,FALSE)</f>
        <v>Electronics</v>
      </c>
      <c r="I972">
        <f t="shared" si="15"/>
        <v>672</v>
      </c>
      <c r="J972" s="2">
        <f>VLOOKUP(B972,Orders!A:C,3,FALSE)</f>
        <v>45734</v>
      </c>
      <c r="K972" s="1" t="str">
        <f>VLOOKUP(B972,Orders!A:B,2,FALSE)</f>
        <v>C0251</v>
      </c>
    </row>
    <row r="973" spans="1:11" x14ac:dyDescent="0.3">
      <c r="A973" s="1" t="s">
        <v>2715</v>
      </c>
      <c r="B973" s="1" t="s">
        <v>2716</v>
      </c>
      <c r="C973" s="1" t="s">
        <v>1127</v>
      </c>
      <c r="D973" s="1">
        <v>1</v>
      </c>
      <c r="E973" s="1">
        <v>0.1</v>
      </c>
      <c r="F973" s="1" t="b">
        <v>0</v>
      </c>
      <c r="G973">
        <f>VLOOKUP(C973,Products!A:D,4,FALSE)</f>
        <v>1660</v>
      </c>
      <c r="H973" t="str">
        <f>VLOOKUP(C973,Products!A:D,3,FALSE)</f>
        <v>Apparel</v>
      </c>
      <c r="I973">
        <f t="shared" si="15"/>
        <v>1494</v>
      </c>
      <c r="J973" s="2">
        <f>VLOOKUP(B973,Orders!A:C,3,FALSE)</f>
        <v>46180</v>
      </c>
      <c r="K973" s="1" t="str">
        <f>VLOOKUP(B973,Orders!A:B,2,FALSE)</f>
        <v>C0199</v>
      </c>
    </row>
    <row r="974" spans="1:11" x14ac:dyDescent="0.3">
      <c r="A974" s="1" t="s">
        <v>2717</v>
      </c>
      <c r="B974" s="1" t="s">
        <v>2716</v>
      </c>
      <c r="C974" s="1" t="s">
        <v>1247</v>
      </c>
      <c r="D974" s="1">
        <v>1</v>
      </c>
      <c r="E974" s="1">
        <v>0</v>
      </c>
      <c r="F974" s="1" t="b">
        <v>0</v>
      </c>
      <c r="G974">
        <f>VLOOKUP(C974,Products!A:D,4,FALSE)</f>
        <v>2210</v>
      </c>
      <c r="H974" t="str">
        <f>VLOOKUP(C974,Products!A:D,3,FALSE)</f>
        <v>Beauty</v>
      </c>
      <c r="I974">
        <f t="shared" si="15"/>
        <v>2210</v>
      </c>
      <c r="J974" s="2">
        <f>VLOOKUP(B974,Orders!A:C,3,FALSE)</f>
        <v>46180</v>
      </c>
      <c r="K974" s="1" t="str">
        <f>VLOOKUP(B974,Orders!A:B,2,FALSE)</f>
        <v>C0199</v>
      </c>
    </row>
    <row r="975" spans="1:11" x14ac:dyDescent="0.3">
      <c r="A975" s="1" t="s">
        <v>2718</v>
      </c>
      <c r="B975" s="1" t="s">
        <v>2719</v>
      </c>
      <c r="C975" s="1" t="s">
        <v>1719</v>
      </c>
      <c r="D975" s="1">
        <v>4</v>
      </c>
      <c r="E975" s="1">
        <v>0</v>
      </c>
      <c r="F975" s="1" t="b">
        <v>0</v>
      </c>
      <c r="G975">
        <f>VLOOKUP(C975,Products!A:D,4,FALSE)</f>
        <v>2790</v>
      </c>
      <c r="H975" t="str">
        <f>VLOOKUP(C975,Products!A:D,3,FALSE)</f>
        <v>Sports</v>
      </c>
      <c r="I975">
        <f t="shared" si="15"/>
        <v>11160</v>
      </c>
      <c r="J975" s="2">
        <f>VLOOKUP(B975,Orders!A:C,3,FALSE)</f>
        <v>46198</v>
      </c>
      <c r="K975" s="1" t="str">
        <f>VLOOKUP(B975,Orders!A:B,2,FALSE)</f>
        <v>C0059</v>
      </c>
    </row>
    <row r="976" spans="1:11" x14ac:dyDescent="0.3">
      <c r="A976" s="1" t="s">
        <v>2720</v>
      </c>
      <c r="B976" s="1" t="s">
        <v>2721</v>
      </c>
      <c r="C976" s="1" t="s">
        <v>1257</v>
      </c>
      <c r="D976" s="1">
        <v>2</v>
      </c>
      <c r="E976" s="1">
        <v>0</v>
      </c>
      <c r="F976" s="1" t="b">
        <v>0</v>
      </c>
      <c r="G976">
        <f>VLOOKUP(C976,Products!A:D,4,FALSE)</f>
        <v>1760</v>
      </c>
      <c r="H976" t="str">
        <f>VLOOKUP(C976,Products!A:D,3,FALSE)</f>
        <v>Books</v>
      </c>
      <c r="I976">
        <f t="shared" si="15"/>
        <v>3520</v>
      </c>
      <c r="J976" s="2">
        <f>VLOOKUP(B976,Orders!A:C,3,FALSE)</f>
        <v>45922</v>
      </c>
      <c r="K976" s="1" t="str">
        <f>VLOOKUP(B976,Orders!A:B,2,FALSE)</f>
        <v>C0089</v>
      </c>
    </row>
    <row r="977" spans="1:11" x14ac:dyDescent="0.3">
      <c r="A977" s="1" t="s">
        <v>2722</v>
      </c>
      <c r="B977" s="1" t="s">
        <v>2721</v>
      </c>
      <c r="C977" s="1" t="s">
        <v>1125</v>
      </c>
      <c r="D977" s="1">
        <v>4</v>
      </c>
      <c r="E977" s="1">
        <v>0</v>
      </c>
      <c r="F977" s="1" t="b">
        <v>0</v>
      </c>
      <c r="G977">
        <f>VLOOKUP(C977,Products!A:D,4,FALSE)</f>
        <v>99</v>
      </c>
      <c r="H977" t="str">
        <f>VLOOKUP(C977,Products!A:D,3,FALSE)</f>
        <v>Electronics</v>
      </c>
      <c r="I977">
        <f t="shared" si="15"/>
        <v>396</v>
      </c>
      <c r="J977" s="2">
        <f>VLOOKUP(B977,Orders!A:C,3,FALSE)</f>
        <v>45922</v>
      </c>
      <c r="K977" s="1" t="str">
        <f>VLOOKUP(B977,Orders!A:B,2,FALSE)</f>
        <v>C0089</v>
      </c>
    </row>
    <row r="978" spans="1:11" x14ac:dyDescent="0.3">
      <c r="A978" s="1" t="s">
        <v>2723</v>
      </c>
      <c r="B978" s="1" t="s">
        <v>2724</v>
      </c>
      <c r="C978" s="1" t="s">
        <v>1157</v>
      </c>
      <c r="D978" s="1">
        <v>3</v>
      </c>
      <c r="E978" s="1">
        <v>0.2</v>
      </c>
      <c r="F978" s="1" t="b">
        <v>0</v>
      </c>
      <c r="G978">
        <f>VLOOKUP(C978,Products!A:D,4,FALSE)</f>
        <v>1520</v>
      </c>
      <c r="H978" t="str">
        <f>VLOOKUP(C978,Products!A:D,3,FALSE)</f>
        <v>Books</v>
      </c>
      <c r="I978">
        <f t="shared" si="15"/>
        <v>3648</v>
      </c>
      <c r="J978" s="2">
        <f>VLOOKUP(B978,Orders!A:C,3,FALSE)</f>
        <v>45991</v>
      </c>
      <c r="K978" s="1" t="str">
        <f>VLOOKUP(B978,Orders!A:B,2,FALSE)</f>
        <v>C0044</v>
      </c>
    </row>
    <row r="979" spans="1:11" x14ac:dyDescent="0.3">
      <c r="A979" s="1" t="s">
        <v>2725</v>
      </c>
      <c r="B979" s="1" t="s">
        <v>2724</v>
      </c>
      <c r="C979" s="1" t="s">
        <v>1109</v>
      </c>
      <c r="D979" s="1">
        <v>3</v>
      </c>
      <c r="E979" s="1">
        <v>0.05</v>
      </c>
      <c r="F979" s="1" t="b">
        <v>0</v>
      </c>
      <c r="G979">
        <f>VLOOKUP(C979,Products!A:D,4,FALSE)</f>
        <v>1475</v>
      </c>
      <c r="H979" t="str">
        <f>VLOOKUP(C979,Products!A:D,3,FALSE)</f>
        <v>Books</v>
      </c>
      <c r="I979">
        <f t="shared" si="15"/>
        <v>4203.75</v>
      </c>
      <c r="J979" s="2">
        <f>VLOOKUP(B979,Orders!A:C,3,FALSE)</f>
        <v>45991</v>
      </c>
      <c r="K979" s="1" t="str">
        <f>VLOOKUP(B979,Orders!A:B,2,FALSE)</f>
        <v>C0044</v>
      </c>
    </row>
    <row r="980" spans="1:11" x14ac:dyDescent="0.3">
      <c r="A980" s="1" t="s">
        <v>2726</v>
      </c>
      <c r="B980" s="1" t="s">
        <v>2727</v>
      </c>
      <c r="C980" s="1" t="s">
        <v>1498</v>
      </c>
      <c r="D980" s="1">
        <v>2</v>
      </c>
      <c r="E980" s="1">
        <v>0</v>
      </c>
      <c r="F980" s="1" t="b">
        <v>0</v>
      </c>
      <c r="G980">
        <f>VLOOKUP(C980,Products!A:D,4,FALSE)</f>
        <v>1910</v>
      </c>
      <c r="H980" t="str">
        <f>VLOOKUP(C980,Products!A:D,3,FALSE)</f>
        <v>Apparel</v>
      </c>
      <c r="I980">
        <f t="shared" si="15"/>
        <v>3820</v>
      </c>
      <c r="J980" s="2">
        <f>VLOOKUP(B980,Orders!A:C,3,FALSE)</f>
        <v>45738</v>
      </c>
      <c r="K980" s="1" t="str">
        <f>VLOOKUP(B980,Orders!A:B,2,FALSE)</f>
        <v>C0061</v>
      </c>
    </row>
    <row r="981" spans="1:11" x14ac:dyDescent="0.3">
      <c r="A981" s="1" t="s">
        <v>2728</v>
      </c>
      <c r="B981" s="1" t="s">
        <v>2727</v>
      </c>
      <c r="C981" s="1" t="s">
        <v>1130</v>
      </c>
      <c r="D981" s="1">
        <v>2</v>
      </c>
      <c r="E981" s="1">
        <v>0</v>
      </c>
      <c r="F981" s="1" t="b">
        <v>0</v>
      </c>
      <c r="G981">
        <f>VLOOKUP(C981,Products!A:D,4,FALSE)</f>
        <v>2400</v>
      </c>
      <c r="H981" t="str">
        <f>VLOOKUP(C981,Products!A:D,3,FALSE)</f>
        <v>Electronics</v>
      </c>
      <c r="I981">
        <f t="shared" si="15"/>
        <v>4800</v>
      </c>
      <c r="J981" s="2">
        <f>VLOOKUP(B981,Orders!A:C,3,FALSE)</f>
        <v>45738</v>
      </c>
      <c r="K981" s="1" t="str">
        <f>VLOOKUP(B981,Orders!A:B,2,FALSE)</f>
        <v>C0061</v>
      </c>
    </row>
    <row r="982" spans="1:11" x14ac:dyDescent="0.3">
      <c r="A982" s="1" t="s">
        <v>2729</v>
      </c>
      <c r="B982" s="1" t="s">
        <v>2730</v>
      </c>
      <c r="C982" s="1" t="s">
        <v>1302</v>
      </c>
      <c r="D982" s="1">
        <v>1</v>
      </c>
      <c r="E982" s="1">
        <v>0.15</v>
      </c>
      <c r="F982" s="1" t="b">
        <v>0</v>
      </c>
      <c r="G982">
        <f>VLOOKUP(C982,Products!A:D,4,FALSE)</f>
        <v>1220</v>
      </c>
      <c r="H982" t="str">
        <f>VLOOKUP(C982,Products!A:D,3,FALSE)</f>
        <v>Home &amp; Kitchen</v>
      </c>
      <c r="I982">
        <f t="shared" si="15"/>
        <v>1037</v>
      </c>
      <c r="J982" s="2">
        <f>VLOOKUP(B982,Orders!A:C,3,FALSE)</f>
        <v>46239</v>
      </c>
      <c r="K982" s="1" t="str">
        <f>VLOOKUP(B982,Orders!A:B,2,FALSE)</f>
        <v>C0094</v>
      </c>
    </row>
    <row r="983" spans="1:11" x14ac:dyDescent="0.3">
      <c r="A983" s="1" t="s">
        <v>2731</v>
      </c>
      <c r="B983" s="1" t="s">
        <v>2732</v>
      </c>
      <c r="C983" s="1" t="s">
        <v>1197</v>
      </c>
      <c r="D983" s="1">
        <v>4</v>
      </c>
      <c r="E983" s="1">
        <v>0</v>
      </c>
      <c r="F983" s="1" t="b">
        <v>0</v>
      </c>
      <c r="G983">
        <f>VLOOKUP(C983,Products!A:D,4,FALSE)</f>
        <v>2050</v>
      </c>
      <c r="H983" t="str">
        <f>VLOOKUP(C983,Products!A:D,3,FALSE)</f>
        <v>Apparel</v>
      </c>
      <c r="I983">
        <f t="shared" si="15"/>
        <v>8200</v>
      </c>
      <c r="J983" s="2">
        <f>VLOOKUP(B983,Orders!A:C,3,FALSE)</f>
        <v>46252</v>
      </c>
      <c r="K983" s="1" t="str">
        <f>VLOOKUP(B983,Orders!A:B,2,FALSE)</f>
        <v>C0262</v>
      </c>
    </row>
    <row r="984" spans="1:11" x14ac:dyDescent="0.3">
      <c r="A984" s="1" t="s">
        <v>2733</v>
      </c>
      <c r="B984" s="1" t="s">
        <v>2732</v>
      </c>
      <c r="C984" s="1" t="s">
        <v>1135</v>
      </c>
      <c r="D984" s="1">
        <v>2</v>
      </c>
      <c r="E984" s="1">
        <v>0</v>
      </c>
      <c r="F984" s="1" t="b">
        <v>0</v>
      </c>
      <c r="G984">
        <f>VLOOKUP(C984,Products!A:D,4,FALSE)</f>
        <v>470</v>
      </c>
      <c r="H984" t="str">
        <f>VLOOKUP(C984,Products!A:D,3,FALSE)</f>
        <v>Apparel</v>
      </c>
      <c r="I984">
        <f t="shared" si="15"/>
        <v>940</v>
      </c>
      <c r="J984" s="2">
        <f>VLOOKUP(B984,Orders!A:C,3,FALSE)</f>
        <v>46252</v>
      </c>
      <c r="K984" s="1" t="str">
        <f>VLOOKUP(B984,Orders!A:B,2,FALSE)</f>
        <v>C0262</v>
      </c>
    </row>
    <row r="985" spans="1:11" x14ac:dyDescent="0.3">
      <c r="A985" s="1" t="s">
        <v>2734</v>
      </c>
      <c r="B985" s="1" t="s">
        <v>2735</v>
      </c>
      <c r="C985" s="1" t="s">
        <v>1278</v>
      </c>
      <c r="D985" s="1">
        <v>4</v>
      </c>
      <c r="E985" s="1">
        <v>0</v>
      </c>
      <c r="F985" s="1" t="b">
        <v>0</v>
      </c>
      <c r="G985">
        <f>VLOOKUP(C985,Products!A:D,4,FALSE)</f>
        <v>330</v>
      </c>
      <c r="H985" t="str">
        <f>VLOOKUP(C985,Products!A:D,3,FALSE)</f>
        <v>Books</v>
      </c>
      <c r="I985">
        <f t="shared" si="15"/>
        <v>1320</v>
      </c>
      <c r="J985" s="2">
        <f>VLOOKUP(B985,Orders!A:C,3,FALSE)</f>
        <v>45995</v>
      </c>
      <c r="K985" s="1" t="str">
        <f>VLOOKUP(B985,Orders!A:B,2,FALSE)</f>
        <v>C0071</v>
      </c>
    </row>
    <row r="986" spans="1:11" x14ac:dyDescent="0.3">
      <c r="A986" s="1" t="s">
        <v>2736</v>
      </c>
      <c r="B986" s="1" t="s">
        <v>2737</v>
      </c>
      <c r="C986" s="1" t="s">
        <v>1174</v>
      </c>
      <c r="D986" s="1">
        <v>5</v>
      </c>
      <c r="E986" s="1">
        <v>0.05</v>
      </c>
      <c r="F986" s="1" t="b">
        <v>0</v>
      </c>
      <c r="G986">
        <f>VLOOKUP(C986,Products!A:D,4,FALSE)</f>
        <v>1250</v>
      </c>
      <c r="H986" t="str">
        <f>VLOOKUP(C986,Products!A:D,3,FALSE)</f>
        <v>Sports</v>
      </c>
      <c r="I986">
        <f t="shared" si="15"/>
        <v>5937.5</v>
      </c>
      <c r="J986" s="2">
        <f>VLOOKUP(B986,Orders!A:C,3,FALSE)</f>
        <v>45739</v>
      </c>
      <c r="K986" s="1" t="str">
        <f>VLOOKUP(B986,Orders!A:B,2,FALSE)</f>
        <v>C0096</v>
      </c>
    </row>
    <row r="987" spans="1:11" x14ac:dyDescent="0.3">
      <c r="A987" s="1" t="s">
        <v>2738</v>
      </c>
      <c r="B987" s="1" t="s">
        <v>2737</v>
      </c>
      <c r="C987" s="1" t="s">
        <v>1257</v>
      </c>
      <c r="D987" s="1">
        <v>4</v>
      </c>
      <c r="E987" s="1">
        <v>0.2</v>
      </c>
      <c r="F987" s="1" t="b">
        <v>0</v>
      </c>
      <c r="G987">
        <f>VLOOKUP(C987,Products!A:D,4,FALSE)</f>
        <v>1760</v>
      </c>
      <c r="H987" t="str">
        <f>VLOOKUP(C987,Products!A:D,3,FALSE)</f>
        <v>Books</v>
      </c>
      <c r="I987">
        <f t="shared" si="15"/>
        <v>5632</v>
      </c>
      <c r="J987" s="2">
        <f>VLOOKUP(B987,Orders!A:C,3,FALSE)</f>
        <v>45739</v>
      </c>
      <c r="K987" s="1" t="str">
        <f>VLOOKUP(B987,Orders!A:B,2,FALSE)</f>
        <v>C0096</v>
      </c>
    </row>
    <row r="988" spans="1:11" x14ac:dyDescent="0.3">
      <c r="A988" s="1" t="s">
        <v>2739</v>
      </c>
      <c r="B988" s="1" t="s">
        <v>2740</v>
      </c>
      <c r="C988" s="1" t="s">
        <v>1302</v>
      </c>
      <c r="D988" s="1">
        <v>1</v>
      </c>
      <c r="E988" s="1">
        <v>0</v>
      </c>
      <c r="F988" s="1" t="b">
        <v>0</v>
      </c>
      <c r="G988">
        <f>VLOOKUP(C988,Products!A:D,4,FALSE)</f>
        <v>1220</v>
      </c>
      <c r="H988" t="str">
        <f>VLOOKUP(C988,Products!A:D,3,FALSE)</f>
        <v>Home &amp; Kitchen</v>
      </c>
      <c r="I988">
        <f t="shared" si="15"/>
        <v>1220</v>
      </c>
      <c r="J988" s="2">
        <f>VLOOKUP(B988,Orders!A:C,3,FALSE)</f>
        <v>45969</v>
      </c>
      <c r="K988" s="1" t="str">
        <f>VLOOKUP(B988,Orders!A:B,2,FALSE)</f>
        <v>C0089</v>
      </c>
    </row>
    <row r="989" spans="1:11" x14ac:dyDescent="0.3">
      <c r="A989" s="1" t="s">
        <v>2741</v>
      </c>
      <c r="B989" s="1" t="s">
        <v>2742</v>
      </c>
      <c r="C989" s="1" t="s">
        <v>1564</v>
      </c>
      <c r="D989" s="1">
        <v>1</v>
      </c>
      <c r="E989" s="1">
        <v>0.2</v>
      </c>
      <c r="F989" s="1" t="b">
        <v>0</v>
      </c>
      <c r="G989">
        <f>VLOOKUP(C989,Products!A:D,4,FALSE)</f>
        <v>3680</v>
      </c>
      <c r="H989" t="str">
        <f>VLOOKUP(C989,Products!A:D,3,FALSE)</f>
        <v>Home &amp; Kitchen</v>
      </c>
      <c r="I989">
        <f t="shared" si="15"/>
        <v>2944</v>
      </c>
      <c r="J989" s="2">
        <f>VLOOKUP(B989,Orders!A:C,3,FALSE)</f>
        <v>45894</v>
      </c>
      <c r="K989" s="1" t="str">
        <f>VLOOKUP(B989,Orders!A:B,2,FALSE)</f>
        <v>C0148</v>
      </c>
    </row>
    <row r="990" spans="1:11" x14ac:dyDescent="0.3">
      <c r="A990" s="1" t="s">
        <v>2743</v>
      </c>
      <c r="B990" s="1" t="s">
        <v>2742</v>
      </c>
      <c r="C990" s="1" t="s">
        <v>1202</v>
      </c>
      <c r="D990" s="1">
        <v>2</v>
      </c>
      <c r="E990" s="1">
        <v>0.1</v>
      </c>
      <c r="F990" s="1" t="b">
        <v>0</v>
      </c>
      <c r="G990">
        <f>VLOOKUP(C990,Products!A:D,4,FALSE)</f>
        <v>530</v>
      </c>
      <c r="H990" t="str">
        <f>VLOOKUP(C990,Products!A:D,3,FALSE)</f>
        <v>Beauty</v>
      </c>
      <c r="I990">
        <f t="shared" si="15"/>
        <v>954</v>
      </c>
      <c r="J990" s="2">
        <f>VLOOKUP(B990,Orders!A:C,3,FALSE)</f>
        <v>45894</v>
      </c>
      <c r="K990" s="1" t="str">
        <f>VLOOKUP(B990,Orders!A:B,2,FALSE)</f>
        <v>C0148</v>
      </c>
    </row>
    <row r="991" spans="1:11" x14ac:dyDescent="0.3">
      <c r="A991" s="1" t="s">
        <v>2744</v>
      </c>
      <c r="B991" s="1" t="s">
        <v>2745</v>
      </c>
      <c r="C991" s="1" t="s">
        <v>1225</v>
      </c>
      <c r="D991" s="1">
        <v>4</v>
      </c>
      <c r="E991" s="1">
        <v>0.15</v>
      </c>
      <c r="F991" s="1" t="b">
        <v>0</v>
      </c>
      <c r="G991">
        <f>VLOOKUP(C991,Products!A:D,4,FALSE)</f>
        <v>2690</v>
      </c>
      <c r="H991" t="str">
        <f>VLOOKUP(C991,Products!A:D,3,FALSE)</f>
        <v>Beauty</v>
      </c>
      <c r="I991">
        <f t="shared" si="15"/>
        <v>9146</v>
      </c>
      <c r="J991" s="2">
        <f>VLOOKUP(B991,Orders!A:C,3,FALSE)</f>
        <v>45860</v>
      </c>
      <c r="K991" s="1" t="str">
        <f>VLOOKUP(B991,Orders!A:B,2,FALSE)</f>
        <v>C0231</v>
      </c>
    </row>
    <row r="992" spans="1:11" x14ac:dyDescent="0.3">
      <c r="A992" s="1" t="s">
        <v>2746</v>
      </c>
      <c r="B992" s="1" t="s">
        <v>2747</v>
      </c>
      <c r="C992" s="1" t="s">
        <v>1270</v>
      </c>
      <c r="D992" s="1">
        <v>1</v>
      </c>
      <c r="E992" s="1">
        <v>0</v>
      </c>
      <c r="F992" s="1" t="b">
        <v>0</v>
      </c>
      <c r="G992">
        <f>VLOOKUP(C992,Products!A:D,4,FALSE)</f>
        <v>3560</v>
      </c>
      <c r="H992" t="str">
        <f>VLOOKUP(C992,Products!A:D,3,FALSE)</f>
        <v>Sports</v>
      </c>
      <c r="I992">
        <f t="shared" si="15"/>
        <v>3560</v>
      </c>
      <c r="J992" s="2">
        <f>VLOOKUP(B992,Orders!A:C,3,FALSE)</f>
        <v>45737</v>
      </c>
      <c r="K992" s="1" t="str">
        <f>VLOOKUP(B992,Orders!A:B,2,FALSE)</f>
        <v>C0005</v>
      </c>
    </row>
    <row r="993" spans="1:11" x14ac:dyDescent="0.3">
      <c r="A993" s="1" t="s">
        <v>2748</v>
      </c>
      <c r="B993" s="1" t="s">
        <v>2749</v>
      </c>
      <c r="C993" s="1" t="s">
        <v>1204</v>
      </c>
      <c r="D993" s="1">
        <v>1</v>
      </c>
      <c r="E993" s="1">
        <v>0</v>
      </c>
      <c r="F993" s="1" t="b">
        <v>0</v>
      </c>
      <c r="G993">
        <f>VLOOKUP(C993,Products!A:D,4,FALSE)</f>
        <v>940</v>
      </c>
      <c r="H993" t="str">
        <f>VLOOKUP(C993,Products!A:D,3,FALSE)</f>
        <v>Apparel</v>
      </c>
      <c r="I993">
        <f t="shared" si="15"/>
        <v>940</v>
      </c>
      <c r="J993" s="2">
        <f>VLOOKUP(B993,Orders!A:C,3,FALSE)</f>
        <v>45938</v>
      </c>
      <c r="K993" s="1" t="str">
        <f>VLOOKUP(B993,Orders!A:B,2,FALSE)</f>
        <v>C0197</v>
      </c>
    </row>
    <row r="994" spans="1:11" x14ac:dyDescent="0.3">
      <c r="A994" s="1" t="s">
        <v>2750</v>
      </c>
      <c r="B994" s="1" t="s">
        <v>2751</v>
      </c>
      <c r="C994" s="1" t="s">
        <v>1111</v>
      </c>
      <c r="D994" s="1">
        <v>5</v>
      </c>
      <c r="E994" s="1">
        <v>0</v>
      </c>
      <c r="F994" s="1" t="b">
        <v>0</v>
      </c>
      <c r="G994">
        <f>VLOOKUP(C994,Products!A:D,4,FALSE)</f>
        <v>2450</v>
      </c>
      <c r="H994" t="str">
        <f>VLOOKUP(C994,Products!A:D,3,FALSE)</f>
        <v>Sports</v>
      </c>
      <c r="I994">
        <f t="shared" si="15"/>
        <v>12250</v>
      </c>
      <c r="J994" s="2">
        <f>VLOOKUP(B994,Orders!A:C,3,FALSE)</f>
        <v>45959</v>
      </c>
      <c r="K994" s="1" t="str">
        <f>VLOOKUP(B994,Orders!A:B,2,FALSE)</f>
        <v>C0254</v>
      </c>
    </row>
    <row r="995" spans="1:11" x14ac:dyDescent="0.3">
      <c r="A995" s="1" t="s">
        <v>2752</v>
      </c>
      <c r="B995" s="1" t="s">
        <v>2753</v>
      </c>
      <c r="C995" s="1" t="s">
        <v>1125</v>
      </c>
      <c r="D995" s="1">
        <v>1</v>
      </c>
      <c r="E995" s="1">
        <v>0.1</v>
      </c>
      <c r="F995" s="1" t="b">
        <v>0</v>
      </c>
      <c r="G995">
        <f>VLOOKUP(C995,Products!A:D,4,FALSE)</f>
        <v>99</v>
      </c>
      <c r="H995" t="str">
        <f>VLOOKUP(C995,Products!A:D,3,FALSE)</f>
        <v>Electronics</v>
      </c>
      <c r="I995">
        <f t="shared" si="15"/>
        <v>89.100000000000009</v>
      </c>
      <c r="J995" s="2">
        <f>VLOOKUP(B995,Orders!A:C,3,FALSE)</f>
        <v>46041</v>
      </c>
      <c r="K995" s="1" t="str">
        <f>VLOOKUP(B995,Orders!A:B,2,FALSE)</f>
        <v>C0252</v>
      </c>
    </row>
    <row r="996" spans="1:11" x14ac:dyDescent="0.3">
      <c r="A996" s="1" t="s">
        <v>2754</v>
      </c>
      <c r="B996" s="1" t="s">
        <v>2753</v>
      </c>
      <c r="C996" s="1" t="s">
        <v>1230</v>
      </c>
      <c r="D996" s="1">
        <v>5</v>
      </c>
      <c r="E996" s="1">
        <v>0</v>
      </c>
      <c r="F996" s="1" t="b">
        <v>0</v>
      </c>
      <c r="G996">
        <f>VLOOKUP(C996,Products!A:D,4,FALSE)</f>
        <v>1530</v>
      </c>
      <c r="H996" t="str">
        <f>VLOOKUP(C996,Products!A:D,3,FALSE)</f>
        <v>Beauty</v>
      </c>
      <c r="I996">
        <f t="shared" si="15"/>
        <v>7650</v>
      </c>
      <c r="J996" s="2">
        <f>VLOOKUP(B996,Orders!A:C,3,FALSE)</f>
        <v>46041</v>
      </c>
      <c r="K996" s="1" t="str">
        <f>VLOOKUP(B996,Orders!A:B,2,FALSE)</f>
        <v>C0252</v>
      </c>
    </row>
    <row r="997" spans="1:11" x14ac:dyDescent="0.3">
      <c r="A997" s="1" t="s">
        <v>2755</v>
      </c>
      <c r="B997" s="1" t="s">
        <v>2756</v>
      </c>
      <c r="C997" s="1" t="s">
        <v>1294</v>
      </c>
      <c r="D997" s="1">
        <v>3</v>
      </c>
      <c r="E997" s="1">
        <v>0.15</v>
      </c>
      <c r="F997" s="1" t="b">
        <v>0</v>
      </c>
      <c r="G997">
        <f>VLOOKUP(C997,Products!A:D,4,FALSE)</f>
        <v>210</v>
      </c>
      <c r="H997" t="str">
        <f>VLOOKUP(C997,Products!A:D,3,FALSE)</f>
        <v>Electronics</v>
      </c>
      <c r="I997">
        <f t="shared" si="15"/>
        <v>535.5</v>
      </c>
      <c r="J997" s="2">
        <f>VLOOKUP(B997,Orders!A:C,3,FALSE)</f>
        <v>45950</v>
      </c>
      <c r="K997" s="1" t="str">
        <f>VLOOKUP(B997,Orders!A:B,2,FALSE)</f>
        <v>C0251</v>
      </c>
    </row>
    <row r="998" spans="1:11" x14ac:dyDescent="0.3">
      <c r="A998" s="1" t="s">
        <v>2757</v>
      </c>
      <c r="B998" s="1" t="s">
        <v>2756</v>
      </c>
      <c r="C998" s="1" t="s">
        <v>1174</v>
      </c>
      <c r="D998" s="1">
        <v>1</v>
      </c>
      <c r="E998" s="1">
        <v>0.1</v>
      </c>
      <c r="F998" s="1" t="b">
        <v>0</v>
      </c>
      <c r="G998">
        <f>VLOOKUP(C998,Products!A:D,4,FALSE)</f>
        <v>1250</v>
      </c>
      <c r="H998" t="str">
        <f>VLOOKUP(C998,Products!A:D,3,FALSE)</f>
        <v>Sports</v>
      </c>
      <c r="I998">
        <f t="shared" si="15"/>
        <v>1125</v>
      </c>
      <c r="J998" s="2">
        <f>VLOOKUP(B998,Orders!A:C,3,FALSE)</f>
        <v>45950</v>
      </c>
      <c r="K998" s="1" t="str">
        <f>VLOOKUP(B998,Orders!A:B,2,FALSE)</f>
        <v>C0251</v>
      </c>
    </row>
    <row r="999" spans="1:11" x14ac:dyDescent="0.3">
      <c r="A999" s="1" t="s">
        <v>2758</v>
      </c>
      <c r="B999" s="1" t="s">
        <v>2756</v>
      </c>
      <c r="C999" s="1" t="s">
        <v>1109</v>
      </c>
      <c r="D999" s="1">
        <v>3</v>
      </c>
      <c r="E999" s="1">
        <v>0.2</v>
      </c>
      <c r="F999" s="1" t="b">
        <v>0</v>
      </c>
      <c r="G999">
        <f>VLOOKUP(C999,Products!A:D,4,FALSE)</f>
        <v>1475</v>
      </c>
      <c r="H999" t="str">
        <f>VLOOKUP(C999,Products!A:D,3,FALSE)</f>
        <v>Books</v>
      </c>
      <c r="I999">
        <f t="shared" si="15"/>
        <v>3540</v>
      </c>
      <c r="J999" s="2">
        <f>VLOOKUP(B999,Orders!A:C,3,FALSE)</f>
        <v>45950</v>
      </c>
      <c r="K999" s="1" t="str">
        <f>VLOOKUP(B999,Orders!A:B,2,FALSE)</f>
        <v>C0251</v>
      </c>
    </row>
    <row r="1000" spans="1:11" x14ac:dyDescent="0.3">
      <c r="A1000" s="1" t="s">
        <v>2759</v>
      </c>
      <c r="B1000" s="1" t="s">
        <v>2760</v>
      </c>
      <c r="C1000" s="1" t="s">
        <v>1163</v>
      </c>
      <c r="D1000" s="1">
        <v>3</v>
      </c>
      <c r="E1000" s="1">
        <v>0</v>
      </c>
      <c r="F1000" s="1" t="b">
        <v>1</v>
      </c>
      <c r="G1000">
        <f>VLOOKUP(C1000,Products!A:D,4,FALSE)</f>
        <v>2180</v>
      </c>
      <c r="H1000" t="str">
        <f>VLOOKUP(C1000,Products!A:D,3,FALSE)</f>
        <v>Electronics</v>
      </c>
      <c r="I1000">
        <f t="shared" si="15"/>
        <v>6540</v>
      </c>
      <c r="J1000" s="2">
        <f>VLOOKUP(B1000,Orders!A:C,3,FALSE)</f>
        <v>45823</v>
      </c>
      <c r="K1000" s="1" t="str">
        <f>VLOOKUP(B1000,Orders!A:B,2,FALSE)</f>
        <v>C0016</v>
      </c>
    </row>
    <row r="1001" spans="1:11" x14ac:dyDescent="0.3">
      <c r="A1001" s="1" t="s">
        <v>2761</v>
      </c>
      <c r="B1001" s="1" t="s">
        <v>2762</v>
      </c>
      <c r="C1001" s="1" t="s">
        <v>1135</v>
      </c>
      <c r="D1001" s="1">
        <v>4</v>
      </c>
      <c r="E1001" s="1">
        <v>0</v>
      </c>
      <c r="F1001" s="1" t="b">
        <v>0</v>
      </c>
      <c r="G1001">
        <f>VLOOKUP(C1001,Products!A:D,4,FALSE)</f>
        <v>470</v>
      </c>
      <c r="H1001" t="str">
        <f>VLOOKUP(C1001,Products!A:D,3,FALSE)</f>
        <v>Apparel</v>
      </c>
      <c r="I1001">
        <f t="shared" si="15"/>
        <v>1880</v>
      </c>
      <c r="J1001" s="2">
        <f>VLOOKUP(B1001,Orders!A:C,3,FALSE)</f>
        <v>46137</v>
      </c>
      <c r="K1001" s="1" t="str">
        <f>VLOOKUP(B1001,Orders!A:B,2,FALSE)</f>
        <v>C0150</v>
      </c>
    </row>
    <row r="1002" spans="1:11" x14ac:dyDescent="0.3">
      <c r="A1002" s="1" t="s">
        <v>2763</v>
      </c>
      <c r="B1002" s="1" t="s">
        <v>2764</v>
      </c>
      <c r="C1002" s="1" t="s">
        <v>1270</v>
      </c>
      <c r="D1002" s="1">
        <v>1</v>
      </c>
      <c r="E1002" s="1">
        <v>0</v>
      </c>
      <c r="F1002" s="1" t="b">
        <v>0</v>
      </c>
      <c r="G1002">
        <f>VLOOKUP(C1002,Products!A:D,4,FALSE)</f>
        <v>3560</v>
      </c>
      <c r="H1002" t="str">
        <f>VLOOKUP(C1002,Products!A:D,3,FALSE)</f>
        <v>Sports</v>
      </c>
      <c r="I1002">
        <f t="shared" si="15"/>
        <v>3560</v>
      </c>
      <c r="J1002" s="2">
        <f>VLOOKUP(B1002,Orders!A:C,3,FALSE)</f>
        <v>45947</v>
      </c>
      <c r="K1002" s="1" t="str">
        <f>VLOOKUP(B1002,Orders!A:B,2,FALSE)</f>
        <v>C0276</v>
      </c>
    </row>
    <row r="1003" spans="1:11" x14ac:dyDescent="0.3">
      <c r="A1003" s="1" t="s">
        <v>2765</v>
      </c>
      <c r="B1003" s="1" t="s">
        <v>2764</v>
      </c>
      <c r="C1003" s="1" t="s">
        <v>1433</v>
      </c>
      <c r="D1003" s="1">
        <v>5</v>
      </c>
      <c r="E1003" s="1">
        <v>0</v>
      </c>
      <c r="F1003" s="1" t="b">
        <v>0</v>
      </c>
      <c r="G1003">
        <f>VLOOKUP(C1003,Products!A:D,4,FALSE)</f>
        <v>110</v>
      </c>
      <c r="H1003" t="str">
        <f>VLOOKUP(C1003,Products!A:D,3,FALSE)</f>
        <v>Home &amp; Kitchen</v>
      </c>
      <c r="I1003">
        <f t="shared" si="15"/>
        <v>550</v>
      </c>
      <c r="J1003" s="2">
        <f>VLOOKUP(B1003,Orders!A:C,3,FALSE)</f>
        <v>45947</v>
      </c>
      <c r="K1003" s="1" t="str">
        <f>VLOOKUP(B1003,Orders!A:B,2,FALSE)</f>
        <v>C0276</v>
      </c>
    </row>
    <row r="1004" spans="1:11" x14ac:dyDescent="0.3">
      <c r="A1004" s="1" t="s">
        <v>2766</v>
      </c>
      <c r="B1004" s="1" t="s">
        <v>2764</v>
      </c>
      <c r="C1004" s="1" t="s">
        <v>1149</v>
      </c>
      <c r="D1004" s="1">
        <v>5</v>
      </c>
      <c r="E1004" s="1">
        <v>0.1</v>
      </c>
      <c r="F1004" s="1" t="b">
        <v>0</v>
      </c>
      <c r="G1004">
        <f>VLOOKUP(C1004,Products!A:D,4,FALSE)</f>
        <v>1150</v>
      </c>
      <c r="H1004" t="str">
        <f>VLOOKUP(C1004,Products!A:D,3,FALSE)</f>
        <v>Apparel</v>
      </c>
      <c r="I1004">
        <f t="shared" si="15"/>
        <v>5175</v>
      </c>
      <c r="J1004" s="2">
        <f>VLOOKUP(B1004,Orders!A:C,3,FALSE)</f>
        <v>45947</v>
      </c>
      <c r="K1004" s="1" t="str">
        <f>VLOOKUP(B1004,Orders!A:B,2,FALSE)</f>
        <v>C0276</v>
      </c>
    </row>
    <row r="1005" spans="1:11" x14ac:dyDescent="0.3">
      <c r="A1005" s="1" t="s">
        <v>2767</v>
      </c>
      <c r="B1005" s="1" t="s">
        <v>2768</v>
      </c>
      <c r="C1005" s="1" t="s">
        <v>1116</v>
      </c>
      <c r="D1005" s="1">
        <v>5</v>
      </c>
      <c r="E1005" s="1">
        <v>0.15</v>
      </c>
      <c r="F1005" s="1" t="b">
        <v>0</v>
      </c>
      <c r="G1005">
        <f>VLOOKUP(C1005,Products!A:D,4,FALSE)</f>
        <v>3000</v>
      </c>
      <c r="H1005" t="str">
        <f>VLOOKUP(C1005,Products!A:D,3,FALSE)</f>
        <v>Home &amp; Kitchen</v>
      </c>
      <c r="I1005">
        <f t="shared" si="15"/>
        <v>12750</v>
      </c>
      <c r="J1005" s="2">
        <f>VLOOKUP(B1005,Orders!A:C,3,FALSE)</f>
        <v>45941</v>
      </c>
      <c r="K1005" s="1" t="str">
        <f>VLOOKUP(B1005,Orders!A:B,2,FALSE)</f>
        <v>C0290</v>
      </c>
    </row>
    <row r="1006" spans="1:11" x14ac:dyDescent="0.3">
      <c r="A1006" s="1" t="s">
        <v>2769</v>
      </c>
      <c r="B1006" s="1" t="s">
        <v>2768</v>
      </c>
      <c r="C1006" s="1" t="s">
        <v>1184</v>
      </c>
      <c r="D1006" s="1">
        <v>1</v>
      </c>
      <c r="E1006" s="1">
        <v>0.05</v>
      </c>
      <c r="F1006" s="1" t="b">
        <v>0</v>
      </c>
      <c r="G1006">
        <f>VLOOKUP(C1006,Products!A:D,4,FALSE)</f>
        <v>2230</v>
      </c>
      <c r="H1006" t="str">
        <f>VLOOKUP(C1006,Products!A:D,3,FALSE)</f>
        <v>Sports</v>
      </c>
      <c r="I1006">
        <f t="shared" si="15"/>
        <v>2118.5</v>
      </c>
      <c r="J1006" s="2">
        <f>VLOOKUP(B1006,Orders!A:C,3,FALSE)</f>
        <v>45941</v>
      </c>
      <c r="K1006" s="1" t="str">
        <f>VLOOKUP(B1006,Orders!A:B,2,FALSE)</f>
        <v>C0290</v>
      </c>
    </row>
    <row r="1007" spans="1:11" x14ac:dyDescent="0.3">
      <c r="A1007" s="1" t="s">
        <v>2770</v>
      </c>
      <c r="B1007" s="1" t="s">
        <v>2771</v>
      </c>
      <c r="C1007" s="1" t="s">
        <v>1111</v>
      </c>
      <c r="D1007" s="1">
        <v>1</v>
      </c>
      <c r="E1007" s="1">
        <v>0.2</v>
      </c>
      <c r="F1007" s="1" t="b">
        <v>0</v>
      </c>
      <c r="G1007">
        <f>VLOOKUP(C1007,Products!A:D,4,FALSE)</f>
        <v>2450</v>
      </c>
      <c r="H1007" t="str">
        <f>VLOOKUP(C1007,Products!A:D,3,FALSE)</f>
        <v>Sports</v>
      </c>
      <c r="I1007">
        <f t="shared" si="15"/>
        <v>1960</v>
      </c>
      <c r="J1007" s="2">
        <f>VLOOKUP(B1007,Orders!A:C,3,FALSE)</f>
        <v>45878</v>
      </c>
      <c r="K1007" s="1" t="str">
        <f>VLOOKUP(B1007,Orders!A:B,2,FALSE)</f>
        <v>C0282</v>
      </c>
    </row>
    <row r="1008" spans="1:11" x14ac:dyDescent="0.3">
      <c r="A1008" s="1" t="s">
        <v>2772</v>
      </c>
      <c r="B1008" s="1" t="s">
        <v>2773</v>
      </c>
      <c r="C1008" s="1" t="s">
        <v>1288</v>
      </c>
      <c r="D1008" s="1">
        <v>4</v>
      </c>
      <c r="E1008" s="1">
        <v>0</v>
      </c>
      <c r="F1008" s="1" t="b">
        <v>0</v>
      </c>
      <c r="G1008">
        <f>VLOOKUP(C1008,Products!A:D,4,FALSE)</f>
        <v>2580</v>
      </c>
      <c r="H1008" t="str">
        <f>VLOOKUP(C1008,Products!A:D,3,FALSE)</f>
        <v>Beauty</v>
      </c>
      <c r="I1008">
        <f t="shared" si="15"/>
        <v>10320</v>
      </c>
      <c r="J1008" s="2">
        <f>VLOOKUP(B1008,Orders!A:C,3,FALSE)</f>
        <v>45965</v>
      </c>
      <c r="K1008" s="1" t="str">
        <f>VLOOKUP(B1008,Orders!A:B,2,FALSE)</f>
        <v>C0059</v>
      </c>
    </row>
    <row r="1009" spans="1:11" x14ac:dyDescent="0.3">
      <c r="A1009" s="1" t="s">
        <v>2774</v>
      </c>
      <c r="B1009" s="1" t="s">
        <v>2775</v>
      </c>
      <c r="C1009" s="1" t="s">
        <v>1174</v>
      </c>
      <c r="D1009" s="1">
        <v>2</v>
      </c>
      <c r="E1009" s="1">
        <v>0.2</v>
      </c>
      <c r="F1009" s="1" t="b">
        <v>0</v>
      </c>
      <c r="G1009">
        <f>VLOOKUP(C1009,Products!A:D,4,FALSE)</f>
        <v>1250</v>
      </c>
      <c r="H1009" t="str">
        <f>VLOOKUP(C1009,Products!A:D,3,FALSE)</f>
        <v>Sports</v>
      </c>
      <c r="I1009">
        <f t="shared" si="15"/>
        <v>2000</v>
      </c>
      <c r="J1009" s="2">
        <f>VLOOKUP(B1009,Orders!A:C,3,FALSE)</f>
        <v>45865</v>
      </c>
      <c r="K1009" s="1" t="str">
        <f>VLOOKUP(B1009,Orders!A:B,2,FALSE)</f>
        <v>C0188</v>
      </c>
    </row>
    <row r="1010" spans="1:11" x14ac:dyDescent="0.3">
      <c r="A1010" s="1" t="s">
        <v>2776</v>
      </c>
      <c r="B1010" s="1" t="s">
        <v>2777</v>
      </c>
      <c r="C1010" s="1" t="s">
        <v>1391</v>
      </c>
      <c r="D1010" s="1">
        <v>5</v>
      </c>
      <c r="E1010" s="1">
        <v>0.2</v>
      </c>
      <c r="F1010" s="1" t="b">
        <v>0</v>
      </c>
      <c r="G1010">
        <f>VLOOKUP(C1010,Products!A:D,4,FALSE)</f>
        <v>1900</v>
      </c>
      <c r="H1010" t="str">
        <f>VLOOKUP(C1010,Products!A:D,3,FALSE)</f>
        <v>Beauty</v>
      </c>
      <c r="I1010">
        <f t="shared" si="15"/>
        <v>7600</v>
      </c>
      <c r="J1010" s="2">
        <f>VLOOKUP(B1010,Orders!A:C,3,FALSE)</f>
        <v>46152</v>
      </c>
      <c r="K1010" s="1" t="str">
        <f>VLOOKUP(B1010,Orders!A:B,2,FALSE)</f>
        <v>C0226</v>
      </c>
    </row>
    <row r="1011" spans="1:11" x14ac:dyDescent="0.3">
      <c r="A1011" s="1" t="s">
        <v>2778</v>
      </c>
      <c r="B1011" s="1" t="s">
        <v>2779</v>
      </c>
      <c r="C1011" s="1" t="s">
        <v>1328</v>
      </c>
      <c r="D1011" s="1">
        <v>3</v>
      </c>
      <c r="E1011" s="1">
        <v>0</v>
      </c>
      <c r="F1011" s="1" t="b">
        <v>0</v>
      </c>
      <c r="G1011">
        <f>VLOOKUP(C1011,Products!A:D,4,FALSE)</f>
        <v>1880</v>
      </c>
      <c r="H1011" t="str">
        <f>VLOOKUP(C1011,Products!A:D,3,FALSE)</f>
        <v>Apparel</v>
      </c>
      <c r="I1011">
        <f t="shared" si="15"/>
        <v>5640</v>
      </c>
      <c r="J1011" s="2">
        <f>VLOOKUP(B1011,Orders!A:C,3,FALSE)</f>
        <v>46232</v>
      </c>
      <c r="K1011" s="1" t="str">
        <f>VLOOKUP(B1011,Orders!A:B,2,FALSE)</f>
        <v>C0053</v>
      </c>
    </row>
    <row r="1012" spans="1:11" x14ac:dyDescent="0.3">
      <c r="A1012" s="1" t="s">
        <v>2780</v>
      </c>
      <c r="B1012" s="1" t="s">
        <v>2779</v>
      </c>
      <c r="C1012" s="1" t="s">
        <v>1106</v>
      </c>
      <c r="D1012" s="1">
        <v>2</v>
      </c>
      <c r="E1012" s="1">
        <v>0</v>
      </c>
      <c r="F1012" s="1" t="b">
        <v>0</v>
      </c>
      <c r="G1012">
        <f>VLOOKUP(C1012,Products!A:D,4,FALSE)</f>
        <v>1130</v>
      </c>
      <c r="H1012" t="str">
        <f>VLOOKUP(C1012,Products!A:D,3,FALSE)</f>
        <v>Books</v>
      </c>
      <c r="I1012">
        <f t="shared" si="15"/>
        <v>2260</v>
      </c>
      <c r="J1012" s="2">
        <f>VLOOKUP(B1012,Orders!A:C,3,FALSE)</f>
        <v>46232</v>
      </c>
      <c r="K1012" s="1" t="str">
        <f>VLOOKUP(B1012,Orders!A:B,2,FALSE)</f>
        <v>C0053</v>
      </c>
    </row>
    <row r="1013" spans="1:11" x14ac:dyDescent="0.3">
      <c r="A1013" s="1" t="s">
        <v>2781</v>
      </c>
      <c r="B1013" s="1" t="s">
        <v>2779</v>
      </c>
      <c r="C1013" s="1" t="s">
        <v>1459</v>
      </c>
      <c r="D1013" s="1">
        <v>2</v>
      </c>
      <c r="E1013" s="1">
        <v>0</v>
      </c>
      <c r="F1013" s="1" t="b">
        <v>0</v>
      </c>
      <c r="G1013">
        <f>VLOOKUP(C1013,Products!A:D,4,FALSE)</f>
        <v>710</v>
      </c>
      <c r="H1013" t="str">
        <f>VLOOKUP(C1013,Products!A:D,3,FALSE)</f>
        <v>Sports</v>
      </c>
      <c r="I1013">
        <f t="shared" si="15"/>
        <v>1420</v>
      </c>
      <c r="J1013" s="2">
        <f>VLOOKUP(B1013,Orders!A:C,3,FALSE)</f>
        <v>46232</v>
      </c>
      <c r="K1013" s="1" t="str">
        <f>VLOOKUP(B1013,Orders!A:B,2,FALSE)</f>
        <v>C0053</v>
      </c>
    </row>
    <row r="1014" spans="1:11" x14ac:dyDescent="0.3">
      <c r="A1014" s="1" t="s">
        <v>2782</v>
      </c>
      <c r="B1014" s="1" t="s">
        <v>2779</v>
      </c>
      <c r="C1014" s="1" t="s">
        <v>1330</v>
      </c>
      <c r="D1014" s="1">
        <v>2</v>
      </c>
      <c r="E1014" s="1">
        <v>0</v>
      </c>
      <c r="F1014" s="1" t="b">
        <v>0</v>
      </c>
      <c r="G1014">
        <f>VLOOKUP(C1014,Products!A:D,4,FALSE)</f>
        <v>580</v>
      </c>
      <c r="H1014" t="str">
        <f>VLOOKUP(C1014,Products!A:D,3,FALSE)</f>
        <v>Books</v>
      </c>
      <c r="I1014">
        <f t="shared" si="15"/>
        <v>1160</v>
      </c>
      <c r="J1014" s="2">
        <f>VLOOKUP(B1014,Orders!A:C,3,FALSE)</f>
        <v>46232</v>
      </c>
      <c r="K1014" s="1" t="str">
        <f>VLOOKUP(B1014,Orders!A:B,2,FALSE)</f>
        <v>C0053</v>
      </c>
    </row>
    <row r="1015" spans="1:11" x14ac:dyDescent="0.3">
      <c r="A1015" s="1" t="s">
        <v>2783</v>
      </c>
      <c r="B1015" s="1" t="s">
        <v>2784</v>
      </c>
      <c r="C1015" s="1" t="s">
        <v>1140</v>
      </c>
      <c r="D1015" s="1">
        <v>1</v>
      </c>
      <c r="E1015" s="1">
        <v>0</v>
      </c>
      <c r="F1015" s="1" t="b">
        <v>0</v>
      </c>
      <c r="G1015">
        <f>VLOOKUP(C1015,Products!A:D,4,FALSE)</f>
        <v>3040</v>
      </c>
      <c r="H1015" t="str">
        <f>VLOOKUP(C1015,Products!A:D,3,FALSE)</f>
        <v>Electronics</v>
      </c>
      <c r="I1015">
        <f t="shared" si="15"/>
        <v>3040</v>
      </c>
      <c r="J1015" s="2">
        <f>VLOOKUP(B1015,Orders!A:C,3,FALSE)</f>
        <v>46176</v>
      </c>
      <c r="K1015" s="1" t="str">
        <f>VLOOKUP(B1015,Orders!A:B,2,FALSE)</f>
        <v>C0153</v>
      </c>
    </row>
    <row r="1016" spans="1:11" x14ac:dyDescent="0.3">
      <c r="A1016" s="1" t="s">
        <v>2785</v>
      </c>
      <c r="B1016" s="1" t="s">
        <v>2784</v>
      </c>
      <c r="C1016" s="1" t="s">
        <v>1288</v>
      </c>
      <c r="D1016" s="1">
        <v>4</v>
      </c>
      <c r="E1016" s="1">
        <v>0.2</v>
      </c>
      <c r="F1016" s="1" t="b">
        <v>0</v>
      </c>
      <c r="G1016">
        <f>VLOOKUP(C1016,Products!A:D,4,FALSE)</f>
        <v>2580</v>
      </c>
      <c r="H1016" t="str">
        <f>VLOOKUP(C1016,Products!A:D,3,FALSE)</f>
        <v>Beauty</v>
      </c>
      <c r="I1016">
        <f t="shared" si="15"/>
        <v>8256</v>
      </c>
      <c r="J1016" s="2">
        <f>VLOOKUP(B1016,Orders!A:C,3,FALSE)</f>
        <v>46176</v>
      </c>
      <c r="K1016" s="1" t="str">
        <f>VLOOKUP(B1016,Orders!A:B,2,FALSE)</f>
        <v>C0153</v>
      </c>
    </row>
    <row r="1017" spans="1:11" x14ac:dyDescent="0.3">
      <c r="A1017" s="1" t="s">
        <v>2786</v>
      </c>
      <c r="B1017" s="1" t="s">
        <v>2784</v>
      </c>
      <c r="C1017" s="1" t="s">
        <v>1431</v>
      </c>
      <c r="D1017" s="1">
        <v>1</v>
      </c>
      <c r="E1017" s="1">
        <v>0</v>
      </c>
      <c r="F1017" s="1" t="b">
        <v>0</v>
      </c>
      <c r="G1017">
        <f>VLOOKUP(C1017,Products!A:D,4,FALSE)</f>
        <v>2920</v>
      </c>
      <c r="H1017" t="str">
        <f>VLOOKUP(C1017,Products!A:D,3,FALSE)</f>
        <v>Home &amp; Kitchen</v>
      </c>
      <c r="I1017">
        <f t="shared" si="15"/>
        <v>2920</v>
      </c>
      <c r="J1017" s="2">
        <f>VLOOKUP(B1017,Orders!A:C,3,FALSE)</f>
        <v>46176</v>
      </c>
      <c r="K1017" s="1" t="str">
        <f>VLOOKUP(B1017,Orders!A:B,2,FALSE)</f>
        <v>C0153</v>
      </c>
    </row>
    <row r="1018" spans="1:11" x14ac:dyDescent="0.3">
      <c r="A1018" s="1" t="s">
        <v>2787</v>
      </c>
      <c r="B1018" s="1" t="s">
        <v>2784</v>
      </c>
      <c r="C1018" s="1" t="s">
        <v>1199</v>
      </c>
      <c r="D1018" s="1">
        <v>1</v>
      </c>
      <c r="E1018" s="1">
        <v>0.2</v>
      </c>
      <c r="F1018" s="1" t="b">
        <v>0</v>
      </c>
      <c r="G1018">
        <f>VLOOKUP(C1018,Products!A:D,4,FALSE)</f>
        <v>99</v>
      </c>
      <c r="H1018" t="str">
        <f>VLOOKUP(C1018,Products!A:D,3,FALSE)</f>
        <v>Electronics</v>
      </c>
      <c r="I1018">
        <f t="shared" si="15"/>
        <v>79.2</v>
      </c>
      <c r="J1018" s="2">
        <f>VLOOKUP(B1018,Orders!A:C,3,FALSE)</f>
        <v>46176</v>
      </c>
      <c r="K1018" s="1" t="str">
        <f>VLOOKUP(B1018,Orders!A:B,2,FALSE)</f>
        <v>C0153</v>
      </c>
    </row>
    <row r="1019" spans="1:11" x14ac:dyDescent="0.3">
      <c r="A1019" s="1" t="s">
        <v>2788</v>
      </c>
      <c r="B1019" s="1" t="s">
        <v>2789</v>
      </c>
      <c r="C1019" s="1" t="s">
        <v>1320</v>
      </c>
      <c r="D1019" s="1">
        <v>1</v>
      </c>
      <c r="E1019" s="1">
        <v>0.05</v>
      </c>
      <c r="F1019" s="1" t="b">
        <v>0</v>
      </c>
      <c r="G1019">
        <f>VLOOKUP(C1019,Products!A:D,4,FALSE)</f>
        <v>2790</v>
      </c>
      <c r="H1019" t="str">
        <f>VLOOKUP(C1019,Products!A:D,3,FALSE)</f>
        <v>Electronics</v>
      </c>
      <c r="I1019">
        <f t="shared" si="15"/>
        <v>2650.5</v>
      </c>
      <c r="J1019" s="2">
        <f>VLOOKUP(B1019,Orders!A:C,3,FALSE)</f>
        <v>46109</v>
      </c>
      <c r="K1019" s="1" t="str">
        <f>VLOOKUP(B1019,Orders!A:B,2,FALSE)</f>
        <v>C0231</v>
      </c>
    </row>
    <row r="1020" spans="1:11" x14ac:dyDescent="0.3">
      <c r="A1020" s="1" t="s">
        <v>2790</v>
      </c>
      <c r="B1020" s="1" t="s">
        <v>2789</v>
      </c>
      <c r="C1020" s="1" t="s">
        <v>1106</v>
      </c>
      <c r="D1020" s="1">
        <v>3</v>
      </c>
      <c r="E1020" s="1">
        <v>0</v>
      </c>
      <c r="F1020" s="1" t="b">
        <v>0</v>
      </c>
      <c r="G1020">
        <f>VLOOKUP(C1020,Products!A:D,4,FALSE)</f>
        <v>1130</v>
      </c>
      <c r="H1020" t="str">
        <f>VLOOKUP(C1020,Products!A:D,3,FALSE)</f>
        <v>Books</v>
      </c>
      <c r="I1020">
        <f t="shared" si="15"/>
        <v>3390</v>
      </c>
      <c r="J1020" s="2">
        <f>VLOOKUP(B1020,Orders!A:C,3,FALSE)</f>
        <v>46109</v>
      </c>
      <c r="K1020" s="1" t="str">
        <f>VLOOKUP(B1020,Orders!A:B,2,FALSE)</f>
        <v>C0231</v>
      </c>
    </row>
    <row r="1021" spans="1:11" x14ac:dyDescent="0.3">
      <c r="A1021" s="1" t="s">
        <v>2791</v>
      </c>
      <c r="B1021" s="1" t="s">
        <v>2792</v>
      </c>
      <c r="C1021" s="1" t="s">
        <v>1146</v>
      </c>
      <c r="D1021" s="1">
        <v>1</v>
      </c>
      <c r="E1021" s="1">
        <v>0.2</v>
      </c>
      <c r="F1021" s="1" t="b">
        <v>0</v>
      </c>
      <c r="G1021">
        <f>VLOOKUP(C1021,Products!A:D,4,FALSE)</f>
        <v>1630</v>
      </c>
      <c r="H1021" t="str">
        <f>VLOOKUP(C1021,Products!A:D,3,FALSE)</f>
        <v>Beauty</v>
      </c>
      <c r="I1021">
        <f t="shared" si="15"/>
        <v>1304</v>
      </c>
      <c r="J1021" s="2">
        <f>VLOOKUP(B1021,Orders!A:C,3,FALSE)</f>
        <v>45890</v>
      </c>
      <c r="K1021" s="1" t="str">
        <f>VLOOKUP(B1021,Orders!A:B,2,FALSE)</f>
        <v>C0225</v>
      </c>
    </row>
    <row r="1022" spans="1:11" x14ac:dyDescent="0.3">
      <c r="A1022" s="1" t="s">
        <v>2793</v>
      </c>
      <c r="B1022" s="1" t="s">
        <v>2794</v>
      </c>
      <c r="C1022" s="1" t="s">
        <v>1333</v>
      </c>
      <c r="D1022" s="1">
        <v>2</v>
      </c>
      <c r="E1022" s="1">
        <v>0.1</v>
      </c>
      <c r="F1022" s="1" t="b">
        <v>0</v>
      </c>
      <c r="G1022">
        <f>VLOOKUP(C1022,Products!A:D,4,FALSE)</f>
        <v>1440</v>
      </c>
      <c r="H1022" t="str">
        <f>VLOOKUP(C1022,Products!A:D,3,FALSE)</f>
        <v>Home &amp; Kitchen</v>
      </c>
      <c r="I1022">
        <f t="shared" si="15"/>
        <v>2592</v>
      </c>
      <c r="J1022" s="2">
        <f>VLOOKUP(B1022,Orders!A:C,3,FALSE)</f>
        <v>46141</v>
      </c>
      <c r="K1022" s="1" t="str">
        <f>VLOOKUP(B1022,Orders!A:B,2,FALSE)</f>
        <v>C0122</v>
      </c>
    </row>
    <row r="1023" spans="1:11" x14ac:dyDescent="0.3">
      <c r="A1023" s="1" t="s">
        <v>2795</v>
      </c>
      <c r="B1023" s="1" t="s">
        <v>2796</v>
      </c>
      <c r="C1023" s="1" t="s">
        <v>1125</v>
      </c>
      <c r="D1023" s="1">
        <v>3</v>
      </c>
      <c r="E1023" s="1">
        <v>0</v>
      </c>
      <c r="F1023" s="1" t="b">
        <v>0</v>
      </c>
      <c r="G1023">
        <f>VLOOKUP(C1023,Products!A:D,4,FALSE)</f>
        <v>99</v>
      </c>
      <c r="H1023" t="str">
        <f>VLOOKUP(C1023,Products!A:D,3,FALSE)</f>
        <v>Electronics</v>
      </c>
      <c r="I1023">
        <f t="shared" si="15"/>
        <v>297</v>
      </c>
      <c r="J1023" s="2">
        <f>VLOOKUP(B1023,Orders!A:C,3,FALSE)</f>
        <v>46177</v>
      </c>
      <c r="K1023" s="1" t="str">
        <f>VLOOKUP(B1023,Orders!A:B,2,FALSE)</f>
        <v>C0180</v>
      </c>
    </row>
    <row r="1024" spans="1:11" x14ac:dyDescent="0.3">
      <c r="A1024" s="1" t="s">
        <v>2797</v>
      </c>
      <c r="B1024" s="1" t="s">
        <v>2796</v>
      </c>
      <c r="C1024" s="1" t="s">
        <v>1216</v>
      </c>
      <c r="D1024" s="1">
        <v>2</v>
      </c>
      <c r="E1024" s="1">
        <v>0.2</v>
      </c>
      <c r="F1024" s="1" t="b">
        <v>0</v>
      </c>
      <c r="G1024">
        <f>VLOOKUP(C1024,Products!A:D,4,FALSE)</f>
        <v>1240</v>
      </c>
      <c r="H1024" t="str">
        <f>VLOOKUP(C1024,Products!A:D,3,FALSE)</f>
        <v>Apparel</v>
      </c>
      <c r="I1024">
        <f t="shared" ref="I1024:I1087" si="16">G1024*D1024*(1-E1024)</f>
        <v>1984</v>
      </c>
      <c r="J1024" s="2">
        <f>VLOOKUP(B1024,Orders!A:C,3,FALSE)</f>
        <v>46177</v>
      </c>
      <c r="K1024" s="1" t="str">
        <f>VLOOKUP(B1024,Orders!A:B,2,FALSE)</f>
        <v>C0180</v>
      </c>
    </row>
    <row r="1025" spans="1:11" x14ac:dyDescent="0.3">
      <c r="A1025" s="1" t="s">
        <v>2798</v>
      </c>
      <c r="B1025" s="1" t="s">
        <v>2796</v>
      </c>
      <c r="C1025" s="1" t="s">
        <v>1278</v>
      </c>
      <c r="D1025" s="1">
        <v>5</v>
      </c>
      <c r="E1025" s="1">
        <v>0</v>
      </c>
      <c r="F1025" s="1" t="b">
        <v>0</v>
      </c>
      <c r="G1025">
        <f>VLOOKUP(C1025,Products!A:D,4,FALSE)</f>
        <v>330</v>
      </c>
      <c r="H1025" t="str">
        <f>VLOOKUP(C1025,Products!A:D,3,FALSE)</f>
        <v>Books</v>
      </c>
      <c r="I1025">
        <f t="shared" si="16"/>
        <v>1650</v>
      </c>
      <c r="J1025" s="2">
        <f>VLOOKUP(B1025,Orders!A:C,3,FALSE)</f>
        <v>46177</v>
      </c>
      <c r="K1025" s="1" t="str">
        <f>VLOOKUP(B1025,Orders!A:B,2,FALSE)</f>
        <v>C0180</v>
      </c>
    </row>
    <row r="1026" spans="1:11" x14ac:dyDescent="0.3">
      <c r="A1026" s="1" t="s">
        <v>2799</v>
      </c>
      <c r="B1026" s="1" t="s">
        <v>2800</v>
      </c>
      <c r="C1026" s="1" t="s">
        <v>1113</v>
      </c>
      <c r="D1026" s="1">
        <v>5</v>
      </c>
      <c r="E1026" s="1">
        <v>0</v>
      </c>
      <c r="F1026" s="1" t="b">
        <v>0</v>
      </c>
      <c r="G1026">
        <f>VLOOKUP(C1026,Products!A:D,4,FALSE)</f>
        <v>2780</v>
      </c>
      <c r="H1026" t="str">
        <f>VLOOKUP(C1026,Products!A:D,3,FALSE)</f>
        <v>Apparel</v>
      </c>
      <c r="I1026">
        <f t="shared" si="16"/>
        <v>13900</v>
      </c>
      <c r="J1026" s="2">
        <f>VLOOKUP(B1026,Orders!A:C,3,FALSE)</f>
        <v>45960</v>
      </c>
      <c r="K1026" s="1" t="str">
        <f>VLOOKUP(B1026,Orders!A:B,2,FALSE)</f>
        <v>C0220</v>
      </c>
    </row>
    <row r="1027" spans="1:11" x14ac:dyDescent="0.3">
      <c r="A1027" s="1" t="s">
        <v>2801</v>
      </c>
      <c r="B1027" s="1" t="s">
        <v>2802</v>
      </c>
      <c r="C1027" s="1" t="s">
        <v>1656</v>
      </c>
      <c r="D1027" s="1">
        <v>1</v>
      </c>
      <c r="E1027" s="1">
        <v>0.2</v>
      </c>
      <c r="F1027" s="1" t="b">
        <v>0</v>
      </c>
      <c r="G1027">
        <f>VLOOKUP(C1027,Products!A:D,4,FALSE)</f>
        <v>1240</v>
      </c>
      <c r="H1027" t="str">
        <f>VLOOKUP(C1027,Products!A:D,3,FALSE)</f>
        <v>Beauty</v>
      </c>
      <c r="I1027">
        <f t="shared" si="16"/>
        <v>992</v>
      </c>
      <c r="J1027" s="2">
        <f>VLOOKUP(B1027,Orders!A:C,3,FALSE)</f>
        <v>46201</v>
      </c>
      <c r="K1027" s="1" t="str">
        <f>VLOOKUP(B1027,Orders!A:B,2,FALSE)</f>
        <v>C0106</v>
      </c>
    </row>
    <row r="1028" spans="1:11" x14ac:dyDescent="0.3">
      <c r="A1028" s="1" t="s">
        <v>2803</v>
      </c>
      <c r="B1028" s="1" t="s">
        <v>2802</v>
      </c>
      <c r="C1028" s="1" t="s">
        <v>1109</v>
      </c>
      <c r="D1028" s="1">
        <v>1</v>
      </c>
      <c r="E1028" s="1">
        <v>0.1</v>
      </c>
      <c r="F1028" s="1" t="b">
        <v>0</v>
      </c>
      <c r="G1028">
        <f>VLOOKUP(C1028,Products!A:D,4,FALSE)</f>
        <v>1475</v>
      </c>
      <c r="H1028" t="str">
        <f>VLOOKUP(C1028,Products!A:D,3,FALSE)</f>
        <v>Books</v>
      </c>
      <c r="I1028">
        <f t="shared" si="16"/>
        <v>1327.5</v>
      </c>
      <c r="J1028" s="2">
        <f>VLOOKUP(B1028,Orders!A:C,3,FALSE)</f>
        <v>46201</v>
      </c>
      <c r="K1028" s="1" t="str">
        <f>VLOOKUP(B1028,Orders!A:B,2,FALSE)</f>
        <v>C0106</v>
      </c>
    </row>
    <row r="1029" spans="1:11" x14ac:dyDescent="0.3">
      <c r="A1029" s="1" t="s">
        <v>2804</v>
      </c>
      <c r="B1029" s="1" t="s">
        <v>2805</v>
      </c>
      <c r="C1029" s="1" t="s">
        <v>1149</v>
      </c>
      <c r="D1029" s="1">
        <v>3</v>
      </c>
      <c r="E1029" s="1">
        <v>0</v>
      </c>
      <c r="F1029" s="1" t="b">
        <v>0</v>
      </c>
      <c r="G1029">
        <f>VLOOKUP(C1029,Products!A:D,4,FALSE)</f>
        <v>1150</v>
      </c>
      <c r="H1029" t="str">
        <f>VLOOKUP(C1029,Products!A:D,3,FALSE)</f>
        <v>Apparel</v>
      </c>
      <c r="I1029">
        <f t="shared" si="16"/>
        <v>3450</v>
      </c>
      <c r="J1029" s="2">
        <f>VLOOKUP(B1029,Orders!A:C,3,FALSE)</f>
        <v>45833</v>
      </c>
      <c r="K1029" s="1" t="str">
        <f>VLOOKUP(B1029,Orders!A:B,2,FALSE)</f>
        <v>C0031</v>
      </c>
    </row>
    <row r="1030" spans="1:11" x14ac:dyDescent="0.3">
      <c r="A1030" s="1" t="s">
        <v>2806</v>
      </c>
      <c r="B1030" s="1" t="s">
        <v>2807</v>
      </c>
      <c r="C1030" s="1" t="s">
        <v>1143</v>
      </c>
      <c r="D1030" s="1">
        <v>1</v>
      </c>
      <c r="E1030" s="1">
        <v>0.15</v>
      </c>
      <c r="F1030" s="1" t="b">
        <v>0</v>
      </c>
      <c r="G1030">
        <f>VLOOKUP(C1030,Products!A:D,4,FALSE)</f>
        <v>2230</v>
      </c>
      <c r="H1030" t="str">
        <f>VLOOKUP(C1030,Products!A:D,3,FALSE)</f>
        <v>Home &amp; Kitchen</v>
      </c>
      <c r="I1030">
        <f t="shared" si="16"/>
        <v>1895.5</v>
      </c>
      <c r="J1030" s="2">
        <f>VLOOKUP(B1030,Orders!A:C,3,FALSE)</f>
        <v>45892</v>
      </c>
      <c r="K1030" s="1" t="str">
        <f>VLOOKUP(B1030,Orders!A:B,2,FALSE)</f>
        <v>C0144</v>
      </c>
    </row>
    <row r="1031" spans="1:11" x14ac:dyDescent="0.3">
      <c r="A1031" s="1" t="s">
        <v>2808</v>
      </c>
      <c r="B1031" s="1" t="s">
        <v>2807</v>
      </c>
      <c r="C1031" s="1" t="s">
        <v>1219</v>
      </c>
      <c r="D1031" s="1">
        <v>2</v>
      </c>
      <c r="E1031" s="1">
        <v>0.1</v>
      </c>
      <c r="F1031" s="1" t="b">
        <v>0</v>
      </c>
      <c r="G1031">
        <f>VLOOKUP(C1031,Products!A:D,4,FALSE)</f>
        <v>2090</v>
      </c>
      <c r="H1031" t="str">
        <f>VLOOKUP(C1031,Products!A:D,3,FALSE)</f>
        <v>Beauty</v>
      </c>
      <c r="I1031">
        <f t="shared" si="16"/>
        <v>3762</v>
      </c>
      <c r="J1031" s="2">
        <f>VLOOKUP(B1031,Orders!A:C,3,FALSE)</f>
        <v>45892</v>
      </c>
      <c r="K1031" s="1" t="str">
        <f>VLOOKUP(B1031,Orders!A:B,2,FALSE)</f>
        <v>C0144</v>
      </c>
    </row>
    <row r="1032" spans="1:11" x14ac:dyDescent="0.3">
      <c r="A1032" s="1" t="s">
        <v>2809</v>
      </c>
      <c r="B1032" s="1" t="s">
        <v>2807</v>
      </c>
      <c r="C1032" s="1" t="s">
        <v>1302</v>
      </c>
      <c r="D1032" s="1">
        <v>3</v>
      </c>
      <c r="E1032" s="1">
        <v>0.15</v>
      </c>
      <c r="F1032" s="1" t="b">
        <v>0</v>
      </c>
      <c r="G1032">
        <f>VLOOKUP(C1032,Products!A:D,4,FALSE)</f>
        <v>1220</v>
      </c>
      <c r="H1032" t="str">
        <f>VLOOKUP(C1032,Products!A:D,3,FALSE)</f>
        <v>Home &amp; Kitchen</v>
      </c>
      <c r="I1032">
        <f t="shared" si="16"/>
        <v>3111</v>
      </c>
      <c r="J1032" s="2">
        <f>VLOOKUP(B1032,Orders!A:C,3,FALSE)</f>
        <v>45892</v>
      </c>
      <c r="K1032" s="1" t="str">
        <f>VLOOKUP(B1032,Orders!A:B,2,FALSE)</f>
        <v>C0144</v>
      </c>
    </row>
    <row r="1033" spans="1:11" x14ac:dyDescent="0.3">
      <c r="A1033" s="1" t="s">
        <v>2810</v>
      </c>
      <c r="B1033" s="1" t="s">
        <v>2811</v>
      </c>
      <c r="C1033" s="1" t="s">
        <v>1182</v>
      </c>
      <c r="D1033" s="1">
        <v>1</v>
      </c>
      <c r="E1033" s="1">
        <v>0</v>
      </c>
      <c r="F1033" s="1" t="b">
        <v>0</v>
      </c>
      <c r="G1033">
        <f>VLOOKUP(C1033,Products!A:D,4,FALSE)</f>
        <v>790</v>
      </c>
      <c r="H1033" t="str">
        <f>VLOOKUP(C1033,Products!A:D,3,FALSE)</f>
        <v>Sports</v>
      </c>
      <c r="I1033">
        <f t="shared" si="16"/>
        <v>790</v>
      </c>
      <c r="J1033" s="2">
        <f>VLOOKUP(B1033,Orders!A:C,3,FALSE)</f>
        <v>46083</v>
      </c>
      <c r="K1033" s="1" t="str">
        <f>VLOOKUP(B1033,Orders!A:B,2,FALSE)</f>
        <v>C0166</v>
      </c>
    </row>
    <row r="1034" spans="1:11" x14ac:dyDescent="0.3">
      <c r="A1034" s="1" t="s">
        <v>2812</v>
      </c>
      <c r="B1034" s="1" t="s">
        <v>2811</v>
      </c>
      <c r="C1034" s="1" t="s">
        <v>1204</v>
      </c>
      <c r="D1034" s="1">
        <v>4</v>
      </c>
      <c r="E1034" s="1">
        <v>0.05</v>
      </c>
      <c r="F1034" s="1" t="b">
        <v>0</v>
      </c>
      <c r="G1034">
        <f>VLOOKUP(C1034,Products!A:D,4,FALSE)</f>
        <v>940</v>
      </c>
      <c r="H1034" t="str">
        <f>VLOOKUP(C1034,Products!A:D,3,FALSE)</f>
        <v>Apparel</v>
      </c>
      <c r="I1034">
        <f t="shared" si="16"/>
        <v>3572</v>
      </c>
      <c r="J1034" s="2">
        <f>VLOOKUP(B1034,Orders!A:C,3,FALSE)</f>
        <v>46083</v>
      </c>
      <c r="K1034" s="1" t="str">
        <f>VLOOKUP(B1034,Orders!A:B,2,FALSE)</f>
        <v>C0166</v>
      </c>
    </row>
    <row r="1035" spans="1:11" x14ac:dyDescent="0.3">
      <c r="A1035" s="1" t="s">
        <v>2813</v>
      </c>
      <c r="B1035" s="1" t="s">
        <v>2814</v>
      </c>
      <c r="C1035" s="1" t="s">
        <v>1168</v>
      </c>
      <c r="D1035" s="1">
        <v>4</v>
      </c>
      <c r="E1035" s="1">
        <v>0</v>
      </c>
      <c r="F1035" s="1" t="b">
        <v>0</v>
      </c>
      <c r="G1035">
        <f>VLOOKUP(C1035,Products!A:D,4,FALSE)</f>
        <v>1440</v>
      </c>
      <c r="H1035" t="str">
        <f>VLOOKUP(C1035,Products!A:D,3,FALSE)</f>
        <v>Sports</v>
      </c>
      <c r="I1035">
        <f t="shared" si="16"/>
        <v>5760</v>
      </c>
      <c r="J1035" s="2">
        <f>VLOOKUP(B1035,Orders!A:C,3,FALSE)</f>
        <v>46072</v>
      </c>
      <c r="K1035" s="1" t="str">
        <f>VLOOKUP(B1035,Orders!A:B,2,FALSE)</f>
        <v>C0149</v>
      </c>
    </row>
    <row r="1036" spans="1:11" x14ac:dyDescent="0.3">
      <c r="A1036" s="1" t="s">
        <v>2815</v>
      </c>
      <c r="B1036" s="1" t="s">
        <v>2816</v>
      </c>
      <c r="C1036" s="1" t="s">
        <v>1225</v>
      </c>
      <c r="D1036" s="1">
        <v>1</v>
      </c>
      <c r="E1036" s="1">
        <v>0.05</v>
      </c>
      <c r="F1036" s="1" t="b">
        <v>0</v>
      </c>
      <c r="G1036">
        <f>VLOOKUP(C1036,Products!A:D,4,FALSE)</f>
        <v>2690</v>
      </c>
      <c r="H1036" t="str">
        <f>VLOOKUP(C1036,Products!A:D,3,FALSE)</f>
        <v>Beauty</v>
      </c>
      <c r="I1036">
        <f t="shared" si="16"/>
        <v>2555.5</v>
      </c>
      <c r="J1036" s="2">
        <f>VLOOKUP(B1036,Orders!A:C,3,FALSE)</f>
        <v>45883</v>
      </c>
      <c r="K1036" s="1" t="str">
        <f>VLOOKUP(B1036,Orders!A:B,2,FALSE)</f>
        <v>C0049</v>
      </c>
    </row>
    <row r="1037" spans="1:11" x14ac:dyDescent="0.3">
      <c r="A1037" s="1" t="s">
        <v>2817</v>
      </c>
      <c r="B1037" s="1" t="s">
        <v>2816</v>
      </c>
      <c r="C1037" s="1" t="s">
        <v>1213</v>
      </c>
      <c r="D1037" s="1">
        <v>5</v>
      </c>
      <c r="E1037" s="1">
        <v>0</v>
      </c>
      <c r="F1037" s="1" t="b">
        <v>0</v>
      </c>
      <c r="G1037">
        <f>VLOOKUP(C1037,Products!A:D,4,FALSE)</f>
        <v>1765</v>
      </c>
      <c r="H1037" t="str">
        <f>VLOOKUP(C1037,Products!A:D,3,FALSE)</f>
        <v>Beauty</v>
      </c>
      <c r="I1037">
        <f t="shared" si="16"/>
        <v>8825</v>
      </c>
      <c r="J1037" s="2">
        <f>VLOOKUP(B1037,Orders!A:C,3,FALSE)</f>
        <v>45883</v>
      </c>
      <c r="K1037" s="1" t="str">
        <f>VLOOKUP(B1037,Orders!A:B,2,FALSE)</f>
        <v>C0049</v>
      </c>
    </row>
    <row r="1038" spans="1:11" x14ac:dyDescent="0.3">
      <c r="A1038" s="1" t="s">
        <v>2818</v>
      </c>
      <c r="B1038" s="1" t="s">
        <v>2819</v>
      </c>
      <c r="C1038" s="1" t="s">
        <v>1174</v>
      </c>
      <c r="D1038" s="1">
        <v>3</v>
      </c>
      <c r="E1038" s="1">
        <v>0.1</v>
      </c>
      <c r="F1038" s="1" t="b">
        <v>0</v>
      </c>
      <c r="G1038">
        <f>VLOOKUP(C1038,Products!A:D,4,FALSE)</f>
        <v>1250</v>
      </c>
      <c r="H1038" t="str">
        <f>VLOOKUP(C1038,Products!A:D,3,FALSE)</f>
        <v>Sports</v>
      </c>
      <c r="I1038">
        <f t="shared" si="16"/>
        <v>3375</v>
      </c>
      <c r="J1038" s="2">
        <f>VLOOKUP(B1038,Orders!A:C,3,FALSE)</f>
        <v>46075</v>
      </c>
      <c r="K1038" s="1" t="str">
        <f>VLOOKUP(B1038,Orders!A:B,2,FALSE)</f>
        <v>C0031</v>
      </c>
    </row>
    <row r="1039" spans="1:11" x14ac:dyDescent="0.3">
      <c r="A1039" s="1" t="s">
        <v>2820</v>
      </c>
      <c r="B1039" s="1" t="s">
        <v>2821</v>
      </c>
      <c r="C1039" s="1" t="s">
        <v>1602</v>
      </c>
      <c r="D1039" s="1">
        <v>3</v>
      </c>
      <c r="E1039" s="1">
        <v>0.05</v>
      </c>
      <c r="F1039" s="1" t="b">
        <v>0</v>
      </c>
      <c r="G1039">
        <f>VLOOKUP(C1039,Products!A:D,4,FALSE)</f>
        <v>1240</v>
      </c>
      <c r="H1039" t="str">
        <f>VLOOKUP(C1039,Products!A:D,3,FALSE)</f>
        <v>Apparel</v>
      </c>
      <c r="I1039">
        <f t="shared" si="16"/>
        <v>3534</v>
      </c>
      <c r="J1039" s="2">
        <f>VLOOKUP(B1039,Orders!A:C,3,FALSE)</f>
        <v>45836</v>
      </c>
      <c r="K1039" s="1" t="str">
        <f>VLOOKUP(B1039,Orders!A:B,2,FALSE)</f>
        <v>C0068</v>
      </c>
    </row>
    <row r="1040" spans="1:11" x14ac:dyDescent="0.3">
      <c r="A1040" s="1" t="s">
        <v>2822</v>
      </c>
      <c r="B1040" s="1" t="s">
        <v>2821</v>
      </c>
      <c r="C1040" s="1" t="s">
        <v>1213</v>
      </c>
      <c r="D1040" s="1">
        <v>4</v>
      </c>
      <c r="E1040" s="1">
        <v>0</v>
      </c>
      <c r="F1040" s="1" t="b">
        <v>0</v>
      </c>
      <c r="G1040">
        <f>VLOOKUP(C1040,Products!A:D,4,FALSE)</f>
        <v>1765</v>
      </c>
      <c r="H1040" t="str">
        <f>VLOOKUP(C1040,Products!A:D,3,FALSE)</f>
        <v>Beauty</v>
      </c>
      <c r="I1040">
        <f t="shared" si="16"/>
        <v>7060</v>
      </c>
      <c r="J1040" s="2">
        <f>VLOOKUP(B1040,Orders!A:C,3,FALSE)</f>
        <v>45836</v>
      </c>
      <c r="K1040" s="1" t="str">
        <f>VLOOKUP(B1040,Orders!A:B,2,FALSE)</f>
        <v>C0068</v>
      </c>
    </row>
    <row r="1041" spans="1:11" x14ac:dyDescent="0.3">
      <c r="A1041" s="1" t="s">
        <v>2823</v>
      </c>
      <c r="B1041" s="1" t="s">
        <v>2824</v>
      </c>
      <c r="C1041" s="1" t="s">
        <v>1468</v>
      </c>
      <c r="D1041" s="1">
        <v>4</v>
      </c>
      <c r="E1041" s="1">
        <v>0</v>
      </c>
      <c r="F1041" s="1" t="b">
        <v>0</v>
      </c>
      <c r="G1041">
        <f>VLOOKUP(C1041,Products!A:D,4,FALSE)</f>
        <v>2040</v>
      </c>
      <c r="H1041" t="str">
        <f>VLOOKUP(C1041,Products!A:D,3,FALSE)</f>
        <v>Books</v>
      </c>
      <c r="I1041">
        <f t="shared" si="16"/>
        <v>8160</v>
      </c>
      <c r="J1041" s="2">
        <f>VLOOKUP(B1041,Orders!A:C,3,FALSE)</f>
        <v>45744</v>
      </c>
      <c r="K1041" s="1" t="str">
        <f>VLOOKUP(B1041,Orders!A:B,2,FALSE)</f>
        <v>C0127</v>
      </c>
    </row>
    <row r="1042" spans="1:11" x14ac:dyDescent="0.3">
      <c r="A1042" s="1" t="s">
        <v>2825</v>
      </c>
      <c r="B1042" s="1" t="s">
        <v>2826</v>
      </c>
      <c r="C1042" s="1" t="s">
        <v>1307</v>
      </c>
      <c r="D1042" s="1">
        <v>4</v>
      </c>
      <c r="E1042" s="1">
        <v>0</v>
      </c>
      <c r="F1042" s="1" t="b">
        <v>0</v>
      </c>
      <c r="G1042">
        <f>VLOOKUP(C1042,Products!A:D,4,FALSE)</f>
        <v>99</v>
      </c>
      <c r="H1042" t="str">
        <f>VLOOKUP(C1042,Products!A:D,3,FALSE)</f>
        <v>Sports</v>
      </c>
      <c r="I1042">
        <f t="shared" si="16"/>
        <v>396</v>
      </c>
      <c r="J1042" s="2">
        <f>VLOOKUP(B1042,Orders!A:C,3,FALSE)</f>
        <v>45761</v>
      </c>
      <c r="K1042" s="1" t="str">
        <f>VLOOKUP(B1042,Orders!A:B,2,FALSE)</f>
        <v>C0251</v>
      </c>
    </row>
    <row r="1043" spans="1:11" x14ac:dyDescent="0.3">
      <c r="A1043" s="1" t="s">
        <v>2827</v>
      </c>
      <c r="B1043" s="1" t="s">
        <v>2826</v>
      </c>
      <c r="C1043" s="1" t="s">
        <v>1656</v>
      </c>
      <c r="D1043" s="1">
        <v>4</v>
      </c>
      <c r="E1043" s="1">
        <v>0.15</v>
      </c>
      <c r="F1043" s="1" t="b">
        <v>0</v>
      </c>
      <c r="G1043">
        <f>VLOOKUP(C1043,Products!A:D,4,FALSE)</f>
        <v>1240</v>
      </c>
      <c r="H1043" t="str">
        <f>VLOOKUP(C1043,Products!A:D,3,FALSE)</f>
        <v>Beauty</v>
      </c>
      <c r="I1043">
        <f t="shared" si="16"/>
        <v>4216</v>
      </c>
      <c r="J1043" s="2">
        <f>VLOOKUP(B1043,Orders!A:C,3,FALSE)</f>
        <v>45761</v>
      </c>
      <c r="K1043" s="1" t="str">
        <f>VLOOKUP(B1043,Orders!A:B,2,FALSE)</f>
        <v>C0251</v>
      </c>
    </row>
    <row r="1044" spans="1:11" x14ac:dyDescent="0.3">
      <c r="A1044" s="1" t="s">
        <v>2828</v>
      </c>
      <c r="B1044" s="1" t="s">
        <v>2829</v>
      </c>
      <c r="C1044" s="1" t="s">
        <v>1146</v>
      </c>
      <c r="D1044" s="1">
        <v>4</v>
      </c>
      <c r="E1044" s="1">
        <v>0.15</v>
      </c>
      <c r="F1044" s="1" t="b">
        <v>0</v>
      </c>
      <c r="G1044">
        <f>VLOOKUP(C1044,Products!A:D,4,FALSE)</f>
        <v>1630</v>
      </c>
      <c r="H1044" t="str">
        <f>VLOOKUP(C1044,Products!A:D,3,FALSE)</f>
        <v>Beauty</v>
      </c>
      <c r="I1044">
        <f t="shared" si="16"/>
        <v>5542</v>
      </c>
      <c r="J1044" s="2">
        <f>VLOOKUP(B1044,Orders!A:C,3,FALSE)</f>
        <v>46027</v>
      </c>
      <c r="K1044" s="1" t="str">
        <f>VLOOKUP(B1044,Orders!A:B,2,FALSE)</f>
        <v>C0213</v>
      </c>
    </row>
    <row r="1045" spans="1:11" x14ac:dyDescent="0.3">
      <c r="A1045" s="1" t="s">
        <v>2830</v>
      </c>
      <c r="B1045" s="1" t="s">
        <v>2831</v>
      </c>
      <c r="C1045" s="1" t="s">
        <v>1182</v>
      </c>
      <c r="D1045" s="1">
        <v>5</v>
      </c>
      <c r="E1045" s="1">
        <v>0.15</v>
      </c>
      <c r="F1045" s="1" t="b">
        <v>0</v>
      </c>
      <c r="G1045">
        <f>VLOOKUP(C1045,Products!A:D,4,FALSE)</f>
        <v>790</v>
      </c>
      <c r="H1045" t="str">
        <f>VLOOKUP(C1045,Products!A:D,3,FALSE)</f>
        <v>Sports</v>
      </c>
      <c r="I1045">
        <f t="shared" si="16"/>
        <v>3357.5</v>
      </c>
      <c r="J1045" s="2">
        <f>VLOOKUP(B1045,Orders!A:C,3,FALSE)</f>
        <v>45835</v>
      </c>
      <c r="K1045" s="1" t="str">
        <f>VLOOKUP(B1045,Orders!A:B,2,FALSE)</f>
        <v>C0048</v>
      </c>
    </row>
    <row r="1046" spans="1:11" x14ac:dyDescent="0.3">
      <c r="A1046" s="1" t="s">
        <v>2832</v>
      </c>
      <c r="B1046" s="1" t="s">
        <v>2833</v>
      </c>
      <c r="C1046" s="1" t="s">
        <v>1106</v>
      </c>
      <c r="D1046" s="1">
        <v>2</v>
      </c>
      <c r="E1046" s="1">
        <v>0.05</v>
      </c>
      <c r="F1046" s="1" t="b">
        <v>0</v>
      </c>
      <c r="G1046">
        <f>VLOOKUP(C1046,Products!A:D,4,FALSE)</f>
        <v>1130</v>
      </c>
      <c r="H1046" t="str">
        <f>VLOOKUP(C1046,Products!A:D,3,FALSE)</f>
        <v>Books</v>
      </c>
      <c r="I1046">
        <f t="shared" si="16"/>
        <v>2147</v>
      </c>
      <c r="J1046" s="2">
        <f>VLOOKUP(B1046,Orders!A:C,3,FALSE)</f>
        <v>45790</v>
      </c>
      <c r="K1046" s="1" t="str">
        <f>VLOOKUP(B1046,Orders!A:B,2,FALSE)</f>
        <v>C0189</v>
      </c>
    </row>
    <row r="1047" spans="1:11" x14ac:dyDescent="0.3">
      <c r="A1047" s="1" t="s">
        <v>2834</v>
      </c>
      <c r="B1047" s="1" t="s">
        <v>2833</v>
      </c>
      <c r="C1047" s="1" t="s">
        <v>1403</v>
      </c>
      <c r="D1047" s="1">
        <v>5</v>
      </c>
      <c r="E1047" s="1">
        <v>0</v>
      </c>
      <c r="F1047" s="1" t="b">
        <v>0</v>
      </c>
      <c r="G1047">
        <f>VLOOKUP(C1047,Products!A:D,4,FALSE)</f>
        <v>1340</v>
      </c>
      <c r="H1047" t="str">
        <f>VLOOKUP(C1047,Products!A:D,3,FALSE)</f>
        <v>Electronics</v>
      </c>
      <c r="I1047">
        <f t="shared" si="16"/>
        <v>6700</v>
      </c>
      <c r="J1047" s="2">
        <f>VLOOKUP(B1047,Orders!A:C,3,FALSE)</f>
        <v>45790</v>
      </c>
      <c r="K1047" s="1" t="str">
        <f>VLOOKUP(B1047,Orders!A:B,2,FALSE)</f>
        <v>C0189</v>
      </c>
    </row>
    <row r="1048" spans="1:11" x14ac:dyDescent="0.3">
      <c r="A1048" s="1" t="s">
        <v>2835</v>
      </c>
      <c r="B1048" s="1" t="s">
        <v>2836</v>
      </c>
      <c r="C1048" s="1" t="s">
        <v>1230</v>
      </c>
      <c r="D1048" s="1">
        <v>1</v>
      </c>
      <c r="E1048" s="1">
        <v>0</v>
      </c>
      <c r="F1048" s="1" t="b">
        <v>0</v>
      </c>
      <c r="G1048">
        <f>VLOOKUP(C1048,Products!A:D,4,FALSE)</f>
        <v>1530</v>
      </c>
      <c r="H1048" t="str">
        <f>VLOOKUP(C1048,Products!A:D,3,FALSE)</f>
        <v>Beauty</v>
      </c>
      <c r="I1048">
        <f t="shared" si="16"/>
        <v>1530</v>
      </c>
      <c r="J1048" s="2">
        <f>VLOOKUP(B1048,Orders!A:C,3,FALSE)</f>
        <v>45881</v>
      </c>
      <c r="K1048" s="1" t="str">
        <f>VLOOKUP(B1048,Orders!A:B,2,FALSE)</f>
        <v>C0168</v>
      </c>
    </row>
    <row r="1049" spans="1:11" x14ac:dyDescent="0.3">
      <c r="A1049" s="1" t="s">
        <v>2837</v>
      </c>
      <c r="B1049" s="1" t="s">
        <v>2836</v>
      </c>
      <c r="C1049" s="1" t="s">
        <v>1644</v>
      </c>
      <c r="D1049" s="1">
        <v>3</v>
      </c>
      <c r="E1049" s="1">
        <v>0</v>
      </c>
      <c r="F1049" s="1" t="b">
        <v>0</v>
      </c>
      <c r="G1049">
        <f>VLOOKUP(C1049,Products!A:D,4,FALSE)</f>
        <v>1930</v>
      </c>
      <c r="H1049" t="str">
        <f>VLOOKUP(C1049,Products!A:D,3,FALSE)</f>
        <v>Home &amp; Kitchen</v>
      </c>
      <c r="I1049">
        <f t="shared" si="16"/>
        <v>5790</v>
      </c>
      <c r="J1049" s="2">
        <f>VLOOKUP(B1049,Orders!A:C,3,FALSE)</f>
        <v>45881</v>
      </c>
      <c r="K1049" s="1" t="str">
        <f>VLOOKUP(B1049,Orders!A:B,2,FALSE)</f>
        <v>C0168</v>
      </c>
    </row>
    <row r="1050" spans="1:11" x14ac:dyDescent="0.3">
      <c r="A1050" s="1" t="s">
        <v>2838</v>
      </c>
      <c r="B1050" s="1" t="s">
        <v>2839</v>
      </c>
      <c r="C1050" s="1" t="s">
        <v>1403</v>
      </c>
      <c r="D1050" s="1">
        <v>3</v>
      </c>
      <c r="E1050" s="1">
        <v>0</v>
      </c>
      <c r="F1050" s="1" t="b">
        <v>1</v>
      </c>
      <c r="G1050">
        <f>VLOOKUP(C1050,Products!A:D,4,FALSE)</f>
        <v>1340</v>
      </c>
      <c r="H1050" t="str">
        <f>VLOOKUP(C1050,Products!A:D,3,FALSE)</f>
        <v>Electronics</v>
      </c>
      <c r="I1050">
        <f t="shared" si="16"/>
        <v>4020</v>
      </c>
      <c r="J1050" s="2">
        <f>VLOOKUP(B1050,Orders!A:C,3,FALSE)</f>
        <v>46125</v>
      </c>
      <c r="K1050" s="1" t="str">
        <f>VLOOKUP(B1050,Orders!A:B,2,FALSE)</f>
        <v>C0235</v>
      </c>
    </row>
    <row r="1051" spans="1:11" x14ac:dyDescent="0.3">
      <c r="A1051" s="1" t="s">
        <v>2840</v>
      </c>
      <c r="B1051" s="1" t="s">
        <v>2839</v>
      </c>
      <c r="C1051" s="1" t="s">
        <v>1140</v>
      </c>
      <c r="D1051" s="1">
        <v>4</v>
      </c>
      <c r="E1051" s="1">
        <v>0</v>
      </c>
      <c r="F1051" s="1" t="b">
        <v>0</v>
      </c>
      <c r="G1051">
        <f>VLOOKUP(C1051,Products!A:D,4,FALSE)</f>
        <v>3040</v>
      </c>
      <c r="H1051" t="str">
        <f>VLOOKUP(C1051,Products!A:D,3,FALSE)</f>
        <v>Electronics</v>
      </c>
      <c r="I1051">
        <f t="shared" si="16"/>
        <v>12160</v>
      </c>
      <c r="J1051" s="2">
        <f>VLOOKUP(B1051,Orders!A:C,3,FALSE)</f>
        <v>46125</v>
      </c>
      <c r="K1051" s="1" t="str">
        <f>VLOOKUP(B1051,Orders!A:B,2,FALSE)</f>
        <v>C0235</v>
      </c>
    </row>
    <row r="1052" spans="1:11" x14ac:dyDescent="0.3">
      <c r="A1052" s="1" t="s">
        <v>2841</v>
      </c>
      <c r="B1052" s="1" t="s">
        <v>2842</v>
      </c>
      <c r="C1052" s="1" t="s">
        <v>1109</v>
      </c>
      <c r="D1052" s="1">
        <v>5</v>
      </c>
      <c r="E1052" s="1">
        <v>0</v>
      </c>
      <c r="F1052" s="1" t="b">
        <v>0</v>
      </c>
      <c r="G1052">
        <f>VLOOKUP(C1052,Products!A:D,4,FALSE)</f>
        <v>1475</v>
      </c>
      <c r="H1052" t="str">
        <f>VLOOKUP(C1052,Products!A:D,3,FALSE)</f>
        <v>Books</v>
      </c>
      <c r="I1052">
        <f t="shared" si="16"/>
        <v>7375</v>
      </c>
      <c r="J1052" s="2">
        <f>VLOOKUP(B1052,Orders!A:C,3,FALSE)</f>
        <v>46132</v>
      </c>
      <c r="K1052" s="1" t="str">
        <f>VLOOKUP(B1052,Orders!A:B,2,FALSE)</f>
        <v>C0033</v>
      </c>
    </row>
    <row r="1053" spans="1:11" x14ac:dyDescent="0.3">
      <c r="A1053" s="1" t="s">
        <v>2843</v>
      </c>
      <c r="B1053" s="1" t="s">
        <v>2842</v>
      </c>
      <c r="C1053" s="1" t="s">
        <v>1403</v>
      </c>
      <c r="D1053" s="1">
        <v>3</v>
      </c>
      <c r="E1053" s="1">
        <v>0.05</v>
      </c>
      <c r="F1053" s="1" t="b">
        <v>0</v>
      </c>
      <c r="G1053">
        <f>VLOOKUP(C1053,Products!A:D,4,FALSE)</f>
        <v>1340</v>
      </c>
      <c r="H1053" t="str">
        <f>VLOOKUP(C1053,Products!A:D,3,FALSE)</f>
        <v>Electronics</v>
      </c>
      <c r="I1053">
        <f t="shared" si="16"/>
        <v>3819</v>
      </c>
      <c r="J1053" s="2">
        <f>VLOOKUP(B1053,Orders!A:C,3,FALSE)</f>
        <v>46132</v>
      </c>
      <c r="K1053" s="1" t="str">
        <f>VLOOKUP(B1053,Orders!A:B,2,FALSE)</f>
        <v>C0033</v>
      </c>
    </row>
    <row r="1054" spans="1:11" x14ac:dyDescent="0.3">
      <c r="A1054" s="1" t="s">
        <v>2844</v>
      </c>
      <c r="B1054" s="1" t="s">
        <v>2845</v>
      </c>
      <c r="C1054" s="1" t="s">
        <v>1403</v>
      </c>
      <c r="D1054" s="1">
        <v>4</v>
      </c>
      <c r="E1054" s="1">
        <v>0.1</v>
      </c>
      <c r="F1054" s="1" t="b">
        <v>0</v>
      </c>
      <c r="G1054">
        <f>VLOOKUP(C1054,Products!A:D,4,FALSE)</f>
        <v>1340</v>
      </c>
      <c r="H1054" t="str">
        <f>VLOOKUP(C1054,Products!A:D,3,FALSE)</f>
        <v>Electronics</v>
      </c>
      <c r="I1054">
        <f t="shared" si="16"/>
        <v>4824</v>
      </c>
      <c r="J1054" s="2">
        <f>VLOOKUP(B1054,Orders!A:C,3,FALSE)</f>
        <v>45861</v>
      </c>
      <c r="K1054" s="1" t="str">
        <f>VLOOKUP(B1054,Orders!A:B,2,FALSE)</f>
        <v>C0112</v>
      </c>
    </row>
    <row r="1055" spans="1:11" x14ac:dyDescent="0.3">
      <c r="A1055" s="1" t="s">
        <v>2846</v>
      </c>
      <c r="B1055" s="1" t="s">
        <v>2845</v>
      </c>
      <c r="C1055" s="1" t="s">
        <v>1278</v>
      </c>
      <c r="D1055" s="1">
        <v>2</v>
      </c>
      <c r="E1055" s="1">
        <v>0.2</v>
      </c>
      <c r="F1055" s="1" t="b">
        <v>0</v>
      </c>
      <c r="G1055">
        <f>VLOOKUP(C1055,Products!A:D,4,FALSE)</f>
        <v>330</v>
      </c>
      <c r="H1055" t="str">
        <f>VLOOKUP(C1055,Products!A:D,3,FALSE)</f>
        <v>Books</v>
      </c>
      <c r="I1055">
        <f t="shared" si="16"/>
        <v>528</v>
      </c>
      <c r="J1055" s="2">
        <f>VLOOKUP(B1055,Orders!A:C,3,FALSE)</f>
        <v>45861</v>
      </c>
      <c r="K1055" s="1" t="str">
        <f>VLOOKUP(B1055,Orders!A:B,2,FALSE)</f>
        <v>C0112</v>
      </c>
    </row>
    <row r="1056" spans="1:11" x14ac:dyDescent="0.3">
      <c r="A1056" s="1" t="s">
        <v>2847</v>
      </c>
      <c r="B1056" s="1" t="s">
        <v>2848</v>
      </c>
      <c r="C1056" s="1" t="s">
        <v>1106</v>
      </c>
      <c r="D1056" s="1">
        <v>3</v>
      </c>
      <c r="E1056" s="1">
        <v>0.05</v>
      </c>
      <c r="F1056" s="1" t="b">
        <v>0</v>
      </c>
      <c r="G1056">
        <f>VLOOKUP(C1056,Products!A:D,4,FALSE)</f>
        <v>1130</v>
      </c>
      <c r="H1056" t="str">
        <f>VLOOKUP(C1056,Products!A:D,3,FALSE)</f>
        <v>Books</v>
      </c>
      <c r="I1056">
        <f t="shared" si="16"/>
        <v>3220.5</v>
      </c>
      <c r="J1056" s="2">
        <f>VLOOKUP(B1056,Orders!A:C,3,FALSE)</f>
        <v>45816</v>
      </c>
      <c r="K1056" s="1" t="str">
        <f>VLOOKUP(B1056,Orders!A:B,2,FALSE)</f>
        <v>C0254</v>
      </c>
    </row>
    <row r="1057" spans="1:11" x14ac:dyDescent="0.3">
      <c r="A1057" s="1" t="s">
        <v>2849</v>
      </c>
      <c r="B1057" s="1" t="s">
        <v>2850</v>
      </c>
      <c r="C1057" s="1" t="s">
        <v>1393</v>
      </c>
      <c r="D1057" s="1">
        <v>2</v>
      </c>
      <c r="E1057" s="1">
        <v>0</v>
      </c>
      <c r="F1057" s="1" t="b">
        <v>0</v>
      </c>
      <c r="G1057">
        <f>VLOOKUP(C1057,Products!A:D,4,FALSE)</f>
        <v>1520</v>
      </c>
      <c r="H1057" t="str">
        <f>VLOOKUP(C1057,Products!A:D,3,FALSE)</f>
        <v>Electronics</v>
      </c>
      <c r="I1057">
        <f t="shared" si="16"/>
        <v>3040</v>
      </c>
      <c r="J1057" s="2">
        <f>VLOOKUP(B1057,Orders!A:C,3,FALSE)</f>
        <v>46004</v>
      </c>
      <c r="K1057" s="1" t="str">
        <f>VLOOKUP(B1057,Orders!A:B,2,FALSE)</f>
        <v>C0173</v>
      </c>
    </row>
    <row r="1058" spans="1:11" x14ac:dyDescent="0.3">
      <c r="A1058" s="1" t="s">
        <v>2851</v>
      </c>
      <c r="B1058" s="1" t="s">
        <v>2852</v>
      </c>
      <c r="C1058" s="1" t="s">
        <v>1118</v>
      </c>
      <c r="D1058" s="1">
        <v>1</v>
      </c>
      <c r="E1058" s="1">
        <v>0.05</v>
      </c>
      <c r="F1058" s="1" t="b">
        <v>0</v>
      </c>
      <c r="G1058">
        <f>VLOOKUP(C1058,Products!A:D,4,FALSE)</f>
        <v>5550</v>
      </c>
      <c r="H1058" t="str">
        <f>VLOOKUP(C1058,Products!A:D,3,FALSE)</f>
        <v>Home &amp; Kitchen</v>
      </c>
      <c r="I1058">
        <f t="shared" si="16"/>
        <v>5272.5</v>
      </c>
      <c r="J1058" s="2">
        <f>VLOOKUP(B1058,Orders!A:C,3,FALSE)</f>
        <v>45921</v>
      </c>
      <c r="K1058" s="1" t="str">
        <f>VLOOKUP(B1058,Orders!A:B,2,FALSE)</f>
        <v>C0067</v>
      </c>
    </row>
    <row r="1059" spans="1:11" x14ac:dyDescent="0.3">
      <c r="A1059" s="1" t="s">
        <v>2853</v>
      </c>
      <c r="B1059" s="1" t="s">
        <v>2854</v>
      </c>
      <c r="C1059" s="1" t="s">
        <v>1328</v>
      </c>
      <c r="D1059" s="1">
        <v>4</v>
      </c>
      <c r="E1059" s="1">
        <v>0.1</v>
      </c>
      <c r="F1059" s="1" t="b">
        <v>0</v>
      </c>
      <c r="G1059">
        <f>VLOOKUP(C1059,Products!A:D,4,FALSE)</f>
        <v>1880</v>
      </c>
      <c r="H1059" t="str">
        <f>VLOOKUP(C1059,Products!A:D,3,FALSE)</f>
        <v>Apparel</v>
      </c>
      <c r="I1059">
        <f t="shared" si="16"/>
        <v>6768</v>
      </c>
      <c r="J1059" s="2">
        <f>VLOOKUP(B1059,Orders!A:C,3,FALSE)</f>
        <v>45904</v>
      </c>
      <c r="K1059" s="1" t="str">
        <f>VLOOKUP(B1059,Orders!A:B,2,FALSE)</f>
        <v>C0176</v>
      </c>
    </row>
    <row r="1060" spans="1:11" x14ac:dyDescent="0.3">
      <c r="A1060" s="1" t="s">
        <v>2855</v>
      </c>
      <c r="B1060" s="1" t="s">
        <v>2854</v>
      </c>
      <c r="C1060" s="1" t="s">
        <v>1276</v>
      </c>
      <c r="D1060" s="1">
        <v>2</v>
      </c>
      <c r="E1060" s="1">
        <v>0</v>
      </c>
      <c r="F1060" s="1" t="b">
        <v>0</v>
      </c>
      <c r="G1060">
        <f>VLOOKUP(C1060,Products!A:D,4,FALSE)</f>
        <v>2010</v>
      </c>
      <c r="H1060" t="str">
        <f>VLOOKUP(C1060,Products!A:D,3,FALSE)</f>
        <v>Beauty</v>
      </c>
      <c r="I1060">
        <f t="shared" si="16"/>
        <v>4020</v>
      </c>
      <c r="J1060" s="2">
        <f>VLOOKUP(B1060,Orders!A:C,3,FALSE)</f>
        <v>45904</v>
      </c>
      <c r="K1060" s="1" t="str">
        <f>VLOOKUP(B1060,Orders!A:B,2,FALSE)</f>
        <v>C0176</v>
      </c>
    </row>
    <row r="1061" spans="1:11" x14ac:dyDescent="0.3">
      <c r="A1061" s="1" t="s">
        <v>2856</v>
      </c>
      <c r="B1061" s="1" t="s">
        <v>2857</v>
      </c>
      <c r="C1061" s="1" t="s">
        <v>1219</v>
      </c>
      <c r="D1061" s="1">
        <v>1</v>
      </c>
      <c r="E1061" s="1">
        <v>0.15</v>
      </c>
      <c r="F1061" s="1" t="b">
        <v>0</v>
      </c>
      <c r="G1061">
        <f>VLOOKUP(C1061,Products!A:D,4,FALSE)</f>
        <v>2090</v>
      </c>
      <c r="H1061" t="str">
        <f>VLOOKUP(C1061,Products!A:D,3,FALSE)</f>
        <v>Beauty</v>
      </c>
      <c r="I1061">
        <f t="shared" si="16"/>
        <v>1776.5</v>
      </c>
      <c r="J1061" s="2">
        <f>VLOOKUP(B1061,Orders!A:C,3,FALSE)</f>
        <v>46172</v>
      </c>
      <c r="K1061" s="1" t="str">
        <f>VLOOKUP(B1061,Orders!A:B,2,FALSE)</f>
        <v>C0024</v>
      </c>
    </row>
    <row r="1062" spans="1:11" x14ac:dyDescent="0.3">
      <c r="A1062" s="1" t="s">
        <v>2858</v>
      </c>
      <c r="B1062" s="1" t="s">
        <v>2857</v>
      </c>
      <c r="C1062" s="1" t="s">
        <v>1160</v>
      </c>
      <c r="D1062" s="1">
        <v>4</v>
      </c>
      <c r="E1062" s="1">
        <v>0.2</v>
      </c>
      <c r="F1062" s="1" t="b">
        <v>0</v>
      </c>
      <c r="G1062">
        <f>VLOOKUP(C1062,Products!A:D,4,FALSE)</f>
        <v>1710</v>
      </c>
      <c r="H1062" t="str">
        <f>VLOOKUP(C1062,Products!A:D,3,FALSE)</f>
        <v>Home &amp; Kitchen</v>
      </c>
      <c r="I1062">
        <f t="shared" si="16"/>
        <v>5472</v>
      </c>
      <c r="J1062" s="2">
        <f>VLOOKUP(B1062,Orders!A:C,3,FALSE)</f>
        <v>46172</v>
      </c>
      <c r="K1062" s="1" t="str">
        <f>VLOOKUP(B1062,Orders!A:B,2,FALSE)</f>
        <v>C0024</v>
      </c>
    </row>
    <row r="1063" spans="1:11" x14ac:dyDescent="0.3">
      <c r="A1063" s="1" t="s">
        <v>2859</v>
      </c>
      <c r="B1063" s="1" t="s">
        <v>2860</v>
      </c>
      <c r="C1063" s="1" t="s">
        <v>1307</v>
      </c>
      <c r="D1063" s="1">
        <v>4</v>
      </c>
      <c r="E1063" s="1">
        <v>0.05</v>
      </c>
      <c r="F1063" s="1" t="b">
        <v>0</v>
      </c>
      <c r="G1063">
        <f>VLOOKUP(C1063,Products!A:D,4,FALSE)</f>
        <v>99</v>
      </c>
      <c r="H1063" t="str">
        <f>VLOOKUP(C1063,Products!A:D,3,FALSE)</f>
        <v>Sports</v>
      </c>
      <c r="I1063">
        <f t="shared" si="16"/>
        <v>376.2</v>
      </c>
      <c r="J1063" s="2">
        <f>VLOOKUP(B1063,Orders!A:C,3,FALSE)</f>
        <v>46280</v>
      </c>
      <c r="K1063" s="1" t="str">
        <f>VLOOKUP(B1063,Orders!A:B,2,FALSE)</f>
        <v>C0009</v>
      </c>
    </row>
    <row r="1064" spans="1:11" x14ac:dyDescent="0.3">
      <c r="A1064" s="1" t="s">
        <v>2861</v>
      </c>
      <c r="B1064" s="1" t="s">
        <v>2862</v>
      </c>
      <c r="C1064" s="1" t="s">
        <v>1418</v>
      </c>
      <c r="D1064" s="1">
        <v>3</v>
      </c>
      <c r="E1064" s="1">
        <v>0.2</v>
      </c>
      <c r="F1064" s="1" t="b">
        <v>0</v>
      </c>
      <c r="G1064">
        <f>VLOOKUP(C1064,Products!A:D,4,FALSE)</f>
        <v>1030</v>
      </c>
      <c r="H1064" t="str">
        <f>VLOOKUP(C1064,Products!A:D,3,FALSE)</f>
        <v>Beauty</v>
      </c>
      <c r="I1064">
        <f t="shared" si="16"/>
        <v>2472</v>
      </c>
      <c r="J1064" s="2">
        <f>VLOOKUP(B1064,Orders!A:C,3,FALSE)</f>
        <v>45988</v>
      </c>
      <c r="K1064" s="1" t="str">
        <f>VLOOKUP(B1064,Orders!A:B,2,FALSE)</f>
        <v>C0226</v>
      </c>
    </row>
    <row r="1065" spans="1:11" x14ac:dyDescent="0.3">
      <c r="A1065" s="1" t="s">
        <v>2863</v>
      </c>
      <c r="B1065" s="1" t="s">
        <v>2862</v>
      </c>
      <c r="C1065" s="1" t="s">
        <v>1418</v>
      </c>
      <c r="D1065" s="1">
        <v>5</v>
      </c>
      <c r="E1065" s="1">
        <v>0</v>
      </c>
      <c r="F1065" s="1" t="b">
        <v>0</v>
      </c>
      <c r="G1065">
        <f>VLOOKUP(C1065,Products!A:D,4,FALSE)</f>
        <v>1030</v>
      </c>
      <c r="H1065" t="str">
        <f>VLOOKUP(C1065,Products!A:D,3,FALSE)</f>
        <v>Beauty</v>
      </c>
      <c r="I1065">
        <f t="shared" si="16"/>
        <v>5150</v>
      </c>
      <c r="J1065" s="2">
        <f>VLOOKUP(B1065,Orders!A:C,3,FALSE)</f>
        <v>45988</v>
      </c>
      <c r="K1065" s="1" t="str">
        <f>VLOOKUP(B1065,Orders!A:B,2,FALSE)</f>
        <v>C0226</v>
      </c>
    </row>
    <row r="1066" spans="1:11" x14ac:dyDescent="0.3">
      <c r="A1066" s="1" t="s">
        <v>2864</v>
      </c>
      <c r="B1066" s="1" t="s">
        <v>2865</v>
      </c>
      <c r="C1066" s="1" t="s">
        <v>1393</v>
      </c>
      <c r="D1066" s="1">
        <v>4</v>
      </c>
      <c r="E1066" s="1">
        <v>0</v>
      </c>
      <c r="F1066" s="1" t="b">
        <v>0</v>
      </c>
      <c r="G1066">
        <f>VLOOKUP(C1066,Products!A:D,4,FALSE)</f>
        <v>1520</v>
      </c>
      <c r="H1066" t="str">
        <f>VLOOKUP(C1066,Products!A:D,3,FALSE)</f>
        <v>Electronics</v>
      </c>
      <c r="I1066">
        <f t="shared" si="16"/>
        <v>6080</v>
      </c>
      <c r="J1066" s="2">
        <f>VLOOKUP(B1066,Orders!A:C,3,FALSE)</f>
        <v>46167</v>
      </c>
      <c r="K1066" s="1" t="str">
        <f>VLOOKUP(B1066,Orders!A:B,2,FALSE)</f>
        <v>C0104</v>
      </c>
    </row>
    <row r="1067" spans="1:11" x14ac:dyDescent="0.3">
      <c r="A1067" s="1" t="s">
        <v>2866</v>
      </c>
      <c r="B1067" s="1" t="s">
        <v>2865</v>
      </c>
      <c r="C1067" s="1" t="s">
        <v>1265</v>
      </c>
      <c r="D1067" s="1">
        <v>4</v>
      </c>
      <c r="E1067" s="1">
        <v>0</v>
      </c>
      <c r="F1067" s="1" t="b">
        <v>0</v>
      </c>
      <c r="G1067">
        <f>VLOOKUP(C1067,Products!A:D,4,FALSE)</f>
        <v>99</v>
      </c>
      <c r="H1067" t="str">
        <f>VLOOKUP(C1067,Products!A:D,3,FALSE)</f>
        <v>Beauty</v>
      </c>
      <c r="I1067">
        <f t="shared" si="16"/>
        <v>396</v>
      </c>
      <c r="J1067" s="2">
        <f>VLOOKUP(B1067,Orders!A:C,3,FALSE)</f>
        <v>46167</v>
      </c>
      <c r="K1067" s="1" t="str">
        <f>VLOOKUP(B1067,Orders!A:B,2,FALSE)</f>
        <v>C0104</v>
      </c>
    </row>
    <row r="1068" spans="1:11" x14ac:dyDescent="0.3">
      <c r="A1068" s="1" t="s">
        <v>2867</v>
      </c>
      <c r="B1068" s="1" t="s">
        <v>2865</v>
      </c>
      <c r="C1068" s="1" t="s">
        <v>1247</v>
      </c>
      <c r="D1068" s="1">
        <v>4</v>
      </c>
      <c r="E1068" s="1">
        <v>0.05</v>
      </c>
      <c r="F1068" s="1" t="b">
        <v>0</v>
      </c>
      <c r="G1068">
        <f>VLOOKUP(C1068,Products!A:D,4,FALSE)</f>
        <v>2210</v>
      </c>
      <c r="H1068" t="str">
        <f>VLOOKUP(C1068,Products!A:D,3,FALSE)</f>
        <v>Beauty</v>
      </c>
      <c r="I1068">
        <f t="shared" si="16"/>
        <v>8398</v>
      </c>
      <c r="J1068" s="2">
        <f>VLOOKUP(B1068,Orders!A:C,3,FALSE)</f>
        <v>46167</v>
      </c>
      <c r="K1068" s="1" t="str">
        <f>VLOOKUP(B1068,Orders!A:B,2,FALSE)</f>
        <v>C0104</v>
      </c>
    </row>
    <row r="1069" spans="1:11" x14ac:dyDescent="0.3">
      <c r="A1069" s="1" t="s">
        <v>2868</v>
      </c>
      <c r="B1069" s="1" t="s">
        <v>2865</v>
      </c>
      <c r="C1069" s="1" t="s">
        <v>1393</v>
      </c>
      <c r="D1069" s="1">
        <v>1</v>
      </c>
      <c r="E1069" s="1">
        <v>0</v>
      </c>
      <c r="F1069" s="1" t="b">
        <v>0</v>
      </c>
      <c r="G1069">
        <f>VLOOKUP(C1069,Products!A:D,4,FALSE)</f>
        <v>1520</v>
      </c>
      <c r="H1069" t="str">
        <f>VLOOKUP(C1069,Products!A:D,3,FALSE)</f>
        <v>Electronics</v>
      </c>
      <c r="I1069">
        <f t="shared" si="16"/>
        <v>1520</v>
      </c>
      <c r="J1069" s="2">
        <f>VLOOKUP(B1069,Orders!A:C,3,FALSE)</f>
        <v>46167</v>
      </c>
      <c r="K1069" s="1" t="str">
        <f>VLOOKUP(B1069,Orders!A:B,2,FALSE)</f>
        <v>C0104</v>
      </c>
    </row>
    <row r="1070" spans="1:11" x14ac:dyDescent="0.3">
      <c r="A1070" s="1" t="s">
        <v>2869</v>
      </c>
      <c r="B1070" s="1" t="s">
        <v>2870</v>
      </c>
      <c r="C1070" s="1" t="s">
        <v>1294</v>
      </c>
      <c r="D1070" s="1">
        <v>2</v>
      </c>
      <c r="E1070" s="1">
        <v>0.05</v>
      </c>
      <c r="F1070" s="1" t="b">
        <v>0</v>
      </c>
      <c r="G1070">
        <f>VLOOKUP(C1070,Products!A:D,4,FALSE)</f>
        <v>210</v>
      </c>
      <c r="H1070" t="str">
        <f>VLOOKUP(C1070,Products!A:D,3,FALSE)</f>
        <v>Electronics</v>
      </c>
      <c r="I1070">
        <f t="shared" si="16"/>
        <v>399</v>
      </c>
      <c r="J1070" s="2">
        <f>VLOOKUP(B1070,Orders!A:C,3,FALSE)</f>
        <v>45914</v>
      </c>
      <c r="K1070" s="1" t="str">
        <f>VLOOKUP(B1070,Orders!A:B,2,FALSE)</f>
        <v>C0155</v>
      </c>
    </row>
    <row r="1071" spans="1:11" x14ac:dyDescent="0.3">
      <c r="A1071" s="1" t="s">
        <v>2871</v>
      </c>
      <c r="B1071" s="1" t="s">
        <v>2870</v>
      </c>
      <c r="C1071" s="1" t="s">
        <v>1431</v>
      </c>
      <c r="D1071" s="1">
        <v>2</v>
      </c>
      <c r="E1071" s="1">
        <v>0</v>
      </c>
      <c r="F1071" s="1" t="b">
        <v>0</v>
      </c>
      <c r="G1071">
        <f>VLOOKUP(C1071,Products!A:D,4,FALSE)</f>
        <v>2920</v>
      </c>
      <c r="H1071" t="str">
        <f>VLOOKUP(C1071,Products!A:D,3,FALSE)</f>
        <v>Home &amp; Kitchen</v>
      </c>
      <c r="I1071">
        <f t="shared" si="16"/>
        <v>5840</v>
      </c>
      <c r="J1071" s="2">
        <f>VLOOKUP(B1071,Orders!A:C,3,FALSE)</f>
        <v>45914</v>
      </c>
      <c r="K1071" s="1" t="str">
        <f>VLOOKUP(B1071,Orders!A:B,2,FALSE)</f>
        <v>C0155</v>
      </c>
    </row>
    <row r="1072" spans="1:11" x14ac:dyDescent="0.3">
      <c r="A1072" s="1" t="s">
        <v>2872</v>
      </c>
      <c r="B1072" s="1" t="s">
        <v>2873</v>
      </c>
      <c r="C1072" s="1" t="s">
        <v>1135</v>
      </c>
      <c r="D1072" s="1">
        <v>1</v>
      </c>
      <c r="E1072" s="1">
        <v>0.1</v>
      </c>
      <c r="F1072" s="1" t="b">
        <v>0</v>
      </c>
      <c r="G1072">
        <f>VLOOKUP(C1072,Products!A:D,4,FALSE)</f>
        <v>470</v>
      </c>
      <c r="H1072" t="str">
        <f>VLOOKUP(C1072,Products!A:D,3,FALSE)</f>
        <v>Apparel</v>
      </c>
      <c r="I1072">
        <f t="shared" si="16"/>
        <v>423</v>
      </c>
      <c r="J1072" s="2">
        <f>VLOOKUP(B1072,Orders!A:C,3,FALSE)</f>
        <v>46196</v>
      </c>
      <c r="K1072" s="1" t="str">
        <f>VLOOKUP(B1072,Orders!A:B,2,FALSE)</f>
        <v>C0048</v>
      </c>
    </row>
    <row r="1073" spans="1:11" x14ac:dyDescent="0.3">
      <c r="A1073" s="1" t="s">
        <v>2874</v>
      </c>
      <c r="B1073" s="1" t="s">
        <v>2873</v>
      </c>
      <c r="C1073" s="1" t="s">
        <v>1135</v>
      </c>
      <c r="D1073" s="1">
        <v>5</v>
      </c>
      <c r="E1073" s="1">
        <v>0.15</v>
      </c>
      <c r="F1073" s="1" t="b">
        <v>0</v>
      </c>
      <c r="G1073">
        <f>VLOOKUP(C1073,Products!A:D,4,FALSE)</f>
        <v>470</v>
      </c>
      <c r="H1073" t="str">
        <f>VLOOKUP(C1073,Products!A:D,3,FALSE)</f>
        <v>Apparel</v>
      </c>
      <c r="I1073">
        <f t="shared" si="16"/>
        <v>1997.5</v>
      </c>
      <c r="J1073" s="2">
        <f>VLOOKUP(B1073,Orders!A:C,3,FALSE)</f>
        <v>46196</v>
      </c>
      <c r="K1073" s="1" t="str">
        <f>VLOOKUP(B1073,Orders!A:B,2,FALSE)</f>
        <v>C0048</v>
      </c>
    </row>
    <row r="1074" spans="1:11" x14ac:dyDescent="0.3">
      <c r="A1074" s="1" t="s">
        <v>2875</v>
      </c>
      <c r="B1074" s="1" t="s">
        <v>2876</v>
      </c>
      <c r="C1074" s="1" t="s">
        <v>1302</v>
      </c>
      <c r="D1074" s="1">
        <v>4</v>
      </c>
      <c r="E1074" s="1">
        <v>0.1</v>
      </c>
      <c r="F1074" s="1" t="b">
        <v>0</v>
      </c>
      <c r="G1074">
        <f>VLOOKUP(C1074,Products!A:D,4,FALSE)</f>
        <v>1220</v>
      </c>
      <c r="H1074" t="str">
        <f>VLOOKUP(C1074,Products!A:D,3,FALSE)</f>
        <v>Home &amp; Kitchen</v>
      </c>
      <c r="I1074">
        <f t="shared" si="16"/>
        <v>4392</v>
      </c>
      <c r="J1074" s="2">
        <f>VLOOKUP(B1074,Orders!A:C,3,FALSE)</f>
        <v>46255</v>
      </c>
      <c r="K1074" s="1" t="str">
        <f>VLOOKUP(B1074,Orders!A:B,2,FALSE)</f>
        <v>C0043</v>
      </c>
    </row>
    <row r="1075" spans="1:11" x14ac:dyDescent="0.3">
      <c r="A1075" s="1" t="s">
        <v>2877</v>
      </c>
      <c r="B1075" s="1" t="s">
        <v>2876</v>
      </c>
      <c r="C1075" s="1" t="s">
        <v>1270</v>
      </c>
      <c r="D1075" s="1">
        <v>5</v>
      </c>
      <c r="E1075" s="1">
        <v>0</v>
      </c>
      <c r="F1075" s="1" t="b">
        <v>0</v>
      </c>
      <c r="G1075">
        <f>VLOOKUP(C1075,Products!A:D,4,FALSE)</f>
        <v>3560</v>
      </c>
      <c r="H1075" t="str">
        <f>VLOOKUP(C1075,Products!A:D,3,FALSE)</f>
        <v>Sports</v>
      </c>
      <c r="I1075">
        <f t="shared" si="16"/>
        <v>17800</v>
      </c>
      <c r="J1075" s="2">
        <f>VLOOKUP(B1075,Orders!A:C,3,FALSE)</f>
        <v>46255</v>
      </c>
      <c r="K1075" s="1" t="str">
        <f>VLOOKUP(B1075,Orders!A:B,2,FALSE)</f>
        <v>C0043</v>
      </c>
    </row>
    <row r="1076" spans="1:11" x14ac:dyDescent="0.3">
      <c r="A1076" s="1" t="s">
        <v>2878</v>
      </c>
      <c r="B1076" s="1" t="s">
        <v>2879</v>
      </c>
      <c r="C1076" s="1" t="s">
        <v>1273</v>
      </c>
      <c r="D1076" s="1">
        <v>5</v>
      </c>
      <c r="E1076" s="1">
        <v>0.05</v>
      </c>
      <c r="F1076" s="1" t="b">
        <v>0</v>
      </c>
      <c r="G1076">
        <f>VLOOKUP(C1076,Products!A:D,4,FALSE)</f>
        <v>360</v>
      </c>
      <c r="H1076" t="str">
        <f>VLOOKUP(C1076,Products!A:D,3,FALSE)</f>
        <v>Beauty</v>
      </c>
      <c r="I1076">
        <f t="shared" si="16"/>
        <v>1710</v>
      </c>
      <c r="J1076" s="2">
        <f>VLOOKUP(B1076,Orders!A:C,3,FALSE)</f>
        <v>45764</v>
      </c>
      <c r="K1076" s="1" t="str">
        <f>VLOOKUP(B1076,Orders!A:B,2,FALSE)</f>
        <v>C0027</v>
      </c>
    </row>
    <row r="1077" spans="1:11" x14ac:dyDescent="0.3">
      <c r="A1077" s="1" t="s">
        <v>2880</v>
      </c>
      <c r="B1077" s="1" t="s">
        <v>2881</v>
      </c>
      <c r="C1077" s="1" t="s">
        <v>1204</v>
      </c>
      <c r="D1077" s="1">
        <v>3</v>
      </c>
      <c r="E1077" s="1">
        <v>0</v>
      </c>
      <c r="F1077" s="1" t="b">
        <v>0</v>
      </c>
      <c r="G1077">
        <f>VLOOKUP(C1077,Products!A:D,4,FALSE)</f>
        <v>940</v>
      </c>
      <c r="H1077" t="str">
        <f>VLOOKUP(C1077,Products!A:D,3,FALSE)</f>
        <v>Apparel</v>
      </c>
      <c r="I1077">
        <f t="shared" si="16"/>
        <v>2820</v>
      </c>
      <c r="J1077" s="2">
        <f>VLOOKUP(B1077,Orders!A:C,3,FALSE)</f>
        <v>46159</v>
      </c>
      <c r="K1077" s="1" t="str">
        <f>VLOOKUP(B1077,Orders!A:B,2,FALSE)</f>
        <v>C0120</v>
      </c>
    </row>
    <row r="1078" spans="1:11" x14ac:dyDescent="0.3">
      <c r="A1078" s="1" t="s">
        <v>2882</v>
      </c>
      <c r="B1078" s="1" t="s">
        <v>2881</v>
      </c>
      <c r="C1078" s="1" t="s">
        <v>1242</v>
      </c>
      <c r="D1078" s="1">
        <v>1</v>
      </c>
      <c r="E1078" s="1">
        <v>0.1</v>
      </c>
      <c r="F1078" s="1" t="b">
        <v>0</v>
      </c>
      <c r="G1078">
        <f>VLOOKUP(C1078,Products!A:D,4,FALSE)</f>
        <v>2720</v>
      </c>
      <c r="H1078" t="str">
        <f>VLOOKUP(C1078,Products!A:D,3,FALSE)</f>
        <v>Beauty</v>
      </c>
      <c r="I1078">
        <f t="shared" si="16"/>
        <v>2448</v>
      </c>
      <c r="J1078" s="2">
        <f>VLOOKUP(B1078,Orders!A:C,3,FALSE)</f>
        <v>46159</v>
      </c>
      <c r="K1078" s="1" t="str">
        <f>VLOOKUP(B1078,Orders!A:B,2,FALSE)</f>
        <v>C0120</v>
      </c>
    </row>
    <row r="1079" spans="1:11" x14ac:dyDescent="0.3">
      <c r="A1079" s="1" t="s">
        <v>2883</v>
      </c>
      <c r="B1079" s="1" t="s">
        <v>2884</v>
      </c>
      <c r="C1079" s="1" t="s">
        <v>1174</v>
      </c>
      <c r="D1079" s="1">
        <v>3</v>
      </c>
      <c r="E1079" s="1">
        <v>0.2</v>
      </c>
      <c r="F1079" s="1" t="b">
        <v>0</v>
      </c>
      <c r="G1079">
        <f>VLOOKUP(C1079,Products!A:D,4,FALSE)</f>
        <v>1250</v>
      </c>
      <c r="H1079" t="str">
        <f>VLOOKUP(C1079,Products!A:D,3,FALSE)</f>
        <v>Sports</v>
      </c>
      <c r="I1079">
        <f t="shared" si="16"/>
        <v>3000</v>
      </c>
      <c r="J1079" s="2">
        <f>VLOOKUP(B1079,Orders!A:C,3,FALSE)</f>
        <v>45773</v>
      </c>
      <c r="K1079" s="1" t="str">
        <f>VLOOKUP(B1079,Orders!A:B,2,FALSE)</f>
        <v>C0049</v>
      </c>
    </row>
    <row r="1080" spans="1:11" x14ac:dyDescent="0.3">
      <c r="A1080" s="1" t="s">
        <v>2885</v>
      </c>
      <c r="B1080" s="1" t="s">
        <v>2886</v>
      </c>
      <c r="C1080" s="1" t="s">
        <v>1249</v>
      </c>
      <c r="D1080" s="1">
        <v>3</v>
      </c>
      <c r="E1080" s="1">
        <v>0.05</v>
      </c>
      <c r="F1080" s="1" t="b">
        <v>0</v>
      </c>
      <c r="G1080">
        <f>VLOOKUP(C1080,Products!A:D,4,FALSE)</f>
        <v>3630</v>
      </c>
      <c r="H1080" t="str">
        <f>VLOOKUP(C1080,Products!A:D,3,FALSE)</f>
        <v>Electronics</v>
      </c>
      <c r="I1080">
        <f t="shared" si="16"/>
        <v>10345.5</v>
      </c>
      <c r="J1080" s="2">
        <f>VLOOKUP(B1080,Orders!A:C,3,FALSE)</f>
        <v>45991</v>
      </c>
      <c r="K1080" s="1" t="str">
        <f>VLOOKUP(B1080,Orders!A:B,2,FALSE)</f>
        <v>C0040</v>
      </c>
    </row>
    <row r="1081" spans="1:11" x14ac:dyDescent="0.3">
      <c r="A1081" s="1" t="s">
        <v>2887</v>
      </c>
      <c r="B1081" s="1" t="s">
        <v>2886</v>
      </c>
      <c r="C1081" s="1" t="s">
        <v>1219</v>
      </c>
      <c r="D1081" s="1">
        <v>4</v>
      </c>
      <c r="E1081" s="1">
        <v>0</v>
      </c>
      <c r="F1081" s="1" t="b">
        <v>0</v>
      </c>
      <c r="G1081">
        <f>VLOOKUP(C1081,Products!A:D,4,FALSE)</f>
        <v>2090</v>
      </c>
      <c r="H1081" t="str">
        <f>VLOOKUP(C1081,Products!A:D,3,FALSE)</f>
        <v>Beauty</v>
      </c>
      <c r="I1081">
        <f t="shared" si="16"/>
        <v>8360</v>
      </c>
      <c r="J1081" s="2">
        <f>VLOOKUP(B1081,Orders!A:C,3,FALSE)</f>
        <v>45991</v>
      </c>
      <c r="K1081" s="1" t="str">
        <f>VLOOKUP(B1081,Orders!A:B,2,FALSE)</f>
        <v>C0040</v>
      </c>
    </row>
    <row r="1082" spans="1:11" x14ac:dyDescent="0.3">
      <c r="A1082" s="1" t="s">
        <v>2888</v>
      </c>
      <c r="B1082" s="1" t="s">
        <v>2889</v>
      </c>
      <c r="C1082" s="1" t="s">
        <v>1290</v>
      </c>
      <c r="D1082" s="1">
        <v>3</v>
      </c>
      <c r="E1082" s="1">
        <v>0</v>
      </c>
      <c r="F1082" s="1" t="b">
        <v>0</v>
      </c>
      <c r="G1082">
        <f>VLOOKUP(C1082,Products!A:D,4,FALSE)</f>
        <v>990</v>
      </c>
      <c r="H1082" t="str">
        <f>VLOOKUP(C1082,Products!A:D,3,FALSE)</f>
        <v>Books</v>
      </c>
      <c r="I1082">
        <f t="shared" si="16"/>
        <v>2970</v>
      </c>
      <c r="J1082" s="2">
        <f>VLOOKUP(B1082,Orders!A:C,3,FALSE)</f>
        <v>45839</v>
      </c>
      <c r="K1082" s="1" t="str">
        <f>VLOOKUP(B1082,Orders!A:B,2,FALSE)</f>
        <v>C0266</v>
      </c>
    </row>
    <row r="1083" spans="1:11" x14ac:dyDescent="0.3">
      <c r="A1083" s="1" t="s">
        <v>2890</v>
      </c>
      <c r="B1083" s="1" t="s">
        <v>2889</v>
      </c>
      <c r="C1083" s="1" t="s">
        <v>1262</v>
      </c>
      <c r="D1083" s="1">
        <v>2</v>
      </c>
      <c r="E1083" s="1">
        <v>0</v>
      </c>
      <c r="F1083" s="1" t="b">
        <v>0</v>
      </c>
      <c r="G1083">
        <f>VLOOKUP(C1083,Products!A:D,4,FALSE)</f>
        <v>4020</v>
      </c>
      <c r="H1083" t="str">
        <f>VLOOKUP(C1083,Products!A:D,3,FALSE)</f>
        <v>Sports</v>
      </c>
      <c r="I1083">
        <f t="shared" si="16"/>
        <v>8040</v>
      </c>
      <c r="J1083" s="2">
        <f>VLOOKUP(B1083,Orders!A:C,3,FALSE)</f>
        <v>45839</v>
      </c>
      <c r="K1083" s="1" t="str">
        <f>VLOOKUP(B1083,Orders!A:B,2,FALSE)</f>
        <v>C0266</v>
      </c>
    </row>
    <row r="1084" spans="1:11" x14ac:dyDescent="0.3">
      <c r="A1084" s="1" t="s">
        <v>2891</v>
      </c>
      <c r="B1084" s="1" t="s">
        <v>2889</v>
      </c>
      <c r="C1084" s="1" t="s">
        <v>1468</v>
      </c>
      <c r="D1084" s="1">
        <v>5</v>
      </c>
      <c r="E1084" s="1">
        <v>0</v>
      </c>
      <c r="F1084" s="1" t="b">
        <v>0</v>
      </c>
      <c r="G1084">
        <f>VLOOKUP(C1084,Products!A:D,4,FALSE)</f>
        <v>2040</v>
      </c>
      <c r="H1084" t="str">
        <f>VLOOKUP(C1084,Products!A:D,3,FALSE)</f>
        <v>Books</v>
      </c>
      <c r="I1084">
        <f t="shared" si="16"/>
        <v>10200</v>
      </c>
      <c r="J1084" s="2">
        <f>VLOOKUP(B1084,Orders!A:C,3,FALSE)</f>
        <v>45839</v>
      </c>
      <c r="K1084" s="1" t="str">
        <f>VLOOKUP(B1084,Orders!A:B,2,FALSE)</f>
        <v>C0266</v>
      </c>
    </row>
    <row r="1085" spans="1:11" x14ac:dyDescent="0.3">
      <c r="A1085" s="1" t="s">
        <v>2892</v>
      </c>
      <c r="B1085" s="1" t="s">
        <v>2889</v>
      </c>
      <c r="C1085" s="1" t="s">
        <v>1656</v>
      </c>
      <c r="D1085" s="1">
        <v>3</v>
      </c>
      <c r="E1085" s="1">
        <v>0</v>
      </c>
      <c r="F1085" s="1" t="b">
        <v>0</v>
      </c>
      <c r="G1085">
        <f>VLOOKUP(C1085,Products!A:D,4,FALSE)</f>
        <v>1240</v>
      </c>
      <c r="H1085" t="str">
        <f>VLOOKUP(C1085,Products!A:D,3,FALSE)</f>
        <v>Beauty</v>
      </c>
      <c r="I1085">
        <f t="shared" si="16"/>
        <v>3720</v>
      </c>
      <c r="J1085" s="2">
        <f>VLOOKUP(B1085,Orders!A:C,3,FALSE)</f>
        <v>45839</v>
      </c>
      <c r="K1085" s="1" t="str">
        <f>VLOOKUP(B1085,Orders!A:B,2,FALSE)</f>
        <v>C0266</v>
      </c>
    </row>
    <row r="1086" spans="1:11" x14ac:dyDescent="0.3">
      <c r="A1086" s="1" t="s">
        <v>2893</v>
      </c>
      <c r="B1086" s="1" t="s">
        <v>2894</v>
      </c>
      <c r="C1086" s="1" t="s">
        <v>1288</v>
      </c>
      <c r="D1086" s="1">
        <v>5</v>
      </c>
      <c r="E1086" s="1">
        <v>0</v>
      </c>
      <c r="F1086" s="1" t="b">
        <v>0</v>
      </c>
      <c r="G1086">
        <f>VLOOKUP(C1086,Products!A:D,4,FALSE)</f>
        <v>2580</v>
      </c>
      <c r="H1086" t="str">
        <f>VLOOKUP(C1086,Products!A:D,3,FALSE)</f>
        <v>Beauty</v>
      </c>
      <c r="I1086">
        <f t="shared" si="16"/>
        <v>12900</v>
      </c>
      <c r="J1086" s="2">
        <f>VLOOKUP(B1086,Orders!A:C,3,FALSE)</f>
        <v>46195</v>
      </c>
      <c r="K1086" s="1" t="str">
        <f>VLOOKUP(B1086,Orders!A:B,2,FALSE)</f>
        <v>C0005</v>
      </c>
    </row>
    <row r="1087" spans="1:11" x14ac:dyDescent="0.3">
      <c r="A1087" s="1" t="s">
        <v>2895</v>
      </c>
      <c r="B1087" s="1" t="s">
        <v>2896</v>
      </c>
      <c r="C1087" s="1" t="s">
        <v>1140</v>
      </c>
      <c r="D1087" s="1">
        <v>5</v>
      </c>
      <c r="E1087" s="1">
        <v>0.1</v>
      </c>
      <c r="F1087" s="1" t="b">
        <v>0</v>
      </c>
      <c r="G1087">
        <f>VLOOKUP(C1087,Products!A:D,4,FALSE)</f>
        <v>3040</v>
      </c>
      <c r="H1087" t="str">
        <f>VLOOKUP(C1087,Products!A:D,3,FALSE)</f>
        <v>Electronics</v>
      </c>
      <c r="I1087">
        <f t="shared" si="16"/>
        <v>13680</v>
      </c>
      <c r="J1087" s="2">
        <f>VLOOKUP(B1087,Orders!A:C,3,FALSE)</f>
        <v>46181</v>
      </c>
      <c r="K1087" s="1" t="str">
        <f>VLOOKUP(B1087,Orders!A:B,2,FALSE)</f>
        <v>C0217</v>
      </c>
    </row>
    <row r="1088" spans="1:11" x14ac:dyDescent="0.3">
      <c r="A1088" s="1" t="s">
        <v>2897</v>
      </c>
      <c r="B1088" s="1" t="s">
        <v>2898</v>
      </c>
      <c r="C1088" s="1" t="s">
        <v>1719</v>
      </c>
      <c r="D1088" s="1">
        <v>1</v>
      </c>
      <c r="E1088" s="1">
        <v>0.15</v>
      </c>
      <c r="F1088" s="1" t="b">
        <v>0</v>
      </c>
      <c r="G1088">
        <f>VLOOKUP(C1088,Products!A:D,4,FALSE)</f>
        <v>2790</v>
      </c>
      <c r="H1088" t="str">
        <f>VLOOKUP(C1088,Products!A:D,3,FALSE)</f>
        <v>Sports</v>
      </c>
      <c r="I1088">
        <f t="shared" ref="I1088:I1151" si="17">G1088*D1088*(1-E1088)</f>
        <v>2371.5</v>
      </c>
      <c r="J1088" s="2">
        <f>VLOOKUP(B1088,Orders!A:C,3,FALSE)</f>
        <v>46187</v>
      </c>
      <c r="K1088" s="1" t="str">
        <f>VLOOKUP(B1088,Orders!A:B,2,FALSE)</f>
        <v>C0037</v>
      </c>
    </row>
    <row r="1089" spans="1:11" x14ac:dyDescent="0.3">
      <c r="A1089" s="1" t="s">
        <v>2899</v>
      </c>
      <c r="B1089" s="1" t="s">
        <v>2898</v>
      </c>
      <c r="C1089" s="1" t="s">
        <v>1302</v>
      </c>
      <c r="D1089" s="1">
        <v>5</v>
      </c>
      <c r="E1089" s="1">
        <v>0</v>
      </c>
      <c r="F1089" s="1" t="b">
        <v>0</v>
      </c>
      <c r="G1089">
        <f>VLOOKUP(C1089,Products!A:D,4,FALSE)</f>
        <v>1220</v>
      </c>
      <c r="H1089" t="str">
        <f>VLOOKUP(C1089,Products!A:D,3,FALSE)</f>
        <v>Home &amp; Kitchen</v>
      </c>
      <c r="I1089">
        <f t="shared" si="17"/>
        <v>6100</v>
      </c>
      <c r="J1089" s="2">
        <f>VLOOKUP(B1089,Orders!A:C,3,FALSE)</f>
        <v>46187</v>
      </c>
      <c r="K1089" s="1" t="str">
        <f>VLOOKUP(B1089,Orders!A:B,2,FALSE)</f>
        <v>C0037</v>
      </c>
    </row>
    <row r="1090" spans="1:11" x14ac:dyDescent="0.3">
      <c r="A1090" s="1" t="s">
        <v>2900</v>
      </c>
      <c r="B1090" s="1" t="s">
        <v>2898</v>
      </c>
      <c r="C1090" s="1" t="s">
        <v>1225</v>
      </c>
      <c r="D1090" s="1">
        <v>4</v>
      </c>
      <c r="E1090" s="1">
        <v>0.1</v>
      </c>
      <c r="F1090" s="1" t="b">
        <v>0</v>
      </c>
      <c r="G1090">
        <f>VLOOKUP(C1090,Products!A:D,4,FALSE)</f>
        <v>2690</v>
      </c>
      <c r="H1090" t="str">
        <f>VLOOKUP(C1090,Products!A:D,3,FALSE)</f>
        <v>Beauty</v>
      </c>
      <c r="I1090">
        <f t="shared" si="17"/>
        <v>9684</v>
      </c>
      <c r="J1090" s="2">
        <f>VLOOKUP(B1090,Orders!A:C,3,FALSE)</f>
        <v>46187</v>
      </c>
      <c r="K1090" s="1" t="str">
        <f>VLOOKUP(B1090,Orders!A:B,2,FALSE)</f>
        <v>C0037</v>
      </c>
    </row>
    <row r="1091" spans="1:11" x14ac:dyDescent="0.3">
      <c r="A1091" s="1" t="s">
        <v>2901</v>
      </c>
      <c r="B1091" s="1" t="s">
        <v>2902</v>
      </c>
      <c r="C1091" s="1" t="s">
        <v>1564</v>
      </c>
      <c r="D1091" s="1">
        <v>1</v>
      </c>
      <c r="E1091" s="1">
        <v>0.2</v>
      </c>
      <c r="F1091" s="1" t="b">
        <v>0</v>
      </c>
      <c r="G1091">
        <f>VLOOKUP(C1091,Products!A:D,4,FALSE)</f>
        <v>3680</v>
      </c>
      <c r="H1091" t="str">
        <f>VLOOKUP(C1091,Products!A:D,3,FALSE)</f>
        <v>Home &amp; Kitchen</v>
      </c>
      <c r="I1091">
        <f t="shared" si="17"/>
        <v>2944</v>
      </c>
      <c r="J1091" s="2">
        <f>VLOOKUP(B1091,Orders!A:C,3,FALSE)</f>
        <v>45800</v>
      </c>
      <c r="K1091" s="1" t="str">
        <f>VLOOKUP(B1091,Orders!A:B,2,FALSE)</f>
        <v>C0053</v>
      </c>
    </row>
    <row r="1092" spans="1:11" x14ac:dyDescent="0.3">
      <c r="A1092" s="1" t="s">
        <v>2903</v>
      </c>
      <c r="B1092" s="1" t="s">
        <v>2904</v>
      </c>
      <c r="C1092" s="1" t="s">
        <v>1132</v>
      </c>
      <c r="D1092" s="1">
        <v>3</v>
      </c>
      <c r="E1092" s="1">
        <v>0.05</v>
      </c>
      <c r="F1092" s="1" t="b">
        <v>0</v>
      </c>
      <c r="G1092">
        <f>VLOOKUP(C1092,Products!A:D,4,FALSE)</f>
        <v>420</v>
      </c>
      <c r="H1092" t="str">
        <f>VLOOKUP(C1092,Products!A:D,3,FALSE)</f>
        <v>Beauty</v>
      </c>
      <c r="I1092">
        <f t="shared" si="17"/>
        <v>1197</v>
      </c>
      <c r="J1092" s="2">
        <f>VLOOKUP(B1092,Orders!A:C,3,FALSE)</f>
        <v>46154</v>
      </c>
      <c r="K1092" s="1" t="str">
        <f>VLOOKUP(B1092,Orders!A:B,2,FALSE)</f>
        <v>C0189</v>
      </c>
    </row>
    <row r="1093" spans="1:11" x14ac:dyDescent="0.3">
      <c r="A1093" s="1" t="s">
        <v>2905</v>
      </c>
      <c r="B1093" s="1" t="s">
        <v>2906</v>
      </c>
      <c r="C1093" s="1" t="s">
        <v>1121</v>
      </c>
      <c r="D1093" s="1">
        <v>2</v>
      </c>
      <c r="E1093" s="1">
        <v>0.1</v>
      </c>
      <c r="F1093" s="1" t="b">
        <v>0</v>
      </c>
      <c r="G1093">
        <f>VLOOKUP(C1093,Products!A:D,4,FALSE)</f>
        <v>1440</v>
      </c>
      <c r="H1093" t="str">
        <f>VLOOKUP(C1093,Products!A:D,3,FALSE)</f>
        <v>Sports</v>
      </c>
      <c r="I1093">
        <f t="shared" si="17"/>
        <v>2592</v>
      </c>
      <c r="J1093" s="2">
        <f>VLOOKUP(B1093,Orders!A:C,3,FALSE)</f>
        <v>45870</v>
      </c>
      <c r="K1093" s="1" t="str">
        <f>VLOOKUP(B1093,Orders!A:B,2,FALSE)</f>
        <v>C0196</v>
      </c>
    </row>
    <row r="1094" spans="1:11" x14ac:dyDescent="0.3">
      <c r="A1094" s="1" t="s">
        <v>2907</v>
      </c>
      <c r="B1094" s="1" t="s">
        <v>2906</v>
      </c>
      <c r="C1094" s="1" t="s">
        <v>1294</v>
      </c>
      <c r="D1094" s="1">
        <v>3</v>
      </c>
      <c r="E1094" s="1">
        <v>0.05</v>
      </c>
      <c r="F1094" s="1" t="b">
        <v>0</v>
      </c>
      <c r="G1094">
        <f>VLOOKUP(C1094,Products!A:D,4,FALSE)</f>
        <v>210</v>
      </c>
      <c r="H1094" t="str">
        <f>VLOOKUP(C1094,Products!A:D,3,FALSE)</f>
        <v>Electronics</v>
      </c>
      <c r="I1094">
        <f t="shared" si="17"/>
        <v>598.5</v>
      </c>
      <c r="J1094" s="2">
        <f>VLOOKUP(B1094,Orders!A:C,3,FALSE)</f>
        <v>45870</v>
      </c>
      <c r="K1094" s="1" t="str">
        <f>VLOOKUP(B1094,Orders!A:B,2,FALSE)</f>
        <v>C0196</v>
      </c>
    </row>
    <row r="1095" spans="1:11" x14ac:dyDescent="0.3">
      <c r="A1095" s="1" t="s">
        <v>2908</v>
      </c>
      <c r="B1095" s="1" t="s">
        <v>2909</v>
      </c>
      <c r="C1095" s="1" t="s">
        <v>1111</v>
      </c>
      <c r="D1095" s="1">
        <v>5</v>
      </c>
      <c r="E1095" s="1">
        <v>0</v>
      </c>
      <c r="F1095" s="1" t="b">
        <v>0</v>
      </c>
      <c r="G1095">
        <f>VLOOKUP(C1095,Products!A:D,4,FALSE)</f>
        <v>2450</v>
      </c>
      <c r="H1095" t="str">
        <f>VLOOKUP(C1095,Products!A:D,3,FALSE)</f>
        <v>Sports</v>
      </c>
      <c r="I1095">
        <f t="shared" si="17"/>
        <v>12250</v>
      </c>
      <c r="J1095" s="2">
        <f>VLOOKUP(B1095,Orders!A:C,3,FALSE)</f>
        <v>46156</v>
      </c>
      <c r="K1095" s="1" t="str">
        <f>VLOOKUP(B1095,Orders!A:B,2,FALSE)</f>
        <v>C0074</v>
      </c>
    </row>
    <row r="1096" spans="1:11" x14ac:dyDescent="0.3">
      <c r="A1096" s="1" t="s">
        <v>2910</v>
      </c>
      <c r="B1096" s="1" t="s">
        <v>2911</v>
      </c>
      <c r="C1096" s="1" t="s">
        <v>1118</v>
      </c>
      <c r="D1096" s="1">
        <v>3</v>
      </c>
      <c r="E1096" s="1">
        <v>0.1</v>
      </c>
      <c r="F1096" s="1" t="b">
        <v>0</v>
      </c>
      <c r="G1096">
        <f>VLOOKUP(C1096,Products!A:D,4,FALSE)</f>
        <v>5550</v>
      </c>
      <c r="H1096" t="str">
        <f>VLOOKUP(C1096,Products!A:D,3,FALSE)</f>
        <v>Home &amp; Kitchen</v>
      </c>
      <c r="I1096">
        <f t="shared" si="17"/>
        <v>14985</v>
      </c>
      <c r="J1096" s="2">
        <f>VLOOKUP(B1096,Orders!A:C,3,FALSE)</f>
        <v>45976</v>
      </c>
      <c r="K1096" s="1" t="str">
        <f>VLOOKUP(B1096,Orders!A:B,2,FALSE)</f>
        <v>C0005</v>
      </c>
    </row>
    <row r="1097" spans="1:11" x14ac:dyDescent="0.3">
      <c r="A1097" s="1" t="s">
        <v>2912</v>
      </c>
      <c r="B1097" s="1" t="s">
        <v>2913</v>
      </c>
      <c r="C1097" s="1" t="s">
        <v>1299</v>
      </c>
      <c r="D1097" s="1">
        <v>5</v>
      </c>
      <c r="E1097" s="1">
        <v>0.15</v>
      </c>
      <c r="F1097" s="1" t="b">
        <v>0</v>
      </c>
      <c r="G1097">
        <f>VLOOKUP(C1097,Products!A:D,4,FALSE)</f>
        <v>1080</v>
      </c>
      <c r="H1097" t="str">
        <f>VLOOKUP(C1097,Products!A:D,3,FALSE)</f>
        <v>Beauty</v>
      </c>
      <c r="I1097">
        <f t="shared" si="17"/>
        <v>4590</v>
      </c>
      <c r="J1097" s="2">
        <f>VLOOKUP(B1097,Orders!A:C,3,FALSE)</f>
        <v>46138</v>
      </c>
      <c r="K1097" s="1" t="str">
        <f>VLOOKUP(B1097,Orders!A:B,2,FALSE)</f>
        <v>C0226</v>
      </c>
    </row>
    <row r="1098" spans="1:11" x14ac:dyDescent="0.3">
      <c r="A1098" s="1" t="s">
        <v>2914</v>
      </c>
      <c r="B1098" s="1" t="s">
        <v>2915</v>
      </c>
      <c r="C1098" s="1" t="s">
        <v>1109</v>
      </c>
      <c r="D1098" s="1">
        <v>1</v>
      </c>
      <c r="E1098" s="1">
        <v>0.1</v>
      </c>
      <c r="F1098" s="1" t="b">
        <v>0</v>
      </c>
      <c r="G1098">
        <f>VLOOKUP(C1098,Products!A:D,4,FALSE)</f>
        <v>1475</v>
      </c>
      <c r="H1098" t="str">
        <f>VLOOKUP(C1098,Products!A:D,3,FALSE)</f>
        <v>Books</v>
      </c>
      <c r="I1098">
        <f t="shared" si="17"/>
        <v>1327.5</v>
      </c>
      <c r="J1098" s="2">
        <f>VLOOKUP(B1098,Orders!A:C,3,FALSE)</f>
        <v>45752</v>
      </c>
      <c r="K1098" s="1" t="str">
        <f>VLOOKUP(B1098,Orders!A:B,2,FALSE)</f>
        <v>C0078</v>
      </c>
    </row>
    <row r="1099" spans="1:11" x14ac:dyDescent="0.3">
      <c r="A1099" s="1" t="s">
        <v>2916</v>
      </c>
      <c r="B1099" s="1" t="s">
        <v>2915</v>
      </c>
      <c r="C1099" s="1" t="s">
        <v>1121</v>
      </c>
      <c r="D1099" s="1">
        <v>3</v>
      </c>
      <c r="E1099" s="1">
        <v>0</v>
      </c>
      <c r="F1099" s="1" t="b">
        <v>0</v>
      </c>
      <c r="G1099">
        <f>VLOOKUP(C1099,Products!A:D,4,FALSE)</f>
        <v>1440</v>
      </c>
      <c r="H1099" t="str">
        <f>VLOOKUP(C1099,Products!A:D,3,FALSE)</f>
        <v>Sports</v>
      </c>
      <c r="I1099">
        <f t="shared" si="17"/>
        <v>4320</v>
      </c>
      <c r="J1099" s="2">
        <f>VLOOKUP(B1099,Orders!A:C,3,FALSE)</f>
        <v>45752</v>
      </c>
      <c r="K1099" s="1" t="str">
        <f>VLOOKUP(B1099,Orders!A:B,2,FALSE)</f>
        <v>C0078</v>
      </c>
    </row>
    <row r="1100" spans="1:11" x14ac:dyDescent="0.3">
      <c r="A1100" s="1" t="s">
        <v>2917</v>
      </c>
      <c r="B1100" s="1" t="s">
        <v>2915</v>
      </c>
      <c r="C1100" s="1" t="s">
        <v>1257</v>
      </c>
      <c r="D1100" s="1">
        <v>3</v>
      </c>
      <c r="E1100" s="1">
        <v>0.05</v>
      </c>
      <c r="F1100" s="1" t="b">
        <v>1</v>
      </c>
      <c r="G1100">
        <f>VLOOKUP(C1100,Products!A:D,4,FALSE)</f>
        <v>1760</v>
      </c>
      <c r="H1100" t="str">
        <f>VLOOKUP(C1100,Products!A:D,3,FALSE)</f>
        <v>Books</v>
      </c>
      <c r="I1100">
        <f t="shared" si="17"/>
        <v>5016</v>
      </c>
      <c r="J1100" s="2">
        <f>VLOOKUP(B1100,Orders!A:C,3,FALSE)</f>
        <v>45752</v>
      </c>
      <c r="K1100" s="1" t="str">
        <f>VLOOKUP(B1100,Orders!A:B,2,FALSE)</f>
        <v>C0078</v>
      </c>
    </row>
    <row r="1101" spans="1:11" x14ac:dyDescent="0.3">
      <c r="A1101" s="1" t="s">
        <v>2918</v>
      </c>
      <c r="B1101" s="1" t="s">
        <v>2915</v>
      </c>
      <c r="C1101" s="1" t="s">
        <v>1140</v>
      </c>
      <c r="D1101" s="1">
        <v>2</v>
      </c>
      <c r="E1101" s="1">
        <v>0</v>
      </c>
      <c r="F1101" s="1" t="b">
        <v>0</v>
      </c>
      <c r="G1101">
        <f>VLOOKUP(C1101,Products!A:D,4,FALSE)</f>
        <v>3040</v>
      </c>
      <c r="H1101" t="str">
        <f>VLOOKUP(C1101,Products!A:D,3,FALSE)</f>
        <v>Electronics</v>
      </c>
      <c r="I1101">
        <f t="shared" si="17"/>
        <v>6080</v>
      </c>
      <c r="J1101" s="2">
        <f>VLOOKUP(B1101,Orders!A:C,3,FALSE)</f>
        <v>45752</v>
      </c>
      <c r="K1101" s="1" t="str">
        <f>VLOOKUP(B1101,Orders!A:B,2,FALSE)</f>
        <v>C0078</v>
      </c>
    </row>
    <row r="1102" spans="1:11" x14ac:dyDescent="0.3">
      <c r="A1102" s="1" t="s">
        <v>2919</v>
      </c>
      <c r="B1102" s="1" t="s">
        <v>2920</v>
      </c>
      <c r="C1102" s="1" t="s">
        <v>1294</v>
      </c>
      <c r="D1102" s="1">
        <v>5</v>
      </c>
      <c r="E1102" s="1">
        <v>0.2</v>
      </c>
      <c r="F1102" s="1" t="b">
        <v>0</v>
      </c>
      <c r="G1102">
        <f>VLOOKUP(C1102,Products!A:D,4,FALSE)</f>
        <v>210</v>
      </c>
      <c r="H1102" t="str">
        <f>VLOOKUP(C1102,Products!A:D,3,FALSE)</f>
        <v>Electronics</v>
      </c>
      <c r="I1102">
        <f t="shared" si="17"/>
        <v>840</v>
      </c>
      <c r="J1102" s="2">
        <f>VLOOKUP(B1102,Orders!A:C,3,FALSE)</f>
        <v>45986</v>
      </c>
      <c r="K1102" s="1" t="str">
        <f>VLOOKUP(B1102,Orders!A:B,2,FALSE)</f>
        <v>C0227</v>
      </c>
    </row>
    <row r="1103" spans="1:11" x14ac:dyDescent="0.3">
      <c r="A1103" s="1" t="s">
        <v>2921</v>
      </c>
      <c r="B1103" s="1" t="s">
        <v>2920</v>
      </c>
      <c r="C1103" s="1" t="s">
        <v>1294</v>
      </c>
      <c r="D1103" s="1">
        <v>4</v>
      </c>
      <c r="E1103" s="1">
        <v>0.15</v>
      </c>
      <c r="F1103" s="1" t="b">
        <v>0</v>
      </c>
      <c r="G1103">
        <f>VLOOKUP(C1103,Products!A:D,4,FALSE)</f>
        <v>210</v>
      </c>
      <c r="H1103" t="str">
        <f>VLOOKUP(C1103,Products!A:D,3,FALSE)</f>
        <v>Electronics</v>
      </c>
      <c r="I1103">
        <f t="shared" si="17"/>
        <v>714</v>
      </c>
      <c r="J1103" s="2">
        <f>VLOOKUP(B1103,Orders!A:C,3,FALSE)</f>
        <v>45986</v>
      </c>
      <c r="K1103" s="1" t="str">
        <f>VLOOKUP(B1103,Orders!A:B,2,FALSE)</f>
        <v>C0227</v>
      </c>
    </row>
    <row r="1104" spans="1:11" x14ac:dyDescent="0.3">
      <c r="A1104" s="1" t="s">
        <v>2922</v>
      </c>
      <c r="B1104" s="1" t="s">
        <v>2923</v>
      </c>
      <c r="C1104" s="1" t="s">
        <v>1644</v>
      </c>
      <c r="D1104" s="1">
        <v>4</v>
      </c>
      <c r="E1104" s="1">
        <v>0.05</v>
      </c>
      <c r="F1104" s="1" t="b">
        <v>0</v>
      </c>
      <c r="G1104">
        <f>VLOOKUP(C1104,Products!A:D,4,FALSE)</f>
        <v>1930</v>
      </c>
      <c r="H1104" t="str">
        <f>VLOOKUP(C1104,Products!A:D,3,FALSE)</f>
        <v>Home &amp; Kitchen</v>
      </c>
      <c r="I1104">
        <f t="shared" si="17"/>
        <v>7334</v>
      </c>
      <c r="J1104" s="2">
        <f>VLOOKUP(B1104,Orders!A:C,3,FALSE)</f>
        <v>46156</v>
      </c>
      <c r="K1104" s="1" t="str">
        <f>VLOOKUP(B1104,Orders!A:B,2,FALSE)</f>
        <v>C0052</v>
      </c>
    </row>
    <row r="1105" spans="1:11" x14ac:dyDescent="0.3">
      <c r="A1105" s="1" t="s">
        <v>2924</v>
      </c>
      <c r="B1105" s="1" t="s">
        <v>2923</v>
      </c>
      <c r="C1105" s="1" t="s">
        <v>1176</v>
      </c>
      <c r="D1105" s="1">
        <v>5</v>
      </c>
      <c r="E1105" s="1">
        <v>0.1</v>
      </c>
      <c r="F1105" s="1" t="b">
        <v>0</v>
      </c>
      <c r="G1105">
        <f>VLOOKUP(C1105,Products!A:D,4,FALSE)</f>
        <v>2670</v>
      </c>
      <c r="H1105" t="str">
        <f>VLOOKUP(C1105,Products!A:D,3,FALSE)</f>
        <v>Beauty</v>
      </c>
      <c r="I1105">
        <f t="shared" si="17"/>
        <v>12015</v>
      </c>
      <c r="J1105" s="2">
        <f>VLOOKUP(B1105,Orders!A:C,3,FALSE)</f>
        <v>46156</v>
      </c>
      <c r="K1105" s="1" t="str">
        <f>VLOOKUP(B1105,Orders!A:B,2,FALSE)</f>
        <v>C0052</v>
      </c>
    </row>
    <row r="1106" spans="1:11" x14ac:dyDescent="0.3">
      <c r="A1106" s="1" t="s">
        <v>2925</v>
      </c>
      <c r="B1106" s="1" t="s">
        <v>2926</v>
      </c>
      <c r="C1106" s="1" t="s">
        <v>1184</v>
      </c>
      <c r="D1106" s="1">
        <v>2</v>
      </c>
      <c r="E1106" s="1">
        <v>0</v>
      </c>
      <c r="F1106" s="1" t="b">
        <v>0</v>
      </c>
      <c r="G1106">
        <f>VLOOKUP(C1106,Products!A:D,4,FALSE)</f>
        <v>2230</v>
      </c>
      <c r="H1106" t="str">
        <f>VLOOKUP(C1106,Products!A:D,3,FALSE)</f>
        <v>Sports</v>
      </c>
      <c r="I1106">
        <f t="shared" si="17"/>
        <v>4460</v>
      </c>
      <c r="J1106" s="2">
        <f>VLOOKUP(B1106,Orders!A:C,3,FALSE)</f>
        <v>46019</v>
      </c>
      <c r="K1106" s="1" t="str">
        <f>VLOOKUP(B1106,Orders!A:B,2,FALSE)</f>
        <v>C0197</v>
      </c>
    </row>
    <row r="1107" spans="1:11" x14ac:dyDescent="0.3">
      <c r="A1107" s="1" t="s">
        <v>2927</v>
      </c>
      <c r="B1107" s="1" t="s">
        <v>2928</v>
      </c>
      <c r="C1107" s="1" t="s">
        <v>1160</v>
      </c>
      <c r="D1107" s="1">
        <v>2</v>
      </c>
      <c r="E1107" s="1">
        <v>0.1</v>
      </c>
      <c r="F1107" s="1" t="b">
        <v>0</v>
      </c>
      <c r="G1107">
        <f>VLOOKUP(C1107,Products!A:D,4,FALSE)</f>
        <v>1710</v>
      </c>
      <c r="H1107" t="str">
        <f>VLOOKUP(C1107,Products!A:D,3,FALSE)</f>
        <v>Home &amp; Kitchen</v>
      </c>
      <c r="I1107">
        <f t="shared" si="17"/>
        <v>3078</v>
      </c>
      <c r="J1107" s="2">
        <f>VLOOKUP(B1107,Orders!A:C,3,FALSE)</f>
        <v>46272</v>
      </c>
      <c r="K1107" s="1" t="str">
        <f>VLOOKUP(B1107,Orders!A:B,2,FALSE)</f>
        <v>C0162</v>
      </c>
    </row>
    <row r="1108" spans="1:11" x14ac:dyDescent="0.3">
      <c r="A1108" s="1" t="s">
        <v>2929</v>
      </c>
      <c r="B1108" s="1" t="s">
        <v>2928</v>
      </c>
      <c r="C1108" s="1" t="s">
        <v>1273</v>
      </c>
      <c r="D1108" s="1">
        <v>2</v>
      </c>
      <c r="E1108" s="1">
        <v>0.15</v>
      </c>
      <c r="F1108" s="1" t="b">
        <v>0</v>
      </c>
      <c r="G1108">
        <f>VLOOKUP(C1108,Products!A:D,4,FALSE)</f>
        <v>360</v>
      </c>
      <c r="H1108" t="str">
        <f>VLOOKUP(C1108,Products!A:D,3,FALSE)</f>
        <v>Beauty</v>
      </c>
      <c r="I1108">
        <f t="shared" si="17"/>
        <v>612</v>
      </c>
      <c r="J1108" s="2">
        <f>VLOOKUP(B1108,Orders!A:C,3,FALSE)</f>
        <v>46272</v>
      </c>
      <c r="K1108" s="1" t="str">
        <f>VLOOKUP(B1108,Orders!A:B,2,FALSE)</f>
        <v>C0162</v>
      </c>
    </row>
    <row r="1109" spans="1:11" x14ac:dyDescent="0.3">
      <c r="A1109" s="1" t="s">
        <v>2930</v>
      </c>
      <c r="B1109" s="1" t="s">
        <v>2931</v>
      </c>
      <c r="C1109" s="1" t="s">
        <v>1498</v>
      </c>
      <c r="D1109" s="1">
        <v>3</v>
      </c>
      <c r="E1109" s="1">
        <v>0.15</v>
      </c>
      <c r="F1109" s="1" t="b">
        <v>0</v>
      </c>
      <c r="G1109">
        <f>VLOOKUP(C1109,Products!A:D,4,FALSE)</f>
        <v>1910</v>
      </c>
      <c r="H1109" t="str">
        <f>VLOOKUP(C1109,Products!A:D,3,FALSE)</f>
        <v>Apparel</v>
      </c>
      <c r="I1109">
        <f t="shared" si="17"/>
        <v>4870.5</v>
      </c>
      <c r="J1109" s="2">
        <f>VLOOKUP(B1109,Orders!A:C,3,FALSE)</f>
        <v>45993</v>
      </c>
      <c r="K1109" s="1" t="str">
        <f>VLOOKUP(B1109,Orders!A:B,2,FALSE)</f>
        <v>C0142</v>
      </c>
    </row>
    <row r="1110" spans="1:11" x14ac:dyDescent="0.3">
      <c r="A1110" s="1" t="s">
        <v>2932</v>
      </c>
      <c r="B1110" s="1" t="s">
        <v>2931</v>
      </c>
      <c r="C1110" s="1" t="s">
        <v>1143</v>
      </c>
      <c r="D1110" s="1">
        <v>5</v>
      </c>
      <c r="E1110" s="1">
        <v>0.2</v>
      </c>
      <c r="F1110" s="1" t="b">
        <v>0</v>
      </c>
      <c r="G1110">
        <f>VLOOKUP(C1110,Products!A:D,4,FALSE)</f>
        <v>2230</v>
      </c>
      <c r="H1110" t="str">
        <f>VLOOKUP(C1110,Products!A:D,3,FALSE)</f>
        <v>Home &amp; Kitchen</v>
      </c>
      <c r="I1110">
        <f t="shared" si="17"/>
        <v>8920</v>
      </c>
      <c r="J1110" s="2">
        <f>VLOOKUP(B1110,Orders!A:C,3,FALSE)</f>
        <v>45993</v>
      </c>
      <c r="K1110" s="1" t="str">
        <f>VLOOKUP(B1110,Orders!A:B,2,FALSE)</f>
        <v>C0142</v>
      </c>
    </row>
    <row r="1111" spans="1:11" x14ac:dyDescent="0.3">
      <c r="A1111" s="1" t="s">
        <v>2933</v>
      </c>
      <c r="B1111" s="1" t="s">
        <v>2931</v>
      </c>
      <c r="C1111" s="1" t="s">
        <v>1431</v>
      </c>
      <c r="D1111" s="1">
        <v>5</v>
      </c>
      <c r="E1111" s="1">
        <v>0.15</v>
      </c>
      <c r="F1111" s="1" t="b">
        <v>0</v>
      </c>
      <c r="G1111">
        <f>VLOOKUP(C1111,Products!A:D,4,FALSE)</f>
        <v>2920</v>
      </c>
      <c r="H1111" t="str">
        <f>VLOOKUP(C1111,Products!A:D,3,FALSE)</f>
        <v>Home &amp; Kitchen</v>
      </c>
      <c r="I1111">
        <f t="shared" si="17"/>
        <v>12410</v>
      </c>
      <c r="J1111" s="2">
        <f>VLOOKUP(B1111,Orders!A:C,3,FALSE)</f>
        <v>45993</v>
      </c>
      <c r="K1111" s="1" t="str">
        <f>VLOOKUP(B1111,Orders!A:B,2,FALSE)</f>
        <v>C0142</v>
      </c>
    </row>
    <row r="1112" spans="1:11" x14ac:dyDescent="0.3">
      <c r="A1112" s="1" t="s">
        <v>2934</v>
      </c>
      <c r="B1112" s="1" t="s">
        <v>2931</v>
      </c>
      <c r="C1112" s="1" t="s">
        <v>1393</v>
      </c>
      <c r="D1112" s="1">
        <v>1</v>
      </c>
      <c r="E1112" s="1">
        <v>0.1</v>
      </c>
      <c r="F1112" s="1" t="b">
        <v>0</v>
      </c>
      <c r="G1112">
        <f>VLOOKUP(C1112,Products!A:D,4,FALSE)</f>
        <v>1520</v>
      </c>
      <c r="H1112" t="str">
        <f>VLOOKUP(C1112,Products!A:D,3,FALSE)</f>
        <v>Electronics</v>
      </c>
      <c r="I1112">
        <f t="shared" si="17"/>
        <v>1368</v>
      </c>
      <c r="J1112" s="2">
        <f>VLOOKUP(B1112,Orders!A:C,3,FALSE)</f>
        <v>45993</v>
      </c>
      <c r="K1112" s="1" t="str">
        <f>VLOOKUP(B1112,Orders!A:B,2,FALSE)</f>
        <v>C0142</v>
      </c>
    </row>
    <row r="1113" spans="1:11" x14ac:dyDescent="0.3">
      <c r="A1113" s="1" t="s">
        <v>2935</v>
      </c>
      <c r="B1113" s="1" t="s">
        <v>2936</v>
      </c>
      <c r="C1113" s="1" t="s">
        <v>1498</v>
      </c>
      <c r="D1113" s="1">
        <v>2</v>
      </c>
      <c r="E1113" s="1">
        <v>0</v>
      </c>
      <c r="F1113" s="1" t="b">
        <v>0</v>
      </c>
      <c r="G1113">
        <f>VLOOKUP(C1113,Products!A:D,4,FALSE)</f>
        <v>1910</v>
      </c>
      <c r="H1113" t="str">
        <f>VLOOKUP(C1113,Products!A:D,3,FALSE)</f>
        <v>Apparel</v>
      </c>
      <c r="I1113">
        <f t="shared" si="17"/>
        <v>3820</v>
      </c>
      <c r="J1113" s="2">
        <f>VLOOKUP(B1113,Orders!A:C,3,FALSE)</f>
        <v>46107</v>
      </c>
      <c r="K1113" s="1" t="str">
        <f>VLOOKUP(B1113,Orders!A:B,2,FALSE)</f>
        <v>C0284</v>
      </c>
    </row>
    <row r="1114" spans="1:11" x14ac:dyDescent="0.3">
      <c r="A1114" s="1" t="s">
        <v>2937</v>
      </c>
      <c r="B1114" s="1" t="s">
        <v>2938</v>
      </c>
      <c r="C1114" s="1" t="s">
        <v>1294</v>
      </c>
      <c r="D1114" s="1">
        <v>4</v>
      </c>
      <c r="E1114" s="1">
        <v>0.05</v>
      </c>
      <c r="F1114" s="1" t="b">
        <v>0</v>
      </c>
      <c r="G1114">
        <f>VLOOKUP(C1114,Products!A:D,4,FALSE)</f>
        <v>210</v>
      </c>
      <c r="H1114" t="str">
        <f>VLOOKUP(C1114,Products!A:D,3,FALSE)</f>
        <v>Electronics</v>
      </c>
      <c r="I1114">
        <f t="shared" si="17"/>
        <v>798</v>
      </c>
      <c r="J1114" s="2">
        <f>VLOOKUP(B1114,Orders!A:C,3,FALSE)</f>
        <v>45905</v>
      </c>
      <c r="K1114" s="1" t="str">
        <f>VLOOKUP(B1114,Orders!A:B,2,FALSE)</f>
        <v>C0146</v>
      </c>
    </row>
    <row r="1115" spans="1:11" x14ac:dyDescent="0.3">
      <c r="A1115" s="1" t="s">
        <v>2939</v>
      </c>
      <c r="B1115" s="1" t="s">
        <v>2940</v>
      </c>
      <c r="C1115" s="1" t="s">
        <v>1656</v>
      </c>
      <c r="D1115" s="1">
        <v>2</v>
      </c>
      <c r="E1115" s="1">
        <v>0.2</v>
      </c>
      <c r="F1115" s="1" t="b">
        <v>0</v>
      </c>
      <c r="G1115">
        <f>VLOOKUP(C1115,Products!A:D,4,FALSE)</f>
        <v>1240</v>
      </c>
      <c r="H1115" t="str">
        <f>VLOOKUP(C1115,Products!A:D,3,FALSE)</f>
        <v>Beauty</v>
      </c>
      <c r="I1115">
        <f t="shared" si="17"/>
        <v>1984</v>
      </c>
      <c r="J1115" s="2">
        <f>VLOOKUP(B1115,Orders!A:C,3,FALSE)</f>
        <v>45911</v>
      </c>
      <c r="K1115" s="1" t="str">
        <f>VLOOKUP(B1115,Orders!A:B,2,FALSE)</f>
        <v>C0155</v>
      </c>
    </row>
    <row r="1116" spans="1:11" x14ac:dyDescent="0.3">
      <c r="A1116" s="1" t="s">
        <v>2941</v>
      </c>
      <c r="B1116" s="1" t="s">
        <v>2942</v>
      </c>
      <c r="C1116" s="1" t="s">
        <v>1197</v>
      </c>
      <c r="D1116" s="1">
        <v>2</v>
      </c>
      <c r="E1116" s="1">
        <v>0</v>
      </c>
      <c r="F1116" s="1" t="b">
        <v>0</v>
      </c>
      <c r="G1116">
        <f>VLOOKUP(C1116,Products!A:D,4,FALSE)</f>
        <v>2050</v>
      </c>
      <c r="H1116" t="str">
        <f>VLOOKUP(C1116,Products!A:D,3,FALSE)</f>
        <v>Apparel</v>
      </c>
      <c r="I1116">
        <f t="shared" si="17"/>
        <v>4100</v>
      </c>
      <c r="J1116" s="2">
        <f>VLOOKUP(B1116,Orders!A:C,3,FALSE)</f>
        <v>46078</v>
      </c>
      <c r="K1116" s="1" t="str">
        <f>VLOOKUP(B1116,Orders!A:B,2,FALSE)</f>
        <v>C0261</v>
      </c>
    </row>
    <row r="1117" spans="1:11" x14ac:dyDescent="0.3">
      <c r="A1117" s="1" t="s">
        <v>2943</v>
      </c>
      <c r="B1117" s="1" t="s">
        <v>2944</v>
      </c>
      <c r="C1117" s="1" t="s">
        <v>1484</v>
      </c>
      <c r="D1117" s="1">
        <v>4</v>
      </c>
      <c r="E1117" s="1">
        <v>0</v>
      </c>
      <c r="F1117" s="1" t="b">
        <v>0</v>
      </c>
      <c r="G1117">
        <f>VLOOKUP(C1117,Products!A:D,4,FALSE)</f>
        <v>1080</v>
      </c>
      <c r="H1117" t="str">
        <f>VLOOKUP(C1117,Products!A:D,3,FALSE)</f>
        <v>Home &amp; Kitchen</v>
      </c>
      <c r="I1117">
        <f t="shared" si="17"/>
        <v>4320</v>
      </c>
      <c r="J1117" s="2">
        <f>VLOOKUP(B1117,Orders!A:C,3,FALSE)</f>
        <v>45757</v>
      </c>
      <c r="K1117" s="1" t="str">
        <f>VLOOKUP(B1117,Orders!A:B,2,FALSE)</f>
        <v>C0152</v>
      </c>
    </row>
    <row r="1118" spans="1:11" x14ac:dyDescent="0.3">
      <c r="A1118" s="1" t="s">
        <v>2945</v>
      </c>
      <c r="B1118" s="1" t="s">
        <v>2944</v>
      </c>
      <c r="C1118" s="1" t="s">
        <v>1213</v>
      </c>
      <c r="D1118" s="1">
        <v>2</v>
      </c>
      <c r="E1118" s="1">
        <v>0</v>
      </c>
      <c r="F1118" s="1" t="b">
        <v>0</v>
      </c>
      <c r="G1118">
        <f>VLOOKUP(C1118,Products!A:D,4,FALSE)</f>
        <v>1765</v>
      </c>
      <c r="H1118" t="str">
        <f>VLOOKUP(C1118,Products!A:D,3,FALSE)</f>
        <v>Beauty</v>
      </c>
      <c r="I1118">
        <f t="shared" si="17"/>
        <v>3530</v>
      </c>
      <c r="J1118" s="2">
        <f>VLOOKUP(B1118,Orders!A:C,3,FALSE)</f>
        <v>45757</v>
      </c>
      <c r="K1118" s="1" t="str">
        <f>VLOOKUP(B1118,Orders!A:B,2,FALSE)</f>
        <v>C0152</v>
      </c>
    </row>
    <row r="1119" spans="1:11" x14ac:dyDescent="0.3">
      <c r="A1119" s="1" t="s">
        <v>2946</v>
      </c>
      <c r="B1119" s="1" t="s">
        <v>2947</v>
      </c>
      <c r="C1119" s="1" t="s">
        <v>1468</v>
      </c>
      <c r="D1119" s="1">
        <v>4</v>
      </c>
      <c r="E1119" s="1">
        <v>0.05</v>
      </c>
      <c r="F1119" s="1" t="b">
        <v>0</v>
      </c>
      <c r="G1119">
        <f>VLOOKUP(C1119,Products!A:D,4,FALSE)</f>
        <v>2040</v>
      </c>
      <c r="H1119" t="str">
        <f>VLOOKUP(C1119,Products!A:D,3,FALSE)</f>
        <v>Books</v>
      </c>
      <c r="I1119">
        <f t="shared" si="17"/>
        <v>7752</v>
      </c>
      <c r="J1119" s="2">
        <f>VLOOKUP(B1119,Orders!A:C,3,FALSE)</f>
        <v>46247</v>
      </c>
      <c r="K1119" s="1" t="str">
        <f>VLOOKUP(B1119,Orders!A:B,2,FALSE)</f>
        <v>C0254</v>
      </c>
    </row>
    <row r="1120" spans="1:11" x14ac:dyDescent="0.3">
      <c r="A1120" s="1" t="s">
        <v>2948</v>
      </c>
      <c r="B1120" s="1" t="s">
        <v>2949</v>
      </c>
      <c r="C1120" s="1" t="s">
        <v>1431</v>
      </c>
      <c r="D1120" s="1">
        <v>4</v>
      </c>
      <c r="E1120" s="1">
        <v>0.15</v>
      </c>
      <c r="F1120" s="1" t="b">
        <v>0</v>
      </c>
      <c r="G1120">
        <f>VLOOKUP(C1120,Products!A:D,4,FALSE)</f>
        <v>2920</v>
      </c>
      <c r="H1120" t="str">
        <f>VLOOKUP(C1120,Products!A:D,3,FALSE)</f>
        <v>Home &amp; Kitchen</v>
      </c>
      <c r="I1120">
        <f t="shared" si="17"/>
        <v>9928</v>
      </c>
      <c r="J1120" s="2">
        <f>VLOOKUP(B1120,Orders!A:C,3,FALSE)</f>
        <v>46019</v>
      </c>
      <c r="K1120" s="1" t="str">
        <f>VLOOKUP(B1120,Orders!A:B,2,FALSE)</f>
        <v>C0256</v>
      </c>
    </row>
    <row r="1121" spans="1:11" x14ac:dyDescent="0.3">
      <c r="A1121" s="1" t="s">
        <v>2950</v>
      </c>
      <c r="B1121" s="1" t="s">
        <v>2949</v>
      </c>
      <c r="C1121" s="1" t="s">
        <v>1393</v>
      </c>
      <c r="D1121" s="1">
        <v>2</v>
      </c>
      <c r="E1121" s="1">
        <v>0</v>
      </c>
      <c r="F1121" s="1" t="b">
        <v>0</v>
      </c>
      <c r="G1121">
        <f>VLOOKUP(C1121,Products!A:D,4,FALSE)</f>
        <v>1520</v>
      </c>
      <c r="H1121" t="str">
        <f>VLOOKUP(C1121,Products!A:D,3,FALSE)</f>
        <v>Electronics</v>
      </c>
      <c r="I1121">
        <f t="shared" si="17"/>
        <v>3040</v>
      </c>
      <c r="J1121" s="2">
        <f>VLOOKUP(B1121,Orders!A:C,3,FALSE)</f>
        <v>46019</v>
      </c>
      <c r="K1121" s="1" t="str">
        <f>VLOOKUP(B1121,Orders!A:B,2,FALSE)</f>
        <v>C0256</v>
      </c>
    </row>
    <row r="1122" spans="1:11" x14ac:dyDescent="0.3">
      <c r="A1122" s="1" t="s">
        <v>2951</v>
      </c>
      <c r="B1122" s="1" t="s">
        <v>2952</v>
      </c>
      <c r="C1122" s="1" t="s">
        <v>1249</v>
      </c>
      <c r="D1122" s="1">
        <v>3</v>
      </c>
      <c r="E1122" s="1">
        <v>0.2</v>
      </c>
      <c r="F1122" s="1" t="b">
        <v>0</v>
      </c>
      <c r="G1122">
        <f>VLOOKUP(C1122,Products!A:D,4,FALSE)</f>
        <v>3630</v>
      </c>
      <c r="H1122" t="str">
        <f>VLOOKUP(C1122,Products!A:D,3,FALSE)</f>
        <v>Electronics</v>
      </c>
      <c r="I1122">
        <f t="shared" si="17"/>
        <v>8712</v>
      </c>
      <c r="J1122" s="2">
        <f>VLOOKUP(B1122,Orders!A:C,3,FALSE)</f>
        <v>45872</v>
      </c>
      <c r="K1122" s="1" t="str">
        <f>VLOOKUP(B1122,Orders!A:B,2,FALSE)</f>
        <v>C0037</v>
      </c>
    </row>
    <row r="1123" spans="1:11" x14ac:dyDescent="0.3">
      <c r="A1123" s="1" t="s">
        <v>2953</v>
      </c>
      <c r="B1123" s="1" t="s">
        <v>2954</v>
      </c>
      <c r="C1123" s="1" t="s">
        <v>1184</v>
      </c>
      <c r="D1123" s="1">
        <v>2</v>
      </c>
      <c r="E1123" s="1">
        <v>0.15</v>
      </c>
      <c r="F1123" s="1" t="b">
        <v>0</v>
      </c>
      <c r="G1123">
        <f>VLOOKUP(C1123,Products!A:D,4,FALSE)</f>
        <v>2230</v>
      </c>
      <c r="H1123" t="str">
        <f>VLOOKUP(C1123,Products!A:D,3,FALSE)</f>
        <v>Sports</v>
      </c>
      <c r="I1123">
        <f t="shared" si="17"/>
        <v>3791</v>
      </c>
      <c r="J1123" s="2">
        <f>VLOOKUP(B1123,Orders!A:C,3,FALSE)</f>
        <v>46083</v>
      </c>
      <c r="K1123" s="1" t="str">
        <f>VLOOKUP(B1123,Orders!A:B,2,FALSE)</f>
        <v>C0185</v>
      </c>
    </row>
    <row r="1124" spans="1:11" x14ac:dyDescent="0.3">
      <c r="A1124" s="1" t="s">
        <v>2955</v>
      </c>
      <c r="B1124" s="1" t="s">
        <v>2954</v>
      </c>
      <c r="C1124" s="1" t="s">
        <v>1157</v>
      </c>
      <c r="D1124" s="1">
        <v>4</v>
      </c>
      <c r="E1124" s="1">
        <v>0.2</v>
      </c>
      <c r="F1124" s="1" t="b">
        <v>0</v>
      </c>
      <c r="G1124">
        <f>VLOOKUP(C1124,Products!A:D,4,FALSE)</f>
        <v>1520</v>
      </c>
      <c r="H1124" t="str">
        <f>VLOOKUP(C1124,Products!A:D,3,FALSE)</f>
        <v>Books</v>
      </c>
      <c r="I1124">
        <f t="shared" si="17"/>
        <v>4864</v>
      </c>
      <c r="J1124" s="2">
        <f>VLOOKUP(B1124,Orders!A:C,3,FALSE)</f>
        <v>46083</v>
      </c>
      <c r="K1124" s="1" t="str">
        <f>VLOOKUP(B1124,Orders!A:B,2,FALSE)</f>
        <v>C0185</v>
      </c>
    </row>
    <row r="1125" spans="1:11" x14ac:dyDescent="0.3">
      <c r="A1125" s="1" t="s">
        <v>2956</v>
      </c>
      <c r="B1125" s="1" t="s">
        <v>2954</v>
      </c>
      <c r="C1125" s="1" t="s">
        <v>1288</v>
      </c>
      <c r="D1125" s="1">
        <v>1</v>
      </c>
      <c r="E1125" s="1">
        <v>0.2</v>
      </c>
      <c r="F1125" s="1" t="b">
        <v>0</v>
      </c>
      <c r="G1125">
        <f>VLOOKUP(C1125,Products!A:D,4,FALSE)</f>
        <v>2580</v>
      </c>
      <c r="H1125" t="str">
        <f>VLOOKUP(C1125,Products!A:D,3,FALSE)</f>
        <v>Beauty</v>
      </c>
      <c r="I1125">
        <f t="shared" si="17"/>
        <v>2064</v>
      </c>
      <c r="J1125" s="2">
        <f>VLOOKUP(B1125,Orders!A:C,3,FALSE)</f>
        <v>46083</v>
      </c>
      <c r="K1125" s="1" t="str">
        <f>VLOOKUP(B1125,Orders!A:B,2,FALSE)</f>
        <v>C0185</v>
      </c>
    </row>
    <row r="1126" spans="1:11" x14ac:dyDescent="0.3">
      <c r="A1126" s="1" t="s">
        <v>2957</v>
      </c>
      <c r="B1126" s="1" t="s">
        <v>2958</v>
      </c>
      <c r="C1126" s="1" t="s">
        <v>1225</v>
      </c>
      <c r="D1126" s="1">
        <v>5</v>
      </c>
      <c r="E1126" s="1">
        <v>0</v>
      </c>
      <c r="F1126" s="1" t="b">
        <v>0</v>
      </c>
      <c r="G1126">
        <f>VLOOKUP(C1126,Products!A:D,4,FALSE)</f>
        <v>2690</v>
      </c>
      <c r="H1126" t="str">
        <f>VLOOKUP(C1126,Products!A:D,3,FALSE)</f>
        <v>Beauty</v>
      </c>
      <c r="I1126">
        <f t="shared" si="17"/>
        <v>13450</v>
      </c>
      <c r="J1126" s="2">
        <f>VLOOKUP(B1126,Orders!A:C,3,FALSE)</f>
        <v>45842</v>
      </c>
      <c r="K1126" s="1" t="str">
        <f>VLOOKUP(B1126,Orders!A:B,2,FALSE)</f>
        <v>C0199</v>
      </c>
    </row>
    <row r="1127" spans="1:11" x14ac:dyDescent="0.3">
      <c r="A1127" s="1" t="s">
        <v>2959</v>
      </c>
      <c r="B1127" s="1" t="s">
        <v>2958</v>
      </c>
      <c r="C1127" s="1" t="s">
        <v>1656</v>
      </c>
      <c r="D1127" s="1">
        <v>4</v>
      </c>
      <c r="E1127" s="1">
        <v>0</v>
      </c>
      <c r="F1127" s="1" t="b">
        <v>0</v>
      </c>
      <c r="G1127">
        <f>VLOOKUP(C1127,Products!A:D,4,FALSE)</f>
        <v>1240</v>
      </c>
      <c r="H1127" t="str">
        <f>VLOOKUP(C1127,Products!A:D,3,FALSE)</f>
        <v>Beauty</v>
      </c>
      <c r="I1127">
        <f t="shared" si="17"/>
        <v>4960</v>
      </c>
      <c r="J1127" s="2">
        <f>VLOOKUP(B1127,Orders!A:C,3,FALSE)</f>
        <v>45842</v>
      </c>
      <c r="K1127" s="1" t="str">
        <f>VLOOKUP(B1127,Orders!A:B,2,FALSE)</f>
        <v>C0199</v>
      </c>
    </row>
    <row r="1128" spans="1:11" x14ac:dyDescent="0.3">
      <c r="A1128" s="1" t="s">
        <v>2960</v>
      </c>
      <c r="B1128" s="1" t="s">
        <v>2958</v>
      </c>
      <c r="C1128" s="1" t="s">
        <v>1216</v>
      </c>
      <c r="D1128" s="1">
        <v>4</v>
      </c>
      <c r="E1128" s="1">
        <v>0.2</v>
      </c>
      <c r="F1128" s="1" t="b">
        <v>0</v>
      </c>
      <c r="G1128">
        <f>VLOOKUP(C1128,Products!A:D,4,FALSE)</f>
        <v>1240</v>
      </c>
      <c r="H1128" t="str">
        <f>VLOOKUP(C1128,Products!A:D,3,FALSE)</f>
        <v>Apparel</v>
      </c>
      <c r="I1128">
        <f t="shared" si="17"/>
        <v>3968</v>
      </c>
      <c r="J1128" s="2">
        <f>VLOOKUP(B1128,Orders!A:C,3,FALSE)</f>
        <v>45842</v>
      </c>
      <c r="K1128" s="1" t="str">
        <f>VLOOKUP(B1128,Orders!A:B,2,FALSE)</f>
        <v>C0199</v>
      </c>
    </row>
    <row r="1129" spans="1:11" x14ac:dyDescent="0.3">
      <c r="A1129" s="1" t="s">
        <v>2961</v>
      </c>
      <c r="B1129" s="1" t="s">
        <v>2962</v>
      </c>
      <c r="C1129" s="1" t="s">
        <v>1163</v>
      </c>
      <c r="D1129" s="1">
        <v>2</v>
      </c>
      <c r="E1129" s="1">
        <v>0</v>
      </c>
      <c r="F1129" s="1" t="b">
        <v>0</v>
      </c>
      <c r="G1129">
        <f>VLOOKUP(C1129,Products!A:D,4,FALSE)</f>
        <v>2180</v>
      </c>
      <c r="H1129" t="str">
        <f>VLOOKUP(C1129,Products!A:D,3,FALSE)</f>
        <v>Electronics</v>
      </c>
      <c r="I1129">
        <f t="shared" si="17"/>
        <v>4360</v>
      </c>
      <c r="J1129" s="2">
        <f>VLOOKUP(B1129,Orders!A:C,3,FALSE)</f>
        <v>46220</v>
      </c>
      <c r="K1129" s="1" t="str">
        <f>VLOOKUP(B1129,Orders!A:B,2,FALSE)</f>
        <v>C0216</v>
      </c>
    </row>
    <row r="1130" spans="1:11" x14ac:dyDescent="0.3">
      <c r="A1130" s="1" t="s">
        <v>2963</v>
      </c>
      <c r="B1130" s="1" t="s">
        <v>2962</v>
      </c>
      <c r="C1130" s="1" t="s">
        <v>1564</v>
      </c>
      <c r="D1130" s="1">
        <v>5</v>
      </c>
      <c r="E1130" s="1">
        <v>0</v>
      </c>
      <c r="F1130" s="1" t="b">
        <v>0</v>
      </c>
      <c r="G1130">
        <f>VLOOKUP(C1130,Products!A:D,4,FALSE)</f>
        <v>3680</v>
      </c>
      <c r="H1130" t="str">
        <f>VLOOKUP(C1130,Products!A:D,3,FALSE)</f>
        <v>Home &amp; Kitchen</v>
      </c>
      <c r="I1130">
        <f t="shared" si="17"/>
        <v>18400</v>
      </c>
      <c r="J1130" s="2">
        <f>VLOOKUP(B1130,Orders!A:C,3,FALSE)</f>
        <v>46220</v>
      </c>
      <c r="K1130" s="1" t="str">
        <f>VLOOKUP(B1130,Orders!A:B,2,FALSE)</f>
        <v>C0216</v>
      </c>
    </row>
    <row r="1131" spans="1:11" x14ac:dyDescent="0.3">
      <c r="A1131" s="1" t="s">
        <v>2964</v>
      </c>
      <c r="B1131" s="1" t="s">
        <v>2965</v>
      </c>
      <c r="C1131" s="1" t="s">
        <v>1109</v>
      </c>
      <c r="D1131" s="1">
        <v>5</v>
      </c>
      <c r="E1131" s="1">
        <v>0</v>
      </c>
      <c r="F1131" s="1" t="b">
        <v>0</v>
      </c>
      <c r="G1131">
        <f>VLOOKUP(C1131,Products!A:D,4,FALSE)</f>
        <v>1475</v>
      </c>
      <c r="H1131" t="str">
        <f>VLOOKUP(C1131,Products!A:D,3,FALSE)</f>
        <v>Books</v>
      </c>
      <c r="I1131">
        <f t="shared" si="17"/>
        <v>7375</v>
      </c>
      <c r="J1131" s="2">
        <f>VLOOKUP(B1131,Orders!A:C,3,FALSE)</f>
        <v>46207</v>
      </c>
      <c r="K1131" s="1" t="str">
        <f>VLOOKUP(B1131,Orders!A:B,2,FALSE)</f>
        <v>C0242</v>
      </c>
    </row>
    <row r="1132" spans="1:11" x14ac:dyDescent="0.3">
      <c r="A1132" s="1" t="s">
        <v>2966</v>
      </c>
      <c r="B1132" s="1" t="s">
        <v>2965</v>
      </c>
      <c r="C1132" s="1" t="s">
        <v>1273</v>
      </c>
      <c r="D1132" s="1">
        <v>1</v>
      </c>
      <c r="E1132" s="1">
        <v>0</v>
      </c>
      <c r="F1132" s="1" t="b">
        <v>0</v>
      </c>
      <c r="G1132">
        <f>VLOOKUP(C1132,Products!A:D,4,FALSE)</f>
        <v>360</v>
      </c>
      <c r="H1132" t="str">
        <f>VLOOKUP(C1132,Products!A:D,3,FALSE)</f>
        <v>Beauty</v>
      </c>
      <c r="I1132">
        <f t="shared" si="17"/>
        <v>360</v>
      </c>
      <c r="J1132" s="2">
        <f>VLOOKUP(B1132,Orders!A:C,3,FALSE)</f>
        <v>46207</v>
      </c>
      <c r="K1132" s="1" t="str">
        <f>VLOOKUP(B1132,Orders!A:B,2,FALSE)</f>
        <v>C0242</v>
      </c>
    </row>
    <row r="1133" spans="1:11" x14ac:dyDescent="0.3">
      <c r="A1133" s="1" t="s">
        <v>2967</v>
      </c>
      <c r="B1133" s="1" t="s">
        <v>2968</v>
      </c>
      <c r="C1133" s="1" t="s">
        <v>1225</v>
      </c>
      <c r="D1133" s="1">
        <v>3</v>
      </c>
      <c r="E1133" s="1">
        <v>0.2</v>
      </c>
      <c r="F1133" s="1" t="b">
        <v>0</v>
      </c>
      <c r="G1133">
        <f>VLOOKUP(C1133,Products!A:D,4,FALSE)</f>
        <v>2690</v>
      </c>
      <c r="H1133" t="str">
        <f>VLOOKUP(C1133,Products!A:D,3,FALSE)</f>
        <v>Beauty</v>
      </c>
      <c r="I1133">
        <f t="shared" si="17"/>
        <v>6456</v>
      </c>
      <c r="J1133" s="2">
        <f>VLOOKUP(B1133,Orders!A:C,3,FALSE)</f>
        <v>45853</v>
      </c>
      <c r="K1133" s="1" t="str">
        <f>VLOOKUP(B1133,Orders!A:B,2,FALSE)</f>
        <v>C0009</v>
      </c>
    </row>
    <row r="1134" spans="1:11" x14ac:dyDescent="0.3">
      <c r="A1134" s="1" t="s">
        <v>2969</v>
      </c>
      <c r="B1134" s="1" t="s">
        <v>2968</v>
      </c>
      <c r="C1134" s="1" t="s">
        <v>1109</v>
      </c>
      <c r="D1134" s="1">
        <v>4</v>
      </c>
      <c r="E1134" s="1">
        <v>0.2</v>
      </c>
      <c r="F1134" s="1" t="b">
        <v>0</v>
      </c>
      <c r="G1134">
        <f>VLOOKUP(C1134,Products!A:D,4,FALSE)</f>
        <v>1475</v>
      </c>
      <c r="H1134" t="str">
        <f>VLOOKUP(C1134,Products!A:D,3,FALSE)</f>
        <v>Books</v>
      </c>
      <c r="I1134">
        <f t="shared" si="17"/>
        <v>4720</v>
      </c>
      <c r="J1134" s="2">
        <f>VLOOKUP(B1134,Orders!A:C,3,FALSE)</f>
        <v>45853</v>
      </c>
      <c r="K1134" s="1" t="str">
        <f>VLOOKUP(B1134,Orders!A:B,2,FALSE)</f>
        <v>C0009</v>
      </c>
    </row>
    <row r="1135" spans="1:11" x14ac:dyDescent="0.3">
      <c r="A1135" s="1" t="s">
        <v>2970</v>
      </c>
      <c r="B1135" s="1" t="s">
        <v>2971</v>
      </c>
      <c r="C1135" s="1" t="s">
        <v>1484</v>
      </c>
      <c r="D1135" s="1">
        <v>4</v>
      </c>
      <c r="E1135" s="1">
        <v>0</v>
      </c>
      <c r="F1135" s="1" t="b">
        <v>0</v>
      </c>
      <c r="G1135">
        <f>VLOOKUP(C1135,Products!A:D,4,FALSE)</f>
        <v>1080</v>
      </c>
      <c r="H1135" t="str">
        <f>VLOOKUP(C1135,Products!A:D,3,FALSE)</f>
        <v>Home &amp; Kitchen</v>
      </c>
      <c r="I1135">
        <f t="shared" si="17"/>
        <v>4320</v>
      </c>
      <c r="J1135" s="2">
        <f>VLOOKUP(B1135,Orders!A:C,3,FALSE)</f>
        <v>45795</v>
      </c>
      <c r="K1135" s="1" t="str">
        <f>VLOOKUP(B1135,Orders!A:B,2,FALSE)</f>
        <v>C0135</v>
      </c>
    </row>
    <row r="1136" spans="1:11" x14ac:dyDescent="0.3">
      <c r="A1136" s="1" t="s">
        <v>2972</v>
      </c>
      <c r="B1136" s="1" t="s">
        <v>2971</v>
      </c>
      <c r="C1136" s="1" t="s">
        <v>1459</v>
      </c>
      <c r="D1136" s="1">
        <v>1</v>
      </c>
      <c r="E1136" s="1">
        <v>0</v>
      </c>
      <c r="F1136" s="1" t="b">
        <v>0</v>
      </c>
      <c r="G1136">
        <f>VLOOKUP(C1136,Products!A:D,4,FALSE)</f>
        <v>710</v>
      </c>
      <c r="H1136" t="str">
        <f>VLOOKUP(C1136,Products!A:D,3,FALSE)</f>
        <v>Sports</v>
      </c>
      <c r="I1136">
        <f t="shared" si="17"/>
        <v>710</v>
      </c>
      <c r="J1136" s="2">
        <f>VLOOKUP(B1136,Orders!A:C,3,FALSE)</f>
        <v>45795</v>
      </c>
      <c r="K1136" s="1" t="str">
        <f>VLOOKUP(B1136,Orders!A:B,2,FALSE)</f>
        <v>C0135</v>
      </c>
    </row>
    <row r="1137" spans="1:11" x14ac:dyDescent="0.3">
      <c r="A1137" s="1" t="s">
        <v>2973</v>
      </c>
      <c r="B1137" s="1" t="s">
        <v>2974</v>
      </c>
      <c r="C1137" s="1" t="s">
        <v>1278</v>
      </c>
      <c r="D1137" s="1">
        <v>4</v>
      </c>
      <c r="E1137" s="1">
        <v>0.05</v>
      </c>
      <c r="F1137" s="1" t="b">
        <v>0</v>
      </c>
      <c r="G1137">
        <f>VLOOKUP(C1137,Products!A:D,4,FALSE)</f>
        <v>330</v>
      </c>
      <c r="H1137" t="str">
        <f>VLOOKUP(C1137,Products!A:D,3,FALSE)</f>
        <v>Books</v>
      </c>
      <c r="I1137">
        <f t="shared" si="17"/>
        <v>1254</v>
      </c>
      <c r="J1137" s="2">
        <f>VLOOKUP(B1137,Orders!A:C,3,FALSE)</f>
        <v>46080</v>
      </c>
      <c r="K1137" s="1" t="str">
        <f>VLOOKUP(B1137,Orders!A:B,2,FALSE)</f>
        <v>C0204</v>
      </c>
    </row>
    <row r="1138" spans="1:11" x14ac:dyDescent="0.3">
      <c r="A1138" s="1" t="s">
        <v>2975</v>
      </c>
      <c r="B1138" s="1" t="s">
        <v>2976</v>
      </c>
      <c r="C1138" s="1" t="s">
        <v>1320</v>
      </c>
      <c r="D1138" s="1">
        <v>1</v>
      </c>
      <c r="E1138" s="1">
        <v>0.05</v>
      </c>
      <c r="F1138" s="1" t="b">
        <v>0</v>
      </c>
      <c r="G1138">
        <f>VLOOKUP(C1138,Products!A:D,4,FALSE)</f>
        <v>2790</v>
      </c>
      <c r="H1138" t="str">
        <f>VLOOKUP(C1138,Products!A:D,3,FALSE)</f>
        <v>Electronics</v>
      </c>
      <c r="I1138">
        <f t="shared" si="17"/>
        <v>2650.5</v>
      </c>
      <c r="J1138" s="2">
        <f>VLOOKUP(B1138,Orders!A:C,3,FALSE)</f>
        <v>45911</v>
      </c>
      <c r="K1138" s="1" t="str">
        <f>VLOOKUP(B1138,Orders!A:B,2,FALSE)</f>
        <v>C0213</v>
      </c>
    </row>
    <row r="1139" spans="1:11" x14ac:dyDescent="0.3">
      <c r="A1139" s="1" t="s">
        <v>2977</v>
      </c>
      <c r="B1139" s="1" t="s">
        <v>2978</v>
      </c>
      <c r="C1139" s="1" t="s">
        <v>1213</v>
      </c>
      <c r="D1139" s="1">
        <v>3</v>
      </c>
      <c r="E1139" s="1">
        <v>0.1</v>
      </c>
      <c r="F1139" s="1" t="b">
        <v>0</v>
      </c>
      <c r="G1139">
        <f>VLOOKUP(C1139,Products!A:D,4,FALSE)</f>
        <v>1765</v>
      </c>
      <c r="H1139" t="str">
        <f>VLOOKUP(C1139,Products!A:D,3,FALSE)</f>
        <v>Beauty</v>
      </c>
      <c r="I1139">
        <f t="shared" si="17"/>
        <v>4765.5</v>
      </c>
      <c r="J1139" s="2">
        <f>VLOOKUP(B1139,Orders!A:C,3,FALSE)</f>
        <v>45825</v>
      </c>
      <c r="K1139" s="1" t="str">
        <f>VLOOKUP(B1139,Orders!A:B,2,FALSE)</f>
        <v>C0043</v>
      </c>
    </row>
    <row r="1140" spans="1:11" x14ac:dyDescent="0.3">
      <c r="A1140" s="1" t="s">
        <v>2979</v>
      </c>
      <c r="B1140" s="1" t="s">
        <v>2978</v>
      </c>
      <c r="C1140" s="1" t="s">
        <v>1140</v>
      </c>
      <c r="D1140" s="1">
        <v>4</v>
      </c>
      <c r="E1140" s="1">
        <v>0.15</v>
      </c>
      <c r="F1140" s="1" t="b">
        <v>0</v>
      </c>
      <c r="G1140">
        <f>VLOOKUP(C1140,Products!A:D,4,FALSE)</f>
        <v>3040</v>
      </c>
      <c r="H1140" t="str">
        <f>VLOOKUP(C1140,Products!A:D,3,FALSE)</f>
        <v>Electronics</v>
      </c>
      <c r="I1140">
        <f t="shared" si="17"/>
        <v>10336</v>
      </c>
      <c r="J1140" s="2">
        <f>VLOOKUP(B1140,Orders!A:C,3,FALSE)</f>
        <v>45825</v>
      </c>
      <c r="K1140" s="1" t="str">
        <f>VLOOKUP(B1140,Orders!A:B,2,FALSE)</f>
        <v>C0043</v>
      </c>
    </row>
    <row r="1141" spans="1:11" x14ac:dyDescent="0.3">
      <c r="A1141" s="1" t="s">
        <v>2980</v>
      </c>
      <c r="B1141" s="1" t="s">
        <v>2981</v>
      </c>
      <c r="C1141" s="1" t="s">
        <v>1278</v>
      </c>
      <c r="D1141" s="1">
        <v>2</v>
      </c>
      <c r="E1141" s="1">
        <v>0</v>
      </c>
      <c r="F1141" s="1" t="b">
        <v>0</v>
      </c>
      <c r="G1141">
        <f>VLOOKUP(C1141,Products!A:D,4,FALSE)</f>
        <v>330</v>
      </c>
      <c r="H1141" t="str">
        <f>VLOOKUP(C1141,Products!A:D,3,FALSE)</f>
        <v>Books</v>
      </c>
      <c r="I1141">
        <f t="shared" si="17"/>
        <v>660</v>
      </c>
      <c r="J1141" s="2">
        <f>VLOOKUP(B1141,Orders!A:C,3,FALSE)</f>
        <v>45885</v>
      </c>
      <c r="K1141" s="1" t="str">
        <f>VLOOKUP(B1141,Orders!A:B,2,FALSE)</f>
        <v>C0079</v>
      </c>
    </row>
    <row r="1142" spans="1:11" x14ac:dyDescent="0.3">
      <c r="A1142" s="1" t="s">
        <v>2982</v>
      </c>
      <c r="B1142" s="1" t="s">
        <v>2983</v>
      </c>
      <c r="C1142" s="1" t="s">
        <v>1462</v>
      </c>
      <c r="D1142" s="1">
        <v>3</v>
      </c>
      <c r="E1142" s="1">
        <v>0</v>
      </c>
      <c r="F1142" s="1" t="b">
        <v>0</v>
      </c>
      <c r="G1142">
        <f>VLOOKUP(C1142,Products!A:D,4,FALSE)</f>
        <v>3070</v>
      </c>
      <c r="H1142" t="str">
        <f>VLOOKUP(C1142,Products!A:D,3,FALSE)</f>
        <v>Apparel</v>
      </c>
      <c r="I1142">
        <f t="shared" si="17"/>
        <v>9210</v>
      </c>
      <c r="J1142" s="2">
        <f>VLOOKUP(B1142,Orders!A:C,3,FALSE)</f>
        <v>45799</v>
      </c>
      <c r="K1142" s="1" t="str">
        <f>VLOOKUP(B1142,Orders!A:B,2,FALSE)</f>
        <v>C0041</v>
      </c>
    </row>
    <row r="1143" spans="1:11" x14ac:dyDescent="0.3">
      <c r="A1143" s="1" t="s">
        <v>2984</v>
      </c>
      <c r="B1143" s="1" t="s">
        <v>2985</v>
      </c>
      <c r="C1143" s="1" t="s">
        <v>1333</v>
      </c>
      <c r="D1143" s="1">
        <v>1</v>
      </c>
      <c r="E1143" s="1">
        <v>0.2</v>
      </c>
      <c r="F1143" s="1" t="b">
        <v>0</v>
      </c>
      <c r="G1143">
        <f>VLOOKUP(C1143,Products!A:D,4,FALSE)</f>
        <v>1440</v>
      </c>
      <c r="H1143" t="str">
        <f>VLOOKUP(C1143,Products!A:D,3,FALSE)</f>
        <v>Home &amp; Kitchen</v>
      </c>
      <c r="I1143">
        <f t="shared" si="17"/>
        <v>1152</v>
      </c>
      <c r="J1143" s="2">
        <f>VLOOKUP(B1143,Orders!A:C,3,FALSE)</f>
        <v>46166</v>
      </c>
      <c r="K1143" s="1" t="str">
        <f>VLOOKUP(B1143,Orders!A:B,2,FALSE)</f>
        <v>C0080</v>
      </c>
    </row>
    <row r="1144" spans="1:11" x14ac:dyDescent="0.3">
      <c r="A1144" s="1" t="s">
        <v>2986</v>
      </c>
      <c r="B1144" s="1" t="s">
        <v>2985</v>
      </c>
      <c r="C1144" s="1" t="s">
        <v>1118</v>
      </c>
      <c r="D1144" s="1">
        <v>2</v>
      </c>
      <c r="E1144" s="1">
        <v>0</v>
      </c>
      <c r="F1144" s="1" t="b">
        <v>0</v>
      </c>
      <c r="G1144">
        <f>VLOOKUP(C1144,Products!A:D,4,FALSE)</f>
        <v>5550</v>
      </c>
      <c r="H1144" t="str">
        <f>VLOOKUP(C1144,Products!A:D,3,FALSE)</f>
        <v>Home &amp; Kitchen</v>
      </c>
      <c r="I1144">
        <f t="shared" si="17"/>
        <v>11100</v>
      </c>
      <c r="J1144" s="2">
        <f>VLOOKUP(B1144,Orders!A:C,3,FALSE)</f>
        <v>46166</v>
      </c>
      <c r="K1144" s="1" t="str">
        <f>VLOOKUP(B1144,Orders!A:B,2,FALSE)</f>
        <v>C0080</v>
      </c>
    </row>
    <row r="1145" spans="1:11" x14ac:dyDescent="0.3">
      <c r="A1145" s="1" t="s">
        <v>2987</v>
      </c>
      <c r="B1145" s="1" t="s">
        <v>2988</v>
      </c>
      <c r="C1145" s="1" t="s">
        <v>1468</v>
      </c>
      <c r="D1145" s="1">
        <v>3</v>
      </c>
      <c r="E1145" s="1">
        <v>0.2</v>
      </c>
      <c r="F1145" s="1" t="b">
        <v>0</v>
      </c>
      <c r="G1145">
        <f>VLOOKUP(C1145,Products!A:D,4,FALSE)</f>
        <v>2040</v>
      </c>
      <c r="H1145" t="str">
        <f>VLOOKUP(C1145,Products!A:D,3,FALSE)</f>
        <v>Books</v>
      </c>
      <c r="I1145">
        <f t="shared" si="17"/>
        <v>4896</v>
      </c>
      <c r="J1145" s="2">
        <f>VLOOKUP(B1145,Orders!A:C,3,FALSE)</f>
        <v>45738</v>
      </c>
      <c r="K1145" s="1" t="str">
        <f>VLOOKUP(B1145,Orders!A:B,2,FALSE)</f>
        <v>C0009</v>
      </c>
    </row>
    <row r="1146" spans="1:11" x14ac:dyDescent="0.3">
      <c r="A1146" s="1" t="s">
        <v>2989</v>
      </c>
      <c r="B1146" s="1" t="s">
        <v>2988</v>
      </c>
      <c r="C1146" s="1" t="s">
        <v>1106</v>
      </c>
      <c r="D1146" s="1">
        <v>5</v>
      </c>
      <c r="E1146" s="1">
        <v>0.2</v>
      </c>
      <c r="F1146" s="1" t="b">
        <v>0</v>
      </c>
      <c r="G1146">
        <f>VLOOKUP(C1146,Products!A:D,4,FALSE)</f>
        <v>1130</v>
      </c>
      <c r="H1146" t="str">
        <f>VLOOKUP(C1146,Products!A:D,3,FALSE)</f>
        <v>Books</v>
      </c>
      <c r="I1146">
        <f t="shared" si="17"/>
        <v>4520</v>
      </c>
      <c r="J1146" s="2">
        <f>VLOOKUP(B1146,Orders!A:C,3,FALSE)</f>
        <v>45738</v>
      </c>
      <c r="K1146" s="1" t="str">
        <f>VLOOKUP(B1146,Orders!A:B,2,FALSE)</f>
        <v>C0009</v>
      </c>
    </row>
    <row r="1147" spans="1:11" x14ac:dyDescent="0.3">
      <c r="A1147" s="1" t="s">
        <v>2990</v>
      </c>
      <c r="B1147" s="1" t="s">
        <v>2991</v>
      </c>
      <c r="C1147" s="1" t="s">
        <v>1182</v>
      </c>
      <c r="D1147" s="1">
        <v>4</v>
      </c>
      <c r="E1147" s="1">
        <v>0</v>
      </c>
      <c r="F1147" s="1" t="b">
        <v>0</v>
      </c>
      <c r="G1147">
        <f>VLOOKUP(C1147,Products!A:D,4,FALSE)</f>
        <v>790</v>
      </c>
      <c r="H1147" t="str">
        <f>VLOOKUP(C1147,Products!A:D,3,FALSE)</f>
        <v>Sports</v>
      </c>
      <c r="I1147">
        <f t="shared" si="17"/>
        <v>3160</v>
      </c>
      <c r="J1147" s="2">
        <f>VLOOKUP(B1147,Orders!A:C,3,FALSE)</f>
        <v>45757</v>
      </c>
      <c r="K1147" s="1" t="str">
        <f>VLOOKUP(B1147,Orders!A:B,2,FALSE)</f>
        <v>C0159</v>
      </c>
    </row>
    <row r="1148" spans="1:11" x14ac:dyDescent="0.3">
      <c r="A1148" s="1" t="s">
        <v>2992</v>
      </c>
      <c r="B1148" s="1" t="s">
        <v>2993</v>
      </c>
      <c r="C1148" s="1" t="s">
        <v>1315</v>
      </c>
      <c r="D1148" s="1">
        <v>3</v>
      </c>
      <c r="E1148" s="1">
        <v>0</v>
      </c>
      <c r="F1148" s="1" t="b">
        <v>0</v>
      </c>
      <c r="G1148">
        <f>VLOOKUP(C1148,Products!A:D,4,FALSE)</f>
        <v>2190</v>
      </c>
      <c r="H1148" t="str">
        <f>VLOOKUP(C1148,Products!A:D,3,FALSE)</f>
        <v>Electronics</v>
      </c>
      <c r="I1148">
        <f t="shared" si="17"/>
        <v>6570</v>
      </c>
      <c r="J1148" s="2">
        <f>VLOOKUP(B1148,Orders!A:C,3,FALSE)</f>
        <v>46163</v>
      </c>
      <c r="K1148" s="1" t="str">
        <f>VLOOKUP(B1148,Orders!A:B,2,FALSE)</f>
        <v>C0030</v>
      </c>
    </row>
    <row r="1149" spans="1:11" x14ac:dyDescent="0.3">
      <c r="A1149" s="1" t="s">
        <v>2994</v>
      </c>
      <c r="B1149" s="1" t="s">
        <v>2993</v>
      </c>
      <c r="C1149" s="1" t="s">
        <v>1216</v>
      </c>
      <c r="D1149" s="1">
        <v>2</v>
      </c>
      <c r="E1149" s="1">
        <v>0</v>
      </c>
      <c r="F1149" s="1" t="b">
        <v>0</v>
      </c>
      <c r="G1149">
        <f>VLOOKUP(C1149,Products!A:D,4,FALSE)</f>
        <v>1240</v>
      </c>
      <c r="H1149" t="str">
        <f>VLOOKUP(C1149,Products!A:D,3,FALSE)</f>
        <v>Apparel</v>
      </c>
      <c r="I1149">
        <f t="shared" si="17"/>
        <v>2480</v>
      </c>
      <c r="J1149" s="2">
        <f>VLOOKUP(B1149,Orders!A:C,3,FALSE)</f>
        <v>46163</v>
      </c>
      <c r="K1149" s="1" t="str">
        <f>VLOOKUP(B1149,Orders!A:B,2,FALSE)</f>
        <v>C0030</v>
      </c>
    </row>
    <row r="1150" spans="1:11" x14ac:dyDescent="0.3">
      <c r="A1150" s="1" t="s">
        <v>2995</v>
      </c>
      <c r="B1150" s="1" t="s">
        <v>2993</v>
      </c>
      <c r="C1150" s="1" t="s">
        <v>1132</v>
      </c>
      <c r="D1150" s="1">
        <v>3</v>
      </c>
      <c r="E1150" s="1">
        <v>0.05</v>
      </c>
      <c r="F1150" s="1" t="b">
        <v>1</v>
      </c>
      <c r="G1150">
        <f>VLOOKUP(C1150,Products!A:D,4,FALSE)</f>
        <v>420</v>
      </c>
      <c r="H1150" t="str">
        <f>VLOOKUP(C1150,Products!A:D,3,FALSE)</f>
        <v>Beauty</v>
      </c>
      <c r="I1150">
        <f t="shared" si="17"/>
        <v>1197</v>
      </c>
      <c r="J1150" s="2">
        <f>VLOOKUP(B1150,Orders!A:C,3,FALSE)</f>
        <v>46163</v>
      </c>
      <c r="K1150" s="1" t="str">
        <f>VLOOKUP(B1150,Orders!A:B,2,FALSE)</f>
        <v>C0030</v>
      </c>
    </row>
    <row r="1151" spans="1:11" x14ac:dyDescent="0.3">
      <c r="A1151" s="1" t="s">
        <v>2996</v>
      </c>
      <c r="B1151" s="1" t="s">
        <v>2997</v>
      </c>
      <c r="C1151" s="1" t="s">
        <v>1290</v>
      </c>
      <c r="D1151" s="1">
        <v>1</v>
      </c>
      <c r="E1151" s="1">
        <v>0</v>
      </c>
      <c r="F1151" s="1" t="b">
        <v>0</v>
      </c>
      <c r="G1151">
        <f>VLOOKUP(C1151,Products!A:D,4,FALSE)</f>
        <v>990</v>
      </c>
      <c r="H1151" t="str">
        <f>VLOOKUP(C1151,Products!A:D,3,FALSE)</f>
        <v>Books</v>
      </c>
      <c r="I1151">
        <f t="shared" si="17"/>
        <v>990</v>
      </c>
      <c r="J1151" s="2">
        <f>VLOOKUP(B1151,Orders!A:C,3,FALSE)</f>
        <v>45994</v>
      </c>
      <c r="K1151" s="1" t="str">
        <f>VLOOKUP(B1151,Orders!A:B,2,FALSE)</f>
        <v>C0060</v>
      </c>
    </row>
    <row r="1152" spans="1:11" x14ac:dyDescent="0.3">
      <c r="A1152" s="1" t="s">
        <v>2998</v>
      </c>
      <c r="B1152" s="1" t="s">
        <v>2997</v>
      </c>
      <c r="C1152" s="1" t="s">
        <v>1602</v>
      </c>
      <c r="D1152" s="1">
        <v>4</v>
      </c>
      <c r="E1152" s="1">
        <v>0.05</v>
      </c>
      <c r="F1152" s="1" t="b">
        <v>0</v>
      </c>
      <c r="G1152">
        <f>VLOOKUP(C1152,Products!A:D,4,FALSE)</f>
        <v>1240</v>
      </c>
      <c r="H1152" t="str">
        <f>VLOOKUP(C1152,Products!A:D,3,FALSE)</f>
        <v>Apparel</v>
      </c>
      <c r="I1152">
        <f t="shared" ref="I1152:I1215" si="18">G1152*D1152*(1-E1152)</f>
        <v>4712</v>
      </c>
      <c r="J1152" s="2">
        <f>VLOOKUP(B1152,Orders!A:C,3,FALSE)</f>
        <v>45994</v>
      </c>
      <c r="K1152" s="1" t="str">
        <f>VLOOKUP(B1152,Orders!A:B,2,FALSE)</f>
        <v>C0060</v>
      </c>
    </row>
    <row r="1153" spans="1:11" x14ac:dyDescent="0.3">
      <c r="A1153" s="1" t="s">
        <v>2999</v>
      </c>
      <c r="B1153" s="1" t="s">
        <v>3000</v>
      </c>
      <c r="C1153" s="1" t="s">
        <v>1127</v>
      </c>
      <c r="D1153" s="1">
        <v>4</v>
      </c>
      <c r="E1153" s="1">
        <v>0.2</v>
      </c>
      <c r="F1153" s="1" t="b">
        <v>0</v>
      </c>
      <c r="G1153">
        <f>VLOOKUP(C1153,Products!A:D,4,FALSE)</f>
        <v>1660</v>
      </c>
      <c r="H1153" t="str">
        <f>VLOOKUP(C1153,Products!A:D,3,FALSE)</f>
        <v>Apparel</v>
      </c>
      <c r="I1153">
        <f t="shared" si="18"/>
        <v>5312</v>
      </c>
      <c r="J1153" s="2">
        <f>VLOOKUP(B1153,Orders!A:C,3,FALSE)</f>
        <v>46060</v>
      </c>
      <c r="K1153" s="1" t="str">
        <f>VLOOKUP(B1153,Orders!A:B,2,FALSE)</f>
        <v>C0029</v>
      </c>
    </row>
    <row r="1154" spans="1:11" x14ac:dyDescent="0.3">
      <c r="A1154" s="1" t="s">
        <v>3001</v>
      </c>
      <c r="B1154" s="1" t="s">
        <v>3000</v>
      </c>
      <c r="C1154" s="1" t="s">
        <v>1219</v>
      </c>
      <c r="D1154" s="1">
        <v>2</v>
      </c>
      <c r="E1154" s="1">
        <v>0.15</v>
      </c>
      <c r="F1154" s="1" t="b">
        <v>0</v>
      </c>
      <c r="G1154">
        <f>VLOOKUP(C1154,Products!A:D,4,FALSE)</f>
        <v>2090</v>
      </c>
      <c r="H1154" t="str">
        <f>VLOOKUP(C1154,Products!A:D,3,FALSE)</f>
        <v>Beauty</v>
      </c>
      <c r="I1154">
        <f t="shared" si="18"/>
        <v>3553</v>
      </c>
      <c r="J1154" s="2">
        <f>VLOOKUP(B1154,Orders!A:C,3,FALSE)</f>
        <v>46060</v>
      </c>
      <c r="K1154" s="1" t="str">
        <f>VLOOKUP(B1154,Orders!A:B,2,FALSE)</f>
        <v>C0029</v>
      </c>
    </row>
    <row r="1155" spans="1:11" x14ac:dyDescent="0.3">
      <c r="A1155" s="1" t="s">
        <v>3002</v>
      </c>
      <c r="B1155" s="1" t="s">
        <v>3003</v>
      </c>
      <c r="C1155" s="1" t="s">
        <v>1656</v>
      </c>
      <c r="D1155" s="1">
        <v>3</v>
      </c>
      <c r="E1155" s="1">
        <v>0.05</v>
      </c>
      <c r="F1155" s="1" t="b">
        <v>0</v>
      </c>
      <c r="G1155">
        <f>VLOOKUP(C1155,Products!A:D,4,FALSE)</f>
        <v>1240</v>
      </c>
      <c r="H1155" t="str">
        <f>VLOOKUP(C1155,Products!A:D,3,FALSE)</f>
        <v>Beauty</v>
      </c>
      <c r="I1155">
        <f t="shared" si="18"/>
        <v>3534</v>
      </c>
      <c r="J1155" s="2">
        <f>VLOOKUP(B1155,Orders!A:C,3,FALSE)</f>
        <v>45937</v>
      </c>
      <c r="K1155" s="1" t="str">
        <f>VLOOKUP(B1155,Orders!A:B,2,FALSE)</f>
        <v>C0090</v>
      </c>
    </row>
    <row r="1156" spans="1:11" x14ac:dyDescent="0.3">
      <c r="A1156" s="1" t="s">
        <v>3004</v>
      </c>
      <c r="B1156" s="1" t="s">
        <v>3005</v>
      </c>
      <c r="C1156" s="1" t="s">
        <v>1184</v>
      </c>
      <c r="D1156" s="1">
        <v>3</v>
      </c>
      <c r="E1156" s="1">
        <v>0.05</v>
      </c>
      <c r="F1156" s="1" t="b">
        <v>0</v>
      </c>
      <c r="G1156">
        <f>VLOOKUP(C1156,Products!A:D,4,FALSE)</f>
        <v>2230</v>
      </c>
      <c r="H1156" t="str">
        <f>VLOOKUP(C1156,Products!A:D,3,FALSE)</f>
        <v>Sports</v>
      </c>
      <c r="I1156">
        <f t="shared" si="18"/>
        <v>6355.5</v>
      </c>
      <c r="J1156" s="2">
        <f>VLOOKUP(B1156,Orders!A:C,3,FALSE)</f>
        <v>45783</v>
      </c>
      <c r="K1156" s="1" t="str">
        <f>VLOOKUP(B1156,Orders!A:B,2,FALSE)</f>
        <v>C0006</v>
      </c>
    </row>
    <row r="1157" spans="1:11" x14ac:dyDescent="0.3">
      <c r="A1157" s="1" t="s">
        <v>3006</v>
      </c>
      <c r="B1157" s="1" t="s">
        <v>3005</v>
      </c>
      <c r="C1157" s="1" t="s">
        <v>1249</v>
      </c>
      <c r="D1157" s="1">
        <v>1</v>
      </c>
      <c r="E1157" s="1">
        <v>0.15</v>
      </c>
      <c r="F1157" s="1" t="b">
        <v>0</v>
      </c>
      <c r="G1157">
        <f>VLOOKUP(C1157,Products!A:D,4,FALSE)</f>
        <v>3630</v>
      </c>
      <c r="H1157" t="str">
        <f>VLOOKUP(C1157,Products!A:D,3,FALSE)</f>
        <v>Electronics</v>
      </c>
      <c r="I1157">
        <f t="shared" si="18"/>
        <v>3085.5</v>
      </c>
      <c r="J1157" s="2">
        <f>VLOOKUP(B1157,Orders!A:C,3,FALSE)</f>
        <v>45783</v>
      </c>
      <c r="K1157" s="1" t="str">
        <f>VLOOKUP(B1157,Orders!A:B,2,FALSE)</f>
        <v>C0006</v>
      </c>
    </row>
    <row r="1158" spans="1:11" x14ac:dyDescent="0.3">
      <c r="A1158" s="1" t="s">
        <v>3007</v>
      </c>
      <c r="B1158" s="1" t="s">
        <v>3008</v>
      </c>
      <c r="C1158" s="1" t="s">
        <v>1393</v>
      </c>
      <c r="D1158" s="1">
        <v>4</v>
      </c>
      <c r="E1158" s="1">
        <v>0.2</v>
      </c>
      <c r="F1158" s="1" t="b">
        <v>0</v>
      </c>
      <c r="G1158">
        <f>VLOOKUP(C1158,Products!A:D,4,FALSE)</f>
        <v>1520</v>
      </c>
      <c r="H1158" t="str">
        <f>VLOOKUP(C1158,Products!A:D,3,FALSE)</f>
        <v>Electronics</v>
      </c>
      <c r="I1158">
        <f t="shared" si="18"/>
        <v>4864</v>
      </c>
      <c r="J1158" s="2">
        <f>VLOOKUP(B1158,Orders!A:C,3,FALSE)</f>
        <v>45820</v>
      </c>
      <c r="K1158" s="1" t="str">
        <f>VLOOKUP(B1158,Orders!A:B,2,FALSE)</f>
        <v>C0268</v>
      </c>
    </row>
    <row r="1159" spans="1:11" x14ac:dyDescent="0.3">
      <c r="A1159" s="1" t="s">
        <v>3009</v>
      </c>
      <c r="B1159" s="1" t="s">
        <v>3008</v>
      </c>
      <c r="C1159" s="1" t="s">
        <v>1163</v>
      </c>
      <c r="D1159" s="1">
        <v>1</v>
      </c>
      <c r="E1159" s="1">
        <v>0.05</v>
      </c>
      <c r="F1159" s="1" t="b">
        <v>0</v>
      </c>
      <c r="G1159">
        <f>VLOOKUP(C1159,Products!A:D,4,FALSE)</f>
        <v>2180</v>
      </c>
      <c r="H1159" t="str">
        <f>VLOOKUP(C1159,Products!A:D,3,FALSE)</f>
        <v>Electronics</v>
      </c>
      <c r="I1159">
        <f t="shared" si="18"/>
        <v>2071</v>
      </c>
      <c r="J1159" s="2">
        <f>VLOOKUP(B1159,Orders!A:C,3,FALSE)</f>
        <v>45820</v>
      </c>
      <c r="K1159" s="1" t="str">
        <f>VLOOKUP(B1159,Orders!A:B,2,FALSE)</f>
        <v>C0268</v>
      </c>
    </row>
    <row r="1160" spans="1:11" x14ac:dyDescent="0.3">
      <c r="A1160" s="1" t="s">
        <v>3010</v>
      </c>
      <c r="B1160" s="1" t="s">
        <v>3011</v>
      </c>
      <c r="C1160" s="1" t="s">
        <v>1468</v>
      </c>
      <c r="D1160" s="1">
        <v>3</v>
      </c>
      <c r="E1160" s="1">
        <v>0.1</v>
      </c>
      <c r="F1160" s="1" t="b">
        <v>0</v>
      </c>
      <c r="G1160">
        <f>VLOOKUP(C1160,Products!A:D,4,FALSE)</f>
        <v>2040</v>
      </c>
      <c r="H1160" t="str">
        <f>VLOOKUP(C1160,Products!A:D,3,FALSE)</f>
        <v>Books</v>
      </c>
      <c r="I1160">
        <f t="shared" si="18"/>
        <v>5508</v>
      </c>
      <c r="J1160" s="2">
        <f>VLOOKUP(B1160,Orders!A:C,3,FALSE)</f>
        <v>45784</v>
      </c>
      <c r="K1160" s="1" t="str">
        <f>VLOOKUP(B1160,Orders!A:B,2,FALSE)</f>
        <v>C0086</v>
      </c>
    </row>
    <row r="1161" spans="1:11" x14ac:dyDescent="0.3">
      <c r="A1161" s="1" t="s">
        <v>3012</v>
      </c>
      <c r="B1161" s="1" t="s">
        <v>3013</v>
      </c>
      <c r="C1161" s="1" t="s">
        <v>1270</v>
      </c>
      <c r="D1161" s="1">
        <v>2</v>
      </c>
      <c r="E1161" s="1">
        <v>0.1</v>
      </c>
      <c r="F1161" s="1" t="b">
        <v>0</v>
      </c>
      <c r="G1161">
        <f>VLOOKUP(C1161,Products!A:D,4,FALSE)</f>
        <v>3560</v>
      </c>
      <c r="H1161" t="str">
        <f>VLOOKUP(C1161,Products!A:D,3,FALSE)</f>
        <v>Sports</v>
      </c>
      <c r="I1161">
        <f t="shared" si="18"/>
        <v>6408</v>
      </c>
      <c r="J1161" s="2">
        <f>VLOOKUP(B1161,Orders!A:C,3,FALSE)</f>
        <v>46073</v>
      </c>
      <c r="K1161" s="1" t="str">
        <f>VLOOKUP(B1161,Orders!A:B,2,FALSE)</f>
        <v>C0061</v>
      </c>
    </row>
    <row r="1162" spans="1:11" x14ac:dyDescent="0.3">
      <c r="A1162" s="1" t="s">
        <v>3014</v>
      </c>
      <c r="B1162" s="1" t="s">
        <v>3015</v>
      </c>
      <c r="C1162" s="1" t="s">
        <v>1330</v>
      </c>
      <c r="D1162" s="1">
        <v>5</v>
      </c>
      <c r="E1162" s="1">
        <v>0.15</v>
      </c>
      <c r="F1162" s="1" t="b">
        <v>0</v>
      </c>
      <c r="G1162">
        <f>VLOOKUP(C1162,Products!A:D,4,FALSE)</f>
        <v>580</v>
      </c>
      <c r="H1162" t="str">
        <f>VLOOKUP(C1162,Products!A:D,3,FALSE)</f>
        <v>Books</v>
      </c>
      <c r="I1162">
        <f t="shared" si="18"/>
        <v>2465</v>
      </c>
      <c r="J1162" s="2">
        <f>VLOOKUP(B1162,Orders!A:C,3,FALSE)</f>
        <v>46244</v>
      </c>
      <c r="K1162" s="1" t="str">
        <f>VLOOKUP(B1162,Orders!A:B,2,FALSE)</f>
        <v>C0172</v>
      </c>
    </row>
    <row r="1163" spans="1:11" x14ac:dyDescent="0.3">
      <c r="A1163" s="1" t="s">
        <v>3016</v>
      </c>
      <c r="B1163" s="1" t="s">
        <v>3015</v>
      </c>
      <c r="C1163" s="1" t="s">
        <v>1290</v>
      </c>
      <c r="D1163" s="1">
        <v>3</v>
      </c>
      <c r="E1163" s="1">
        <v>0.05</v>
      </c>
      <c r="F1163" s="1" t="b">
        <v>0</v>
      </c>
      <c r="G1163">
        <f>VLOOKUP(C1163,Products!A:D,4,FALSE)</f>
        <v>990</v>
      </c>
      <c r="H1163" t="str">
        <f>VLOOKUP(C1163,Products!A:D,3,FALSE)</f>
        <v>Books</v>
      </c>
      <c r="I1163">
        <f t="shared" si="18"/>
        <v>2821.5</v>
      </c>
      <c r="J1163" s="2">
        <f>VLOOKUP(B1163,Orders!A:C,3,FALSE)</f>
        <v>46244</v>
      </c>
      <c r="K1163" s="1" t="str">
        <f>VLOOKUP(B1163,Orders!A:B,2,FALSE)</f>
        <v>C0172</v>
      </c>
    </row>
    <row r="1164" spans="1:11" x14ac:dyDescent="0.3">
      <c r="A1164" s="1" t="s">
        <v>3017</v>
      </c>
      <c r="B1164" s="1" t="s">
        <v>3018</v>
      </c>
      <c r="C1164" s="1" t="s">
        <v>1163</v>
      </c>
      <c r="D1164" s="1">
        <v>3</v>
      </c>
      <c r="E1164" s="1">
        <v>0</v>
      </c>
      <c r="F1164" s="1" t="b">
        <v>0</v>
      </c>
      <c r="G1164">
        <f>VLOOKUP(C1164,Products!A:D,4,FALSE)</f>
        <v>2180</v>
      </c>
      <c r="H1164" t="str">
        <f>VLOOKUP(C1164,Products!A:D,3,FALSE)</f>
        <v>Electronics</v>
      </c>
      <c r="I1164">
        <f t="shared" si="18"/>
        <v>6540</v>
      </c>
      <c r="J1164" s="2">
        <f>VLOOKUP(B1164,Orders!A:C,3,FALSE)</f>
        <v>46280</v>
      </c>
      <c r="K1164" s="1" t="str">
        <f>VLOOKUP(B1164,Orders!A:B,2,FALSE)</f>
        <v>C0269</v>
      </c>
    </row>
    <row r="1165" spans="1:11" x14ac:dyDescent="0.3">
      <c r="A1165" s="1" t="s">
        <v>3019</v>
      </c>
      <c r="B1165" s="1" t="s">
        <v>3020</v>
      </c>
      <c r="C1165" s="1" t="s">
        <v>1276</v>
      </c>
      <c r="D1165" s="1">
        <v>3</v>
      </c>
      <c r="E1165" s="1">
        <v>0</v>
      </c>
      <c r="F1165" s="1" t="b">
        <v>0</v>
      </c>
      <c r="G1165">
        <f>VLOOKUP(C1165,Products!A:D,4,FALSE)</f>
        <v>2010</v>
      </c>
      <c r="H1165" t="str">
        <f>VLOOKUP(C1165,Products!A:D,3,FALSE)</f>
        <v>Beauty</v>
      </c>
      <c r="I1165">
        <f t="shared" si="18"/>
        <v>6030</v>
      </c>
      <c r="J1165" s="2">
        <f>VLOOKUP(B1165,Orders!A:C,3,FALSE)</f>
        <v>46076</v>
      </c>
      <c r="K1165" s="1" t="str">
        <f>VLOOKUP(B1165,Orders!A:B,2,FALSE)</f>
        <v>C0040</v>
      </c>
    </row>
    <row r="1166" spans="1:11" x14ac:dyDescent="0.3">
      <c r="A1166" s="1" t="s">
        <v>3021</v>
      </c>
      <c r="B1166" s="1" t="s">
        <v>3020</v>
      </c>
      <c r="C1166" s="1" t="s">
        <v>1602</v>
      </c>
      <c r="D1166" s="1">
        <v>4</v>
      </c>
      <c r="E1166" s="1">
        <v>0</v>
      </c>
      <c r="F1166" s="1" t="b">
        <v>0</v>
      </c>
      <c r="G1166">
        <f>VLOOKUP(C1166,Products!A:D,4,FALSE)</f>
        <v>1240</v>
      </c>
      <c r="H1166" t="str">
        <f>VLOOKUP(C1166,Products!A:D,3,FALSE)</f>
        <v>Apparel</v>
      </c>
      <c r="I1166">
        <f t="shared" si="18"/>
        <v>4960</v>
      </c>
      <c r="J1166" s="2">
        <f>VLOOKUP(B1166,Orders!A:C,3,FALSE)</f>
        <v>46076</v>
      </c>
      <c r="K1166" s="1" t="str">
        <f>VLOOKUP(B1166,Orders!A:B,2,FALSE)</f>
        <v>C0040</v>
      </c>
    </row>
    <row r="1167" spans="1:11" x14ac:dyDescent="0.3">
      <c r="A1167" s="1" t="s">
        <v>3022</v>
      </c>
      <c r="B1167" s="1" t="s">
        <v>3023</v>
      </c>
      <c r="C1167" s="1" t="s">
        <v>1247</v>
      </c>
      <c r="D1167" s="1">
        <v>5</v>
      </c>
      <c r="E1167" s="1">
        <v>0</v>
      </c>
      <c r="F1167" s="1" t="b">
        <v>0</v>
      </c>
      <c r="G1167">
        <f>VLOOKUP(C1167,Products!A:D,4,FALSE)</f>
        <v>2210</v>
      </c>
      <c r="H1167" t="str">
        <f>VLOOKUP(C1167,Products!A:D,3,FALSE)</f>
        <v>Beauty</v>
      </c>
      <c r="I1167">
        <f t="shared" si="18"/>
        <v>11050</v>
      </c>
      <c r="J1167" s="2">
        <f>VLOOKUP(B1167,Orders!A:C,3,FALSE)</f>
        <v>45766</v>
      </c>
      <c r="K1167" s="1" t="str">
        <f>VLOOKUP(B1167,Orders!A:B,2,FALSE)</f>
        <v>C0185</v>
      </c>
    </row>
    <row r="1168" spans="1:11" x14ac:dyDescent="0.3">
      <c r="A1168" s="1" t="s">
        <v>3024</v>
      </c>
      <c r="B1168" s="1" t="s">
        <v>3025</v>
      </c>
      <c r="C1168" s="1" t="s">
        <v>1288</v>
      </c>
      <c r="D1168" s="1">
        <v>5</v>
      </c>
      <c r="E1168" s="1">
        <v>0.15</v>
      </c>
      <c r="F1168" s="1" t="b">
        <v>0</v>
      </c>
      <c r="G1168">
        <f>VLOOKUP(C1168,Products!A:D,4,FALSE)</f>
        <v>2580</v>
      </c>
      <c r="H1168" t="str">
        <f>VLOOKUP(C1168,Products!A:D,3,FALSE)</f>
        <v>Beauty</v>
      </c>
      <c r="I1168">
        <f t="shared" si="18"/>
        <v>10965</v>
      </c>
      <c r="J1168" s="2">
        <f>VLOOKUP(B1168,Orders!A:C,3,FALSE)</f>
        <v>46087</v>
      </c>
      <c r="K1168" s="1" t="str">
        <f>VLOOKUP(B1168,Orders!A:B,2,FALSE)</f>
        <v>C0086</v>
      </c>
    </row>
    <row r="1169" spans="1:11" x14ac:dyDescent="0.3">
      <c r="A1169" s="1" t="s">
        <v>3026</v>
      </c>
      <c r="B1169" s="1" t="s">
        <v>3027</v>
      </c>
      <c r="C1169" s="1" t="s">
        <v>1168</v>
      </c>
      <c r="D1169" s="1">
        <v>1</v>
      </c>
      <c r="E1169" s="1">
        <v>0.05</v>
      </c>
      <c r="F1169" s="1" t="b">
        <v>0</v>
      </c>
      <c r="G1169">
        <f>VLOOKUP(C1169,Products!A:D,4,FALSE)</f>
        <v>1440</v>
      </c>
      <c r="H1169" t="str">
        <f>VLOOKUP(C1169,Products!A:D,3,FALSE)</f>
        <v>Sports</v>
      </c>
      <c r="I1169">
        <f t="shared" si="18"/>
        <v>1368</v>
      </c>
      <c r="J1169" s="2">
        <f>VLOOKUP(B1169,Orders!A:C,3,FALSE)</f>
        <v>46118</v>
      </c>
      <c r="K1169" s="1" t="str">
        <f>VLOOKUP(B1169,Orders!A:B,2,FALSE)</f>
        <v>C0053</v>
      </c>
    </row>
    <row r="1170" spans="1:11" x14ac:dyDescent="0.3">
      <c r="A1170" s="1" t="s">
        <v>3028</v>
      </c>
      <c r="B1170" s="1" t="s">
        <v>3027</v>
      </c>
      <c r="C1170" s="1" t="s">
        <v>1644</v>
      </c>
      <c r="D1170" s="1">
        <v>3</v>
      </c>
      <c r="E1170" s="1">
        <v>0.15</v>
      </c>
      <c r="F1170" s="1" t="b">
        <v>0</v>
      </c>
      <c r="G1170">
        <f>VLOOKUP(C1170,Products!A:D,4,FALSE)</f>
        <v>1930</v>
      </c>
      <c r="H1170" t="str">
        <f>VLOOKUP(C1170,Products!A:D,3,FALSE)</f>
        <v>Home &amp; Kitchen</v>
      </c>
      <c r="I1170">
        <f t="shared" si="18"/>
        <v>4921.5</v>
      </c>
      <c r="J1170" s="2">
        <f>VLOOKUP(B1170,Orders!A:C,3,FALSE)</f>
        <v>46118</v>
      </c>
      <c r="K1170" s="1" t="str">
        <f>VLOOKUP(B1170,Orders!A:B,2,FALSE)</f>
        <v>C0053</v>
      </c>
    </row>
    <row r="1171" spans="1:11" x14ac:dyDescent="0.3">
      <c r="A1171" s="1" t="s">
        <v>3029</v>
      </c>
      <c r="B1171" s="1" t="s">
        <v>3030</v>
      </c>
      <c r="C1171" s="1" t="s">
        <v>1118</v>
      </c>
      <c r="D1171" s="1">
        <v>4</v>
      </c>
      <c r="E1171" s="1">
        <v>0.1</v>
      </c>
      <c r="F1171" s="1" t="b">
        <v>0</v>
      </c>
      <c r="G1171">
        <f>VLOOKUP(C1171,Products!A:D,4,FALSE)</f>
        <v>5550</v>
      </c>
      <c r="H1171" t="str">
        <f>VLOOKUP(C1171,Products!A:D,3,FALSE)</f>
        <v>Home &amp; Kitchen</v>
      </c>
      <c r="I1171">
        <f t="shared" si="18"/>
        <v>19980</v>
      </c>
      <c r="J1171" s="2">
        <f>VLOOKUP(B1171,Orders!A:C,3,FALSE)</f>
        <v>46167</v>
      </c>
      <c r="K1171" s="1" t="str">
        <f>VLOOKUP(B1171,Orders!A:B,2,FALSE)</f>
        <v>C0117</v>
      </c>
    </row>
    <row r="1172" spans="1:11" x14ac:dyDescent="0.3">
      <c r="A1172" s="1" t="s">
        <v>3031</v>
      </c>
      <c r="B1172" s="1" t="s">
        <v>3030</v>
      </c>
      <c r="C1172" s="1" t="s">
        <v>1140</v>
      </c>
      <c r="D1172" s="1">
        <v>5</v>
      </c>
      <c r="E1172" s="1">
        <v>0</v>
      </c>
      <c r="F1172" s="1" t="b">
        <v>0</v>
      </c>
      <c r="G1172">
        <f>VLOOKUP(C1172,Products!A:D,4,FALSE)</f>
        <v>3040</v>
      </c>
      <c r="H1172" t="str">
        <f>VLOOKUP(C1172,Products!A:D,3,FALSE)</f>
        <v>Electronics</v>
      </c>
      <c r="I1172">
        <f t="shared" si="18"/>
        <v>15200</v>
      </c>
      <c r="J1172" s="2">
        <f>VLOOKUP(B1172,Orders!A:C,3,FALSE)</f>
        <v>46167</v>
      </c>
      <c r="K1172" s="1" t="str">
        <f>VLOOKUP(B1172,Orders!A:B,2,FALSE)</f>
        <v>C0117</v>
      </c>
    </row>
    <row r="1173" spans="1:11" x14ac:dyDescent="0.3">
      <c r="A1173" s="1" t="s">
        <v>3032</v>
      </c>
      <c r="B1173" s="1" t="s">
        <v>3030</v>
      </c>
      <c r="C1173" s="1" t="s">
        <v>1433</v>
      </c>
      <c r="D1173" s="1">
        <v>1</v>
      </c>
      <c r="E1173" s="1">
        <v>0</v>
      </c>
      <c r="F1173" s="1" t="b">
        <v>0</v>
      </c>
      <c r="G1173">
        <f>VLOOKUP(C1173,Products!A:D,4,FALSE)</f>
        <v>110</v>
      </c>
      <c r="H1173" t="str">
        <f>VLOOKUP(C1173,Products!A:D,3,FALSE)</f>
        <v>Home &amp; Kitchen</v>
      </c>
      <c r="I1173">
        <f t="shared" si="18"/>
        <v>110</v>
      </c>
      <c r="J1173" s="2">
        <f>VLOOKUP(B1173,Orders!A:C,3,FALSE)</f>
        <v>46167</v>
      </c>
      <c r="K1173" s="1" t="str">
        <f>VLOOKUP(B1173,Orders!A:B,2,FALSE)</f>
        <v>C0117</v>
      </c>
    </row>
    <row r="1174" spans="1:11" x14ac:dyDescent="0.3">
      <c r="A1174" s="1" t="s">
        <v>3033</v>
      </c>
      <c r="B1174" s="1" t="s">
        <v>3034</v>
      </c>
      <c r="C1174" s="1" t="s">
        <v>1257</v>
      </c>
      <c r="D1174" s="1">
        <v>1</v>
      </c>
      <c r="E1174" s="1">
        <v>0</v>
      </c>
      <c r="F1174" s="1" t="b">
        <v>0</v>
      </c>
      <c r="G1174">
        <f>VLOOKUP(C1174,Products!A:D,4,FALSE)</f>
        <v>1760</v>
      </c>
      <c r="H1174" t="str">
        <f>VLOOKUP(C1174,Products!A:D,3,FALSE)</f>
        <v>Books</v>
      </c>
      <c r="I1174">
        <f t="shared" si="18"/>
        <v>1760</v>
      </c>
      <c r="J1174" s="2">
        <f>VLOOKUP(B1174,Orders!A:C,3,FALSE)</f>
        <v>45802</v>
      </c>
      <c r="K1174" s="1" t="str">
        <f>VLOOKUP(B1174,Orders!A:B,2,FALSE)</f>
        <v>C0023</v>
      </c>
    </row>
    <row r="1175" spans="1:11" x14ac:dyDescent="0.3">
      <c r="A1175" s="1" t="s">
        <v>3035</v>
      </c>
      <c r="B1175" s="1" t="s">
        <v>3036</v>
      </c>
      <c r="C1175" s="1" t="s">
        <v>1431</v>
      </c>
      <c r="D1175" s="1">
        <v>4</v>
      </c>
      <c r="E1175" s="1">
        <v>0.2</v>
      </c>
      <c r="F1175" s="1" t="b">
        <v>0</v>
      </c>
      <c r="G1175">
        <f>VLOOKUP(C1175,Products!A:D,4,FALSE)</f>
        <v>2920</v>
      </c>
      <c r="H1175" t="str">
        <f>VLOOKUP(C1175,Products!A:D,3,FALSE)</f>
        <v>Home &amp; Kitchen</v>
      </c>
      <c r="I1175">
        <f t="shared" si="18"/>
        <v>9344</v>
      </c>
      <c r="J1175" s="2">
        <f>VLOOKUP(B1175,Orders!A:C,3,FALSE)</f>
        <v>45861</v>
      </c>
      <c r="K1175" s="1" t="str">
        <f>VLOOKUP(B1175,Orders!A:B,2,FALSE)</f>
        <v>C0126</v>
      </c>
    </row>
    <row r="1176" spans="1:11" x14ac:dyDescent="0.3">
      <c r="A1176" s="1" t="s">
        <v>3037</v>
      </c>
      <c r="B1176" s="1" t="s">
        <v>3036</v>
      </c>
      <c r="C1176" s="1" t="s">
        <v>1273</v>
      </c>
      <c r="D1176" s="1">
        <v>1</v>
      </c>
      <c r="E1176" s="1">
        <v>0</v>
      </c>
      <c r="F1176" s="1" t="b">
        <v>0</v>
      </c>
      <c r="G1176">
        <f>VLOOKUP(C1176,Products!A:D,4,FALSE)</f>
        <v>360</v>
      </c>
      <c r="H1176" t="str">
        <f>VLOOKUP(C1176,Products!A:D,3,FALSE)</f>
        <v>Beauty</v>
      </c>
      <c r="I1176">
        <f t="shared" si="18"/>
        <v>360</v>
      </c>
      <c r="J1176" s="2">
        <f>VLOOKUP(B1176,Orders!A:C,3,FALSE)</f>
        <v>45861</v>
      </c>
      <c r="K1176" s="1" t="str">
        <f>VLOOKUP(B1176,Orders!A:B,2,FALSE)</f>
        <v>C0126</v>
      </c>
    </row>
    <row r="1177" spans="1:11" x14ac:dyDescent="0.3">
      <c r="A1177" s="1" t="s">
        <v>3038</v>
      </c>
      <c r="B1177" s="1" t="s">
        <v>3039</v>
      </c>
      <c r="C1177" s="1" t="s">
        <v>1149</v>
      </c>
      <c r="D1177" s="1">
        <v>3</v>
      </c>
      <c r="E1177" s="1">
        <v>0</v>
      </c>
      <c r="F1177" s="1" t="b">
        <v>0</v>
      </c>
      <c r="G1177">
        <f>VLOOKUP(C1177,Products!A:D,4,FALSE)</f>
        <v>1150</v>
      </c>
      <c r="H1177" t="str">
        <f>VLOOKUP(C1177,Products!A:D,3,FALSE)</f>
        <v>Apparel</v>
      </c>
      <c r="I1177">
        <f t="shared" si="18"/>
        <v>3450</v>
      </c>
      <c r="J1177" s="2">
        <f>VLOOKUP(B1177,Orders!A:C,3,FALSE)</f>
        <v>46271</v>
      </c>
      <c r="K1177" s="1" t="str">
        <f>VLOOKUP(B1177,Orders!A:B,2,FALSE)</f>
        <v>C0197</v>
      </c>
    </row>
    <row r="1178" spans="1:11" x14ac:dyDescent="0.3">
      <c r="A1178" s="1" t="s">
        <v>3040</v>
      </c>
      <c r="B1178" s="1" t="s">
        <v>3039</v>
      </c>
      <c r="C1178" s="1" t="s">
        <v>1273</v>
      </c>
      <c r="D1178" s="1">
        <v>4</v>
      </c>
      <c r="E1178" s="1">
        <v>0</v>
      </c>
      <c r="F1178" s="1" t="b">
        <v>0</v>
      </c>
      <c r="G1178">
        <f>VLOOKUP(C1178,Products!A:D,4,FALSE)</f>
        <v>360</v>
      </c>
      <c r="H1178" t="str">
        <f>VLOOKUP(C1178,Products!A:D,3,FALSE)</f>
        <v>Beauty</v>
      </c>
      <c r="I1178">
        <f t="shared" si="18"/>
        <v>1440</v>
      </c>
      <c r="J1178" s="2">
        <f>VLOOKUP(B1178,Orders!A:C,3,FALSE)</f>
        <v>46271</v>
      </c>
      <c r="K1178" s="1" t="str">
        <f>VLOOKUP(B1178,Orders!A:B,2,FALSE)</f>
        <v>C0197</v>
      </c>
    </row>
    <row r="1179" spans="1:11" x14ac:dyDescent="0.3">
      <c r="A1179" s="1" t="s">
        <v>3041</v>
      </c>
      <c r="B1179" s="1" t="s">
        <v>3042</v>
      </c>
      <c r="C1179" s="1" t="s">
        <v>1132</v>
      </c>
      <c r="D1179" s="1">
        <v>5</v>
      </c>
      <c r="E1179" s="1">
        <v>0</v>
      </c>
      <c r="F1179" s="1" t="b">
        <v>0</v>
      </c>
      <c r="G1179">
        <f>VLOOKUP(C1179,Products!A:D,4,FALSE)</f>
        <v>420</v>
      </c>
      <c r="H1179" t="str">
        <f>VLOOKUP(C1179,Products!A:D,3,FALSE)</f>
        <v>Beauty</v>
      </c>
      <c r="I1179">
        <f t="shared" si="18"/>
        <v>2100</v>
      </c>
      <c r="J1179" s="2">
        <f>VLOOKUP(B1179,Orders!A:C,3,FALSE)</f>
        <v>46166</v>
      </c>
      <c r="K1179" s="1" t="str">
        <f>VLOOKUP(B1179,Orders!A:B,2,FALSE)</f>
        <v>C0019</v>
      </c>
    </row>
    <row r="1180" spans="1:11" x14ac:dyDescent="0.3">
      <c r="A1180" s="1" t="s">
        <v>3043</v>
      </c>
      <c r="B1180" s="1" t="s">
        <v>3044</v>
      </c>
      <c r="C1180" s="1" t="s">
        <v>1197</v>
      </c>
      <c r="D1180" s="1">
        <v>2</v>
      </c>
      <c r="E1180" s="1">
        <v>0.05</v>
      </c>
      <c r="F1180" s="1" t="b">
        <v>0</v>
      </c>
      <c r="G1180">
        <f>VLOOKUP(C1180,Products!A:D,4,FALSE)</f>
        <v>2050</v>
      </c>
      <c r="H1180" t="str">
        <f>VLOOKUP(C1180,Products!A:D,3,FALSE)</f>
        <v>Apparel</v>
      </c>
      <c r="I1180">
        <f t="shared" si="18"/>
        <v>3895</v>
      </c>
      <c r="J1180" s="2">
        <f>VLOOKUP(B1180,Orders!A:C,3,FALSE)</f>
        <v>46148</v>
      </c>
      <c r="K1180" s="1" t="str">
        <f>VLOOKUP(B1180,Orders!A:B,2,FALSE)</f>
        <v>C0115</v>
      </c>
    </row>
    <row r="1181" spans="1:11" x14ac:dyDescent="0.3">
      <c r="A1181" s="1" t="s">
        <v>3045</v>
      </c>
      <c r="B1181" s="1" t="s">
        <v>3044</v>
      </c>
      <c r="C1181" s="1" t="s">
        <v>1125</v>
      </c>
      <c r="D1181" s="1">
        <v>4</v>
      </c>
      <c r="E1181" s="1">
        <v>0.2</v>
      </c>
      <c r="F1181" s="1" t="b">
        <v>0</v>
      </c>
      <c r="G1181">
        <f>VLOOKUP(C1181,Products!A:D,4,FALSE)</f>
        <v>99</v>
      </c>
      <c r="H1181" t="str">
        <f>VLOOKUP(C1181,Products!A:D,3,FALSE)</f>
        <v>Electronics</v>
      </c>
      <c r="I1181">
        <f t="shared" si="18"/>
        <v>316.8</v>
      </c>
      <c r="J1181" s="2">
        <f>VLOOKUP(B1181,Orders!A:C,3,FALSE)</f>
        <v>46148</v>
      </c>
      <c r="K1181" s="1" t="str">
        <f>VLOOKUP(B1181,Orders!A:B,2,FALSE)</f>
        <v>C0115</v>
      </c>
    </row>
    <row r="1182" spans="1:11" x14ac:dyDescent="0.3">
      <c r="A1182" s="1" t="s">
        <v>3046</v>
      </c>
      <c r="B1182" s="1" t="s">
        <v>3044</v>
      </c>
      <c r="C1182" s="1" t="s">
        <v>1459</v>
      </c>
      <c r="D1182" s="1">
        <v>1</v>
      </c>
      <c r="E1182" s="1">
        <v>0</v>
      </c>
      <c r="F1182" s="1" t="b">
        <v>0</v>
      </c>
      <c r="G1182">
        <f>VLOOKUP(C1182,Products!A:D,4,FALSE)</f>
        <v>710</v>
      </c>
      <c r="H1182" t="str">
        <f>VLOOKUP(C1182,Products!A:D,3,FALSE)</f>
        <v>Sports</v>
      </c>
      <c r="I1182">
        <f t="shared" si="18"/>
        <v>710</v>
      </c>
      <c r="J1182" s="2">
        <f>VLOOKUP(B1182,Orders!A:C,3,FALSE)</f>
        <v>46148</v>
      </c>
      <c r="K1182" s="1" t="str">
        <f>VLOOKUP(B1182,Orders!A:B,2,FALSE)</f>
        <v>C0115</v>
      </c>
    </row>
    <row r="1183" spans="1:11" x14ac:dyDescent="0.3">
      <c r="A1183" s="1" t="s">
        <v>3047</v>
      </c>
      <c r="B1183" s="1" t="s">
        <v>3044</v>
      </c>
      <c r="C1183" s="1" t="s">
        <v>1202</v>
      </c>
      <c r="D1183" s="1">
        <v>2</v>
      </c>
      <c r="E1183" s="1">
        <v>0.1</v>
      </c>
      <c r="F1183" s="1" t="b">
        <v>0</v>
      </c>
      <c r="G1183">
        <f>VLOOKUP(C1183,Products!A:D,4,FALSE)</f>
        <v>530</v>
      </c>
      <c r="H1183" t="str">
        <f>VLOOKUP(C1183,Products!A:D,3,FALSE)</f>
        <v>Beauty</v>
      </c>
      <c r="I1183">
        <f t="shared" si="18"/>
        <v>954</v>
      </c>
      <c r="J1183" s="2">
        <f>VLOOKUP(B1183,Orders!A:C,3,FALSE)</f>
        <v>46148</v>
      </c>
      <c r="K1183" s="1" t="str">
        <f>VLOOKUP(B1183,Orders!A:B,2,FALSE)</f>
        <v>C0115</v>
      </c>
    </row>
    <row r="1184" spans="1:11" x14ac:dyDescent="0.3">
      <c r="A1184" s="1" t="s">
        <v>3048</v>
      </c>
      <c r="B1184" s="1" t="s">
        <v>3049</v>
      </c>
      <c r="C1184" s="1" t="s">
        <v>1262</v>
      </c>
      <c r="D1184" s="1">
        <v>3</v>
      </c>
      <c r="E1184" s="1">
        <v>0.1</v>
      </c>
      <c r="F1184" s="1" t="b">
        <v>0</v>
      </c>
      <c r="G1184">
        <f>VLOOKUP(C1184,Products!A:D,4,FALSE)</f>
        <v>4020</v>
      </c>
      <c r="H1184" t="str">
        <f>VLOOKUP(C1184,Products!A:D,3,FALSE)</f>
        <v>Sports</v>
      </c>
      <c r="I1184">
        <f t="shared" si="18"/>
        <v>10854</v>
      </c>
      <c r="J1184" s="2">
        <f>VLOOKUP(B1184,Orders!A:C,3,FALSE)</f>
        <v>46175</v>
      </c>
      <c r="K1184" s="1" t="str">
        <f>VLOOKUP(B1184,Orders!A:B,2,FALSE)</f>
        <v>C0164</v>
      </c>
    </row>
    <row r="1185" spans="1:11" x14ac:dyDescent="0.3">
      <c r="A1185" s="1" t="s">
        <v>3050</v>
      </c>
      <c r="B1185" s="1" t="s">
        <v>3051</v>
      </c>
      <c r="C1185" s="1" t="s">
        <v>1123</v>
      </c>
      <c r="D1185" s="1">
        <v>1</v>
      </c>
      <c r="E1185" s="1">
        <v>0</v>
      </c>
      <c r="F1185" s="1" t="b">
        <v>0</v>
      </c>
      <c r="G1185">
        <f>VLOOKUP(C1185,Products!A:D,4,FALSE)</f>
        <v>2200</v>
      </c>
      <c r="H1185" t="str">
        <f>VLOOKUP(C1185,Products!A:D,3,FALSE)</f>
        <v>Electronics</v>
      </c>
      <c r="I1185">
        <f t="shared" si="18"/>
        <v>2200</v>
      </c>
      <c r="J1185" s="2">
        <f>VLOOKUP(B1185,Orders!A:C,3,FALSE)</f>
        <v>45974</v>
      </c>
      <c r="K1185" s="1" t="str">
        <f>VLOOKUP(B1185,Orders!A:B,2,FALSE)</f>
        <v>C0040</v>
      </c>
    </row>
    <row r="1186" spans="1:11" x14ac:dyDescent="0.3">
      <c r="A1186" s="1" t="s">
        <v>3052</v>
      </c>
      <c r="B1186" s="1" t="s">
        <v>3051</v>
      </c>
      <c r="C1186" s="1" t="s">
        <v>1302</v>
      </c>
      <c r="D1186" s="1">
        <v>2</v>
      </c>
      <c r="E1186" s="1">
        <v>0.2</v>
      </c>
      <c r="F1186" s="1" t="b">
        <v>0</v>
      </c>
      <c r="G1186">
        <f>VLOOKUP(C1186,Products!A:D,4,FALSE)</f>
        <v>1220</v>
      </c>
      <c r="H1186" t="str">
        <f>VLOOKUP(C1186,Products!A:D,3,FALSE)</f>
        <v>Home &amp; Kitchen</v>
      </c>
      <c r="I1186">
        <f t="shared" si="18"/>
        <v>1952</v>
      </c>
      <c r="J1186" s="2">
        <f>VLOOKUP(B1186,Orders!A:C,3,FALSE)</f>
        <v>45974</v>
      </c>
      <c r="K1186" s="1" t="str">
        <f>VLOOKUP(B1186,Orders!A:B,2,FALSE)</f>
        <v>C0040</v>
      </c>
    </row>
    <row r="1187" spans="1:11" x14ac:dyDescent="0.3">
      <c r="A1187" s="1" t="s">
        <v>3053</v>
      </c>
      <c r="B1187" s="1" t="s">
        <v>3054</v>
      </c>
      <c r="C1187" s="1" t="s">
        <v>1315</v>
      </c>
      <c r="D1187" s="1">
        <v>2</v>
      </c>
      <c r="E1187" s="1">
        <v>0.15</v>
      </c>
      <c r="F1187" s="1" t="b">
        <v>0</v>
      </c>
      <c r="G1187">
        <f>VLOOKUP(C1187,Products!A:D,4,FALSE)</f>
        <v>2190</v>
      </c>
      <c r="H1187" t="str">
        <f>VLOOKUP(C1187,Products!A:D,3,FALSE)</f>
        <v>Electronics</v>
      </c>
      <c r="I1187">
        <f t="shared" si="18"/>
        <v>3723</v>
      </c>
      <c r="J1187" s="2">
        <f>VLOOKUP(B1187,Orders!A:C,3,FALSE)</f>
        <v>45839</v>
      </c>
      <c r="K1187" s="1" t="str">
        <f>VLOOKUP(B1187,Orders!A:B,2,FALSE)</f>
        <v>C0258</v>
      </c>
    </row>
    <row r="1188" spans="1:11" x14ac:dyDescent="0.3">
      <c r="A1188" s="1" t="s">
        <v>3055</v>
      </c>
      <c r="B1188" s="1" t="s">
        <v>3056</v>
      </c>
      <c r="C1188" s="1" t="s">
        <v>1140</v>
      </c>
      <c r="D1188" s="1">
        <v>5</v>
      </c>
      <c r="E1188" s="1">
        <v>0</v>
      </c>
      <c r="F1188" s="1" t="b">
        <v>0</v>
      </c>
      <c r="G1188">
        <f>VLOOKUP(C1188,Products!A:D,4,FALSE)</f>
        <v>3040</v>
      </c>
      <c r="H1188" t="str">
        <f>VLOOKUP(C1188,Products!A:D,3,FALSE)</f>
        <v>Electronics</v>
      </c>
      <c r="I1188">
        <f t="shared" si="18"/>
        <v>15200</v>
      </c>
      <c r="J1188" s="2">
        <f>VLOOKUP(B1188,Orders!A:C,3,FALSE)</f>
        <v>46111</v>
      </c>
      <c r="K1188" s="1" t="str">
        <f>VLOOKUP(B1188,Orders!A:B,2,FALSE)</f>
        <v>C0092</v>
      </c>
    </row>
    <row r="1189" spans="1:11" x14ac:dyDescent="0.3">
      <c r="A1189" s="1" t="s">
        <v>3057</v>
      </c>
      <c r="B1189" s="1" t="s">
        <v>3058</v>
      </c>
      <c r="C1189" s="1" t="s">
        <v>1267</v>
      </c>
      <c r="D1189" s="1">
        <v>1</v>
      </c>
      <c r="E1189" s="1">
        <v>0</v>
      </c>
      <c r="F1189" s="1" t="b">
        <v>0</v>
      </c>
      <c r="G1189">
        <f>VLOOKUP(C1189,Products!A:D,4,FALSE)</f>
        <v>3650</v>
      </c>
      <c r="H1189" t="str">
        <f>VLOOKUP(C1189,Products!A:D,3,FALSE)</f>
        <v>Books</v>
      </c>
      <c r="I1189">
        <f t="shared" si="18"/>
        <v>3650</v>
      </c>
      <c r="J1189" s="2">
        <f>VLOOKUP(B1189,Orders!A:C,3,FALSE)</f>
        <v>45930</v>
      </c>
      <c r="K1189" s="1" t="str">
        <f>VLOOKUP(B1189,Orders!A:B,2,FALSE)</f>
        <v>C0024</v>
      </c>
    </row>
    <row r="1190" spans="1:11" x14ac:dyDescent="0.3">
      <c r="A1190" s="1" t="s">
        <v>3059</v>
      </c>
      <c r="B1190" s="1" t="s">
        <v>3060</v>
      </c>
      <c r="C1190" s="1" t="s">
        <v>1484</v>
      </c>
      <c r="D1190" s="1">
        <v>4</v>
      </c>
      <c r="E1190" s="1">
        <v>0</v>
      </c>
      <c r="F1190" s="1" t="b">
        <v>0</v>
      </c>
      <c r="G1190">
        <f>VLOOKUP(C1190,Products!A:D,4,FALSE)</f>
        <v>1080</v>
      </c>
      <c r="H1190" t="str">
        <f>VLOOKUP(C1190,Products!A:D,3,FALSE)</f>
        <v>Home &amp; Kitchen</v>
      </c>
      <c r="I1190">
        <f t="shared" si="18"/>
        <v>4320</v>
      </c>
      <c r="J1190" s="2">
        <f>VLOOKUP(B1190,Orders!A:C,3,FALSE)</f>
        <v>45807</v>
      </c>
      <c r="K1190" s="1" t="str">
        <f>VLOOKUP(B1190,Orders!A:B,2,FALSE)</f>
        <v>C0239</v>
      </c>
    </row>
    <row r="1191" spans="1:11" x14ac:dyDescent="0.3">
      <c r="A1191" s="1" t="s">
        <v>3061</v>
      </c>
      <c r="B1191" s="1" t="s">
        <v>3062</v>
      </c>
      <c r="C1191" s="1" t="s">
        <v>1391</v>
      </c>
      <c r="D1191" s="1">
        <v>1</v>
      </c>
      <c r="E1191" s="1">
        <v>0</v>
      </c>
      <c r="F1191" s="1" t="b">
        <v>0</v>
      </c>
      <c r="G1191">
        <f>VLOOKUP(C1191,Products!A:D,4,FALSE)</f>
        <v>1900</v>
      </c>
      <c r="H1191" t="str">
        <f>VLOOKUP(C1191,Products!A:D,3,FALSE)</f>
        <v>Beauty</v>
      </c>
      <c r="I1191">
        <f t="shared" si="18"/>
        <v>1900</v>
      </c>
      <c r="J1191" s="2">
        <f>VLOOKUP(B1191,Orders!A:C,3,FALSE)</f>
        <v>46226</v>
      </c>
      <c r="K1191" s="1" t="str">
        <f>VLOOKUP(B1191,Orders!A:B,2,FALSE)</f>
        <v>C0168</v>
      </c>
    </row>
    <row r="1192" spans="1:11" x14ac:dyDescent="0.3">
      <c r="A1192" s="1" t="s">
        <v>3063</v>
      </c>
      <c r="B1192" s="1" t="s">
        <v>3062</v>
      </c>
      <c r="C1192" s="1" t="s">
        <v>1176</v>
      </c>
      <c r="D1192" s="1">
        <v>5</v>
      </c>
      <c r="E1192" s="1">
        <v>0.1</v>
      </c>
      <c r="F1192" s="1" t="b">
        <v>0</v>
      </c>
      <c r="G1192">
        <f>VLOOKUP(C1192,Products!A:D,4,FALSE)</f>
        <v>2670</v>
      </c>
      <c r="H1192" t="str">
        <f>VLOOKUP(C1192,Products!A:D,3,FALSE)</f>
        <v>Beauty</v>
      </c>
      <c r="I1192">
        <f t="shared" si="18"/>
        <v>12015</v>
      </c>
      <c r="J1192" s="2">
        <f>VLOOKUP(B1192,Orders!A:C,3,FALSE)</f>
        <v>46226</v>
      </c>
      <c r="K1192" s="1" t="str">
        <f>VLOOKUP(B1192,Orders!A:B,2,FALSE)</f>
        <v>C0168</v>
      </c>
    </row>
    <row r="1193" spans="1:11" x14ac:dyDescent="0.3">
      <c r="A1193" s="1" t="s">
        <v>3064</v>
      </c>
      <c r="B1193" s="1" t="s">
        <v>3062</v>
      </c>
      <c r="C1193" s="1" t="s">
        <v>1247</v>
      </c>
      <c r="D1193" s="1">
        <v>3</v>
      </c>
      <c r="E1193" s="1">
        <v>0.05</v>
      </c>
      <c r="F1193" s="1" t="b">
        <v>0</v>
      </c>
      <c r="G1193">
        <f>VLOOKUP(C1193,Products!A:D,4,FALSE)</f>
        <v>2210</v>
      </c>
      <c r="H1193" t="str">
        <f>VLOOKUP(C1193,Products!A:D,3,FALSE)</f>
        <v>Beauty</v>
      </c>
      <c r="I1193">
        <f t="shared" si="18"/>
        <v>6298.5</v>
      </c>
      <c r="J1193" s="2">
        <f>VLOOKUP(B1193,Orders!A:C,3,FALSE)</f>
        <v>46226</v>
      </c>
      <c r="K1193" s="1" t="str">
        <f>VLOOKUP(B1193,Orders!A:B,2,FALSE)</f>
        <v>C0168</v>
      </c>
    </row>
    <row r="1194" spans="1:11" x14ac:dyDescent="0.3">
      <c r="A1194" s="1" t="s">
        <v>3065</v>
      </c>
      <c r="B1194" s="1" t="s">
        <v>3062</v>
      </c>
      <c r="C1194" s="1" t="s">
        <v>1462</v>
      </c>
      <c r="D1194" s="1">
        <v>2</v>
      </c>
      <c r="E1194" s="1">
        <v>0.1</v>
      </c>
      <c r="F1194" s="1" t="b">
        <v>0</v>
      </c>
      <c r="G1194">
        <f>VLOOKUP(C1194,Products!A:D,4,FALSE)</f>
        <v>3070</v>
      </c>
      <c r="H1194" t="str">
        <f>VLOOKUP(C1194,Products!A:D,3,FALSE)</f>
        <v>Apparel</v>
      </c>
      <c r="I1194">
        <f t="shared" si="18"/>
        <v>5526</v>
      </c>
      <c r="J1194" s="2">
        <f>VLOOKUP(B1194,Orders!A:C,3,FALSE)</f>
        <v>46226</v>
      </c>
      <c r="K1194" s="1" t="str">
        <f>VLOOKUP(B1194,Orders!A:B,2,FALSE)</f>
        <v>C0168</v>
      </c>
    </row>
    <row r="1195" spans="1:11" x14ac:dyDescent="0.3">
      <c r="A1195" s="1" t="s">
        <v>3066</v>
      </c>
      <c r="B1195" s="1" t="s">
        <v>3067</v>
      </c>
      <c r="C1195" s="1" t="s">
        <v>1328</v>
      </c>
      <c r="D1195" s="1">
        <v>3</v>
      </c>
      <c r="E1195" s="1">
        <v>0</v>
      </c>
      <c r="F1195" s="1" t="b">
        <v>0</v>
      </c>
      <c r="G1195">
        <f>VLOOKUP(C1195,Products!A:D,4,FALSE)</f>
        <v>1880</v>
      </c>
      <c r="H1195" t="str">
        <f>VLOOKUP(C1195,Products!A:D,3,FALSE)</f>
        <v>Apparel</v>
      </c>
      <c r="I1195">
        <f t="shared" si="18"/>
        <v>5640</v>
      </c>
      <c r="J1195" s="2">
        <f>VLOOKUP(B1195,Orders!A:C,3,FALSE)</f>
        <v>45999</v>
      </c>
      <c r="K1195" s="1" t="str">
        <f>VLOOKUP(B1195,Orders!A:B,2,FALSE)</f>
        <v>C0005</v>
      </c>
    </row>
    <row r="1196" spans="1:11" x14ac:dyDescent="0.3">
      <c r="A1196" s="1" t="s">
        <v>3068</v>
      </c>
      <c r="B1196" s="1" t="s">
        <v>3069</v>
      </c>
      <c r="C1196" s="1" t="s">
        <v>1121</v>
      </c>
      <c r="D1196" s="1">
        <v>4</v>
      </c>
      <c r="E1196" s="1">
        <v>0</v>
      </c>
      <c r="F1196" s="1" t="b">
        <v>0</v>
      </c>
      <c r="G1196">
        <f>VLOOKUP(C1196,Products!A:D,4,FALSE)</f>
        <v>1440</v>
      </c>
      <c r="H1196" t="str">
        <f>VLOOKUP(C1196,Products!A:D,3,FALSE)</f>
        <v>Sports</v>
      </c>
      <c r="I1196">
        <f t="shared" si="18"/>
        <v>5760</v>
      </c>
      <c r="J1196" s="2">
        <f>VLOOKUP(B1196,Orders!A:C,3,FALSE)</f>
        <v>45973</v>
      </c>
      <c r="K1196" s="1" t="str">
        <f>VLOOKUP(B1196,Orders!A:B,2,FALSE)</f>
        <v>C0289</v>
      </c>
    </row>
    <row r="1197" spans="1:11" x14ac:dyDescent="0.3">
      <c r="A1197" s="1" t="s">
        <v>3070</v>
      </c>
      <c r="B1197" s="1" t="s">
        <v>3069</v>
      </c>
      <c r="C1197" s="1" t="s">
        <v>1216</v>
      </c>
      <c r="D1197" s="1">
        <v>3</v>
      </c>
      <c r="E1197" s="1">
        <v>0.15</v>
      </c>
      <c r="F1197" s="1" t="b">
        <v>0</v>
      </c>
      <c r="G1197">
        <f>VLOOKUP(C1197,Products!A:D,4,FALSE)</f>
        <v>1240</v>
      </c>
      <c r="H1197" t="str">
        <f>VLOOKUP(C1197,Products!A:D,3,FALSE)</f>
        <v>Apparel</v>
      </c>
      <c r="I1197">
        <f t="shared" si="18"/>
        <v>3162</v>
      </c>
      <c r="J1197" s="2">
        <f>VLOOKUP(B1197,Orders!A:C,3,FALSE)</f>
        <v>45973</v>
      </c>
      <c r="K1197" s="1" t="str">
        <f>VLOOKUP(B1197,Orders!A:B,2,FALSE)</f>
        <v>C0289</v>
      </c>
    </row>
    <row r="1198" spans="1:11" x14ac:dyDescent="0.3">
      <c r="A1198" s="1" t="s">
        <v>3071</v>
      </c>
      <c r="B1198" s="1" t="s">
        <v>3072</v>
      </c>
      <c r="C1198" s="1" t="s">
        <v>1459</v>
      </c>
      <c r="D1198" s="1">
        <v>3</v>
      </c>
      <c r="E1198" s="1">
        <v>0</v>
      </c>
      <c r="F1198" s="1" t="b">
        <v>0</v>
      </c>
      <c r="G1198">
        <f>VLOOKUP(C1198,Products!A:D,4,FALSE)</f>
        <v>710</v>
      </c>
      <c r="H1198" t="str">
        <f>VLOOKUP(C1198,Products!A:D,3,FALSE)</f>
        <v>Sports</v>
      </c>
      <c r="I1198">
        <f t="shared" si="18"/>
        <v>2130</v>
      </c>
      <c r="J1198" s="2">
        <f>VLOOKUP(B1198,Orders!A:C,3,FALSE)</f>
        <v>45895</v>
      </c>
      <c r="K1198" s="1" t="str">
        <f>VLOOKUP(B1198,Orders!A:B,2,FALSE)</f>
        <v>C0125</v>
      </c>
    </row>
    <row r="1199" spans="1:11" x14ac:dyDescent="0.3">
      <c r="A1199" s="1" t="s">
        <v>3073</v>
      </c>
      <c r="B1199" s="1" t="s">
        <v>3072</v>
      </c>
      <c r="C1199" s="1" t="s">
        <v>1225</v>
      </c>
      <c r="D1199" s="1">
        <v>1</v>
      </c>
      <c r="E1199" s="1">
        <v>0</v>
      </c>
      <c r="F1199" s="1" t="b">
        <v>0</v>
      </c>
      <c r="G1199">
        <f>VLOOKUP(C1199,Products!A:D,4,FALSE)</f>
        <v>2690</v>
      </c>
      <c r="H1199" t="str">
        <f>VLOOKUP(C1199,Products!A:D,3,FALSE)</f>
        <v>Beauty</v>
      </c>
      <c r="I1199">
        <f t="shared" si="18"/>
        <v>2690</v>
      </c>
      <c r="J1199" s="2">
        <f>VLOOKUP(B1199,Orders!A:C,3,FALSE)</f>
        <v>45895</v>
      </c>
      <c r="K1199" s="1" t="str">
        <f>VLOOKUP(B1199,Orders!A:B,2,FALSE)</f>
        <v>C0125</v>
      </c>
    </row>
    <row r="1200" spans="1:11" x14ac:dyDescent="0.3">
      <c r="A1200" s="1" t="s">
        <v>3074</v>
      </c>
      <c r="B1200" s="1" t="s">
        <v>3075</v>
      </c>
      <c r="C1200" s="1" t="s">
        <v>1278</v>
      </c>
      <c r="D1200" s="1">
        <v>3</v>
      </c>
      <c r="E1200" s="1">
        <v>0.05</v>
      </c>
      <c r="F1200" s="1" t="b">
        <v>1</v>
      </c>
      <c r="G1200">
        <f>VLOOKUP(C1200,Products!A:D,4,FALSE)</f>
        <v>330</v>
      </c>
      <c r="H1200" t="str">
        <f>VLOOKUP(C1200,Products!A:D,3,FALSE)</f>
        <v>Books</v>
      </c>
      <c r="I1200">
        <f t="shared" si="18"/>
        <v>940.5</v>
      </c>
      <c r="J1200" s="2">
        <f>VLOOKUP(B1200,Orders!A:C,3,FALSE)</f>
        <v>46115</v>
      </c>
      <c r="K1200" s="1" t="str">
        <f>VLOOKUP(B1200,Orders!A:B,2,FALSE)</f>
        <v>C0253</v>
      </c>
    </row>
    <row r="1201" spans="1:11" x14ac:dyDescent="0.3">
      <c r="A1201" s="1" t="s">
        <v>3076</v>
      </c>
      <c r="B1201" s="1" t="s">
        <v>3077</v>
      </c>
      <c r="C1201" s="1" t="s">
        <v>1202</v>
      </c>
      <c r="D1201" s="1">
        <v>5</v>
      </c>
      <c r="E1201" s="1">
        <v>0.2</v>
      </c>
      <c r="F1201" s="1" t="b">
        <v>0</v>
      </c>
      <c r="G1201">
        <f>VLOOKUP(C1201,Products!A:D,4,FALSE)</f>
        <v>530</v>
      </c>
      <c r="H1201" t="str">
        <f>VLOOKUP(C1201,Products!A:D,3,FALSE)</f>
        <v>Beauty</v>
      </c>
      <c r="I1201">
        <f t="shared" si="18"/>
        <v>2120</v>
      </c>
      <c r="J1201" s="2">
        <f>VLOOKUP(B1201,Orders!A:C,3,FALSE)</f>
        <v>45837</v>
      </c>
      <c r="K1201" s="1" t="str">
        <f>VLOOKUP(B1201,Orders!A:B,2,FALSE)</f>
        <v>C0280</v>
      </c>
    </row>
    <row r="1202" spans="1:11" x14ac:dyDescent="0.3">
      <c r="A1202" s="1" t="s">
        <v>3078</v>
      </c>
      <c r="B1202" s="1" t="s">
        <v>3079</v>
      </c>
      <c r="C1202" s="1" t="s">
        <v>1202</v>
      </c>
      <c r="D1202" s="1">
        <v>5</v>
      </c>
      <c r="E1202" s="1">
        <v>0</v>
      </c>
      <c r="F1202" s="1" t="b">
        <v>0</v>
      </c>
      <c r="G1202">
        <f>VLOOKUP(C1202,Products!A:D,4,FALSE)</f>
        <v>530</v>
      </c>
      <c r="H1202" t="str">
        <f>VLOOKUP(C1202,Products!A:D,3,FALSE)</f>
        <v>Beauty</v>
      </c>
      <c r="I1202">
        <f t="shared" si="18"/>
        <v>2650</v>
      </c>
      <c r="J1202" s="2">
        <f>VLOOKUP(B1202,Orders!A:C,3,FALSE)</f>
        <v>45836</v>
      </c>
      <c r="K1202" s="1" t="str">
        <f>VLOOKUP(B1202,Orders!A:B,2,FALSE)</f>
        <v>C0078</v>
      </c>
    </row>
    <row r="1203" spans="1:11" x14ac:dyDescent="0.3">
      <c r="A1203" s="1" t="s">
        <v>3080</v>
      </c>
      <c r="B1203" s="1" t="s">
        <v>3079</v>
      </c>
      <c r="C1203" s="1" t="s">
        <v>1431</v>
      </c>
      <c r="D1203" s="1">
        <v>2</v>
      </c>
      <c r="E1203" s="1">
        <v>0</v>
      </c>
      <c r="F1203" s="1" t="b">
        <v>0</v>
      </c>
      <c r="G1203">
        <f>VLOOKUP(C1203,Products!A:D,4,FALSE)</f>
        <v>2920</v>
      </c>
      <c r="H1203" t="str">
        <f>VLOOKUP(C1203,Products!A:D,3,FALSE)</f>
        <v>Home &amp; Kitchen</v>
      </c>
      <c r="I1203">
        <f t="shared" si="18"/>
        <v>5840</v>
      </c>
      <c r="J1203" s="2">
        <f>VLOOKUP(B1203,Orders!A:C,3,FALSE)</f>
        <v>45836</v>
      </c>
      <c r="K1203" s="1" t="str">
        <f>VLOOKUP(B1203,Orders!A:B,2,FALSE)</f>
        <v>C0078</v>
      </c>
    </row>
    <row r="1204" spans="1:11" x14ac:dyDescent="0.3">
      <c r="A1204" s="1" t="s">
        <v>3081</v>
      </c>
      <c r="B1204" s="1" t="s">
        <v>3082</v>
      </c>
      <c r="C1204" s="1" t="s">
        <v>1135</v>
      </c>
      <c r="D1204" s="1">
        <v>2</v>
      </c>
      <c r="E1204" s="1">
        <v>0.1</v>
      </c>
      <c r="F1204" s="1" t="b">
        <v>0</v>
      </c>
      <c r="G1204">
        <f>VLOOKUP(C1204,Products!A:D,4,FALSE)</f>
        <v>470</v>
      </c>
      <c r="H1204" t="str">
        <f>VLOOKUP(C1204,Products!A:D,3,FALSE)</f>
        <v>Apparel</v>
      </c>
      <c r="I1204">
        <f t="shared" si="18"/>
        <v>846</v>
      </c>
      <c r="J1204" s="2">
        <f>VLOOKUP(B1204,Orders!A:C,3,FALSE)</f>
        <v>45924</v>
      </c>
      <c r="K1204" s="1" t="str">
        <f>VLOOKUP(B1204,Orders!A:B,2,FALSE)</f>
        <v>C0013</v>
      </c>
    </row>
    <row r="1205" spans="1:11" x14ac:dyDescent="0.3">
      <c r="A1205" s="1" t="s">
        <v>3083</v>
      </c>
      <c r="B1205" s="1" t="s">
        <v>3082</v>
      </c>
      <c r="C1205" s="1" t="s">
        <v>1182</v>
      </c>
      <c r="D1205" s="1">
        <v>1</v>
      </c>
      <c r="E1205" s="1">
        <v>0</v>
      </c>
      <c r="F1205" s="1" t="b">
        <v>0</v>
      </c>
      <c r="G1205">
        <f>VLOOKUP(C1205,Products!A:D,4,FALSE)</f>
        <v>790</v>
      </c>
      <c r="H1205" t="str">
        <f>VLOOKUP(C1205,Products!A:D,3,FALSE)</f>
        <v>Sports</v>
      </c>
      <c r="I1205">
        <f t="shared" si="18"/>
        <v>790</v>
      </c>
      <c r="J1205" s="2">
        <f>VLOOKUP(B1205,Orders!A:C,3,FALSE)</f>
        <v>45924</v>
      </c>
      <c r="K1205" s="1" t="str">
        <f>VLOOKUP(B1205,Orders!A:B,2,FALSE)</f>
        <v>C0013</v>
      </c>
    </row>
    <row r="1206" spans="1:11" x14ac:dyDescent="0.3">
      <c r="A1206" s="1" t="s">
        <v>3084</v>
      </c>
      <c r="B1206" s="1" t="s">
        <v>3085</v>
      </c>
      <c r="C1206" s="1" t="s">
        <v>1168</v>
      </c>
      <c r="D1206" s="1">
        <v>2</v>
      </c>
      <c r="E1206" s="1">
        <v>0</v>
      </c>
      <c r="F1206" s="1" t="b">
        <v>0</v>
      </c>
      <c r="G1206">
        <f>VLOOKUP(C1206,Products!A:D,4,FALSE)</f>
        <v>1440</v>
      </c>
      <c r="H1206" t="str">
        <f>VLOOKUP(C1206,Products!A:D,3,FALSE)</f>
        <v>Sports</v>
      </c>
      <c r="I1206">
        <f t="shared" si="18"/>
        <v>2880</v>
      </c>
      <c r="J1206" s="2">
        <f>VLOOKUP(B1206,Orders!A:C,3,FALSE)</f>
        <v>46135</v>
      </c>
      <c r="K1206" s="1" t="str">
        <f>VLOOKUP(B1206,Orders!A:B,2,FALSE)</f>
        <v>C0005</v>
      </c>
    </row>
    <row r="1207" spans="1:11" x14ac:dyDescent="0.3">
      <c r="A1207" s="1" t="s">
        <v>3086</v>
      </c>
      <c r="B1207" s="1" t="s">
        <v>3087</v>
      </c>
      <c r="C1207" s="1" t="s">
        <v>1270</v>
      </c>
      <c r="D1207" s="1">
        <v>4</v>
      </c>
      <c r="E1207" s="1">
        <v>0.05</v>
      </c>
      <c r="F1207" s="1" t="b">
        <v>0</v>
      </c>
      <c r="G1207">
        <f>VLOOKUP(C1207,Products!A:D,4,FALSE)</f>
        <v>3560</v>
      </c>
      <c r="H1207" t="str">
        <f>VLOOKUP(C1207,Products!A:D,3,FALSE)</f>
        <v>Sports</v>
      </c>
      <c r="I1207">
        <f t="shared" si="18"/>
        <v>13528</v>
      </c>
      <c r="J1207" s="2">
        <f>VLOOKUP(B1207,Orders!A:C,3,FALSE)</f>
        <v>45884</v>
      </c>
      <c r="K1207" s="1" t="str">
        <f>VLOOKUP(B1207,Orders!A:B,2,FALSE)</f>
        <v>C0193</v>
      </c>
    </row>
    <row r="1208" spans="1:11" x14ac:dyDescent="0.3">
      <c r="A1208" s="1" t="s">
        <v>3088</v>
      </c>
      <c r="B1208" s="1" t="s">
        <v>3089</v>
      </c>
      <c r="C1208" s="1" t="s">
        <v>1273</v>
      </c>
      <c r="D1208" s="1">
        <v>1</v>
      </c>
      <c r="E1208" s="1">
        <v>0.05</v>
      </c>
      <c r="F1208" s="1" t="b">
        <v>0</v>
      </c>
      <c r="G1208">
        <f>VLOOKUP(C1208,Products!A:D,4,FALSE)</f>
        <v>360</v>
      </c>
      <c r="H1208" t="str">
        <f>VLOOKUP(C1208,Products!A:D,3,FALSE)</f>
        <v>Beauty</v>
      </c>
      <c r="I1208">
        <f t="shared" si="18"/>
        <v>342</v>
      </c>
      <c r="J1208" s="2">
        <f>VLOOKUP(B1208,Orders!A:C,3,FALSE)</f>
        <v>46189</v>
      </c>
      <c r="K1208" s="1" t="str">
        <f>VLOOKUP(B1208,Orders!A:B,2,FALSE)</f>
        <v>C0054</v>
      </c>
    </row>
    <row r="1209" spans="1:11" x14ac:dyDescent="0.3">
      <c r="A1209" s="1" t="s">
        <v>3090</v>
      </c>
      <c r="B1209" s="1" t="s">
        <v>3091</v>
      </c>
      <c r="C1209" s="1" t="s">
        <v>1267</v>
      </c>
      <c r="D1209" s="1">
        <v>4</v>
      </c>
      <c r="E1209" s="1">
        <v>0.05</v>
      </c>
      <c r="F1209" s="1" t="b">
        <v>0</v>
      </c>
      <c r="G1209">
        <f>VLOOKUP(C1209,Products!A:D,4,FALSE)</f>
        <v>3650</v>
      </c>
      <c r="H1209" t="str">
        <f>VLOOKUP(C1209,Products!A:D,3,FALSE)</f>
        <v>Books</v>
      </c>
      <c r="I1209">
        <f t="shared" si="18"/>
        <v>13870</v>
      </c>
      <c r="J1209" s="2">
        <f>VLOOKUP(B1209,Orders!A:C,3,FALSE)</f>
        <v>46235</v>
      </c>
      <c r="K1209" s="1" t="str">
        <f>VLOOKUP(B1209,Orders!A:B,2,FALSE)</f>
        <v>C0215</v>
      </c>
    </row>
    <row r="1210" spans="1:11" x14ac:dyDescent="0.3">
      <c r="A1210" s="1" t="s">
        <v>3092</v>
      </c>
      <c r="B1210" s="1" t="s">
        <v>3093</v>
      </c>
      <c r="C1210" s="1" t="s">
        <v>1459</v>
      </c>
      <c r="D1210" s="1">
        <v>1</v>
      </c>
      <c r="E1210" s="1">
        <v>0</v>
      </c>
      <c r="F1210" s="1" t="b">
        <v>0</v>
      </c>
      <c r="G1210">
        <f>VLOOKUP(C1210,Products!A:D,4,FALSE)</f>
        <v>710</v>
      </c>
      <c r="H1210" t="str">
        <f>VLOOKUP(C1210,Products!A:D,3,FALSE)</f>
        <v>Sports</v>
      </c>
      <c r="I1210">
        <f t="shared" si="18"/>
        <v>710</v>
      </c>
      <c r="J1210" s="2">
        <f>VLOOKUP(B1210,Orders!A:C,3,FALSE)</f>
        <v>46037</v>
      </c>
      <c r="K1210" s="1" t="str">
        <f>VLOOKUP(B1210,Orders!A:B,2,FALSE)</f>
        <v>C0073</v>
      </c>
    </row>
    <row r="1211" spans="1:11" x14ac:dyDescent="0.3">
      <c r="A1211" s="1" t="s">
        <v>3094</v>
      </c>
      <c r="B1211" s="1" t="s">
        <v>3095</v>
      </c>
      <c r="C1211" s="1" t="s">
        <v>1197</v>
      </c>
      <c r="D1211" s="1">
        <v>2</v>
      </c>
      <c r="E1211" s="1">
        <v>0.2</v>
      </c>
      <c r="F1211" s="1" t="b">
        <v>0</v>
      </c>
      <c r="G1211">
        <f>VLOOKUP(C1211,Products!A:D,4,FALSE)</f>
        <v>2050</v>
      </c>
      <c r="H1211" t="str">
        <f>VLOOKUP(C1211,Products!A:D,3,FALSE)</f>
        <v>Apparel</v>
      </c>
      <c r="I1211">
        <f t="shared" si="18"/>
        <v>3280</v>
      </c>
      <c r="J1211" s="2">
        <f>VLOOKUP(B1211,Orders!A:C,3,FALSE)</f>
        <v>45771</v>
      </c>
      <c r="K1211" s="1" t="str">
        <f>VLOOKUP(B1211,Orders!A:B,2,FALSE)</f>
        <v>C0048</v>
      </c>
    </row>
    <row r="1212" spans="1:11" x14ac:dyDescent="0.3">
      <c r="A1212" s="1" t="s">
        <v>3096</v>
      </c>
      <c r="B1212" s="1" t="s">
        <v>3097</v>
      </c>
      <c r="C1212" s="1" t="s">
        <v>1195</v>
      </c>
      <c r="D1212" s="1">
        <v>3</v>
      </c>
      <c r="E1212" s="1">
        <v>0.1</v>
      </c>
      <c r="F1212" s="1" t="b">
        <v>0</v>
      </c>
      <c r="G1212">
        <f>VLOOKUP(C1212,Products!A:D,4,FALSE)</f>
        <v>3430</v>
      </c>
      <c r="H1212" t="str">
        <f>VLOOKUP(C1212,Products!A:D,3,FALSE)</f>
        <v>Books</v>
      </c>
      <c r="I1212">
        <f t="shared" si="18"/>
        <v>9261</v>
      </c>
      <c r="J1212" s="2">
        <f>VLOOKUP(B1212,Orders!A:C,3,FALSE)</f>
        <v>45818</v>
      </c>
      <c r="K1212" s="1" t="str">
        <f>VLOOKUP(B1212,Orders!A:B,2,FALSE)</f>
        <v>C0267</v>
      </c>
    </row>
    <row r="1213" spans="1:11" x14ac:dyDescent="0.3">
      <c r="A1213" s="1" t="s">
        <v>3098</v>
      </c>
      <c r="B1213" s="1" t="s">
        <v>3099</v>
      </c>
      <c r="C1213" s="1" t="s">
        <v>1109</v>
      </c>
      <c r="D1213" s="1">
        <v>2</v>
      </c>
      <c r="E1213" s="1">
        <v>0.1</v>
      </c>
      <c r="F1213" s="1" t="b">
        <v>0</v>
      </c>
      <c r="G1213">
        <f>VLOOKUP(C1213,Products!A:D,4,FALSE)</f>
        <v>1475</v>
      </c>
      <c r="H1213" t="str">
        <f>VLOOKUP(C1213,Products!A:D,3,FALSE)</f>
        <v>Books</v>
      </c>
      <c r="I1213">
        <f t="shared" si="18"/>
        <v>2655</v>
      </c>
      <c r="J1213" s="2">
        <f>VLOOKUP(B1213,Orders!A:C,3,FALSE)</f>
        <v>45896</v>
      </c>
      <c r="K1213" s="1" t="str">
        <f>VLOOKUP(B1213,Orders!A:B,2,FALSE)</f>
        <v>C0235</v>
      </c>
    </row>
    <row r="1214" spans="1:11" x14ac:dyDescent="0.3">
      <c r="A1214" s="1" t="s">
        <v>3100</v>
      </c>
      <c r="B1214" s="1" t="s">
        <v>3099</v>
      </c>
      <c r="C1214" s="1" t="s">
        <v>1130</v>
      </c>
      <c r="D1214" s="1">
        <v>5</v>
      </c>
      <c r="E1214" s="1">
        <v>0.2</v>
      </c>
      <c r="F1214" s="1" t="b">
        <v>0</v>
      </c>
      <c r="G1214">
        <f>VLOOKUP(C1214,Products!A:D,4,FALSE)</f>
        <v>2400</v>
      </c>
      <c r="H1214" t="str">
        <f>VLOOKUP(C1214,Products!A:D,3,FALSE)</f>
        <v>Electronics</v>
      </c>
      <c r="I1214">
        <f t="shared" si="18"/>
        <v>9600</v>
      </c>
      <c r="J1214" s="2">
        <f>VLOOKUP(B1214,Orders!A:C,3,FALSE)</f>
        <v>45896</v>
      </c>
      <c r="K1214" s="1" t="str">
        <f>VLOOKUP(B1214,Orders!A:B,2,FALSE)</f>
        <v>C0235</v>
      </c>
    </row>
    <row r="1215" spans="1:11" x14ac:dyDescent="0.3">
      <c r="A1215" s="1" t="s">
        <v>3101</v>
      </c>
      <c r="B1215" s="1" t="s">
        <v>3099</v>
      </c>
      <c r="C1215" s="1" t="s">
        <v>1564</v>
      </c>
      <c r="D1215" s="1">
        <v>2</v>
      </c>
      <c r="E1215" s="1">
        <v>0.05</v>
      </c>
      <c r="F1215" s="1" t="b">
        <v>0</v>
      </c>
      <c r="G1215">
        <f>VLOOKUP(C1215,Products!A:D,4,FALSE)</f>
        <v>3680</v>
      </c>
      <c r="H1215" t="str">
        <f>VLOOKUP(C1215,Products!A:D,3,FALSE)</f>
        <v>Home &amp; Kitchen</v>
      </c>
      <c r="I1215">
        <f t="shared" si="18"/>
        <v>6992</v>
      </c>
      <c r="J1215" s="2">
        <f>VLOOKUP(B1215,Orders!A:C,3,FALSE)</f>
        <v>45896</v>
      </c>
      <c r="K1215" s="1" t="str">
        <f>VLOOKUP(B1215,Orders!A:B,2,FALSE)</f>
        <v>C0235</v>
      </c>
    </row>
    <row r="1216" spans="1:11" x14ac:dyDescent="0.3">
      <c r="A1216" s="1" t="s">
        <v>3102</v>
      </c>
      <c r="B1216" s="1" t="s">
        <v>3103</v>
      </c>
      <c r="C1216" s="1" t="s">
        <v>1262</v>
      </c>
      <c r="D1216" s="1">
        <v>4</v>
      </c>
      <c r="E1216" s="1">
        <v>0.15</v>
      </c>
      <c r="F1216" s="1" t="b">
        <v>0</v>
      </c>
      <c r="G1216">
        <f>VLOOKUP(C1216,Products!A:D,4,FALSE)</f>
        <v>4020</v>
      </c>
      <c r="H1216" t="str">
        <f>VLOOKUP(C1216,Products!A:D,3,FALSE)</f>
        <v>Sports</v>
      </c>
      <c r="I1216">
        <f t="shared" ref="I1216:I1279" si="19">G1216*D1216*(1-E1216)</f>
        <v>13668</v>
      </c>
      <c r="J1216" s="2">
        <f>VLOOKUP(B1216,Orders!A:C,3,FALSE)</f>
        <v>45878</v>
      </c>
      <c r="K1216" s="1" t="str">
        <f>VLOOKUP(B1216,Orders!A:B,2,FALSE)</f>
        <v>C0298</v>
      </c>
    </row>
    <row r="1217" spans="1:11" x14ac:dyDescent="0.3">
      <c r="A1217" s="1" t="s">
        <v>3104</v>
      </c>
      <c r="B1217" s="1" t="s">
        <v>3103</v>
      </c>
      <c r="C1217" s="1" t="s">
        <v>1219</v>
      </c>
      <c r="D1217" s="1">
        <v>3</v>
      </c>
      <c r="E1217" s="1">
        <v>0</v>
      </c>
      <c r="F1217" s="1" t="b">
        <v>0</v>
      </c>
      <c r="G1217">
        <f>VLOOKUP(C1217,Products!A:D,4,FALSE)</f>
        <v>2090</v>
      </c>
      <c r="H1217" t="str">
        <f>VLOOKUP(C1217,Products!A:D,3,FALSE)</f>
        <v>Beauty</v>
      </c>
      <c r="I1217">
        <f t="shared" si="19"/>
        <v>6270</v>
      </c>
      <c r="J1217" s="2">
        <f>VLOOKUP(B1217,Orders!A:C,3,FALSE)</f>
        <v>45878</v>
      </c>
      <c r="K1217" s="1" t="str">
        <f>VLOOKUP(B1217,Orders!A:B,2,FALSE)</f>
        <v>C0298</v>
      </c>
    </row>
    <row r="1218" spans="1:11" x14ac:dyDescent="0.3">
      <c r="A1218" s="1" t="s">
        <v>3105</v>
      </c>
      <c r="B1218" s="1" t="s">
        <v>3103</v>
      </c>
      <c r="C1218" s="1" t="s">
        <v>1197</v>
      </c>
      <c r="D1218" s="1">
        <v>1</v>
      </c>
      <c r="E1218" s="1">
        <v>0.05</v>
      </c>
      <c r="F1218" s="1" t="b">
        <v>0</v>
      </c>
      <c r="G1218">
        <f>VLOOKUP(C1218,Products!A:D,4,FALSE)</f>
        <v>2050</v>
      </c>
      <c r="H1218" t="str">
        <f>VLOOKUP(C1218,Products!A:D,3,FALSE)</f>
        <v>Apparel</v>
      </c>
      <c r="I1218">
        <f t="shared" si="19"/>
        <v>1947.5</v>
      </c>
      <c r="J1218" s="2">
        <f>VLOOKUP(B1218,Orders!A:C,3,FALSE)</f>
        <v>45878</v>
      </c>
      <c r="K1218" s="1" t="str">
        <f>VLOOKUP(B1218,Orders!A:B,2,FALSE)</f>
        <v>C0298</v>
      </c>
    </row>
    <row r="1219" spans="1:11" x14ac:dyDescent="0.3">
      <c r="A1219" s="1" t="s">
        <v>3106</v>
      </c>
      <c r="B1219" s="1" t="s">
        <v>3107</v>
      </c>
      <c r="C1219" s="1" t="s">
        <v>1199</v>
      </c>
      <c r="D1219" s="1">
        <v>3</v>
      </c>
      <c r="E1219" s="1">
        <v>0</v>
      </c>
      <c r="F1219" s="1" t="b">
        <v>0</v>
      </c>
      <c r="G1219">
        <f>VLOOKUP(C1219,Products!A:D,4,FALSE)</f>
        <v>99</v>
      </c>
      <c r="H1219" t="str">
        <f>VLOOKUP(C1219,Products!A:D,3,FALSE)</f>
        <v>Electronics</v>
      </c>
      <c r="I1219">
        <f t="shared" si="19"/>
        <v>297</v>
      </c>
      <c r="J1219" s="2">
        <f>VLOOKUP(B1219,Orders!A:C,3,FALSE)</f>
        <v>45935</v>
      </c>
      <c r="K1219" s="1" t="str">
        <f>VLOOKUP(B1219,Orders!A:B,2,FALSE)</f>
        <v>C0202</v>
      </c>
    </row>
    <row r="1220" spans="1:11" x14ac:dyDescent="0.3">
      <c r="A1220" s="1" t="s">
        <v>3108</v>
      </c>
      <c r="B1220" s="1" t="s">
        <v>3109</v>
      </c>
      <c r="C1220" s="1" t="s">
        <v>1123</v>
      </c>
      <c r="D1220" s="1">
        <v>4</v>
      </c>
      <c r="E1220" s="1">
        <v>0.05</v>
      </c>
      <c r="F1220" s="1" t="b">
        <v>0</v>
      </c>
      <c r="G1220">
        <f>VLOOKUP(C1220,Products!A:D,4,FALSE)</f>
        <v>2200</v>
      </c>
      <c r="H1220" t="str">
        <f>VLOOKUP(C1220,Products!A:D,3,FALSE)</f>
        <v>Electronics</v>
      </c>
      <c r="I1220">
        <f t="shared" si="19"/>
        <v>8360</v>
      </c>
      <c r="J1220" s="2">
        <f>VLOOKUP(B1220,Orders!A:C,3,FALSE)</f>
        <v>45734</v>
      </c>
      <c r="K1220" s="1" t="str">
        <f>VLOOKUP(B1220,Orders!A:B,2,FALSE)</f>
        <v>C0032</v>
      </c>
    </row>
    <row r="1221" spans="1:11" x14ac:dyDescent="0.3">
      <c r="A1221" s="1" t="s">
        <v>3110</v>
      </c>
      <c r="B1221" s="1" t="s">
        <v>3111</v>
      </c>
      <c r="C1221" s="1" t="s">
        <v>1719</v>
      </c>
      <c r="D1221" s="1">
        <v>5</v>
      </c>
      <c r="E1221" s="1">
        <v>0.15</v>
      </c>
      <c r="F1221" s="1" t="b">
        <v>0</v>
      </c>
      <c r="G1221">
        <f>VLOOKUP(C1221,Products!A:D,4,FALSE)</f>
        <v>2790</v>
      </c>
      <c r="H1221" t="str">
        <f>VLOOKUP(C1221,Products!A:D,3,FALSE)</f>
        <v>Sports</v>
      </c>
      <c r="I1221">
        <f t="shared" si="19"/>
        <v>11857.5</v>
      </c>
      <c r="J1221" s="2">
        <f>VLOOKUP(B1221,Orders!A:C,3,FALSE)</f>
        <v>46083</v>
      </c>
      <c r="K1221" s="1" t="str">
        <f>VLOOKUP(B1221,Orders!A:B,2,FALSE)</f>
        <v>C0122</v>
      </c>
    </row>
    <row r="1222" spans="1:11" x14ac:dyDescent="0.3">
      <c r="A1222" s="1" t="s">
        <v>3112</v>
      </c>
      <c r="B1222" s="1" t="s">
        <v>3111</v>
      </c>
      <c r="C1222" s="1" t="s">
        <v>1130</v>
      </c>
      <c r="D1222" s="1">
        <v>3</v>
      </c>
      <c r="E1222" s="1">
        <v>0</v>
      </c>
      <c r="F1222" s="1" t="b">
        <v>0</v>
      </c>
      <c r="G1222">
        <f>VLOOKUP(C1222,Products!A:D,4,FALSE)</f>
        <v>2400</v>
      </c>
      <c r="H1222" t="str">
        <f>VLOOKUP(C1222,Products!A:D,3,FALSE)</f>
        <v>Electronics</v>
      </c>
      <c r="I1222">
        <f t="shared" si="19"/>
        <v>7200</v>
      </c>
      <c r="J1222" s="2">
        <f>VLOOKUP(B1222,Orders!A:C,3,FALSE)</f>
        <v>46083</v>
      </c>
      <c r="K1222" s="1" t="str">
        <f>VLOOKUP(B1222,Orders!A:B,2,FALSE)</f>
        <v>C0122</v>
      </c>
    </row>
    <row r="1223" spans="1:11" x14ac:dyDescent="0.3">
      <c r="A1223" s="1" t="s">
        <v>3113</v>
      </c>
      <c r="B1223" s="1" t="s">
        <v>3114</v>
      </c>
      <c r="C1223" s="1" t="s">
        <v>1412</v>
      </c>
      <c r="D1223" s="1">
        <v>3</v>
      </c>
      <c r="E1223" s="1">
        <v>0.15</v>
      </c>
      <c r="F1223" s="1" t="b">
        <v>0</v>
      </c>
      <c r="G1223">
        <f>VLOOKUP(C1223,Products!A:D,4,FALSE)</f>
        <v>1430</v>
      </c>
      <c r="H1223" t="str">
        <f>VLOOKUP(C1223,Products!A:D,3,FALSE)</f>
        <v>Books</v>
      </c>
      <c r="I1223">
        <f t="shared" si="19"/>
        <v>3646.5</v>
      </c>
      <c r="J1223" s="2">
        <f>VLOOKUP(B1223,Orders!A:C,3,FALSE)</f>
        <v>45941</v>
      </c>
      <c r="K1223" s="1" t="str">
        <f>VLOOKUP(B1223,Orders!A:B,2,FALSE)</f>
        <v>C0202</v>
      </c>
    </row>
    <row r="1224" spans="1:11" x14ac:dyDescent="0.3">
      <c r="A1224" s="1" t="s">
        <v>3115</v>
      </c>
      <c r="B1224" s="1" t="s">
        <v>3114</v>
      </c>
      <c r="C1224" s="1" t="s">
        <v>1257</v>
      </c>
      <c r="D1224" s="1">
        <v>2</v>
      </c>
      <c r="E1224" s="1">
        <v>0</v>
      </c>
      <c r="F1224" s="1" t="b">
        <v>0</v>
      </c>
      <c r="G1224">
        <f>VLOOKUP(C1224,Products!A:D,4,FALSE)</f>
        <v>1760</v>
      </c>
      <c r="H1224" t="str">
        <f>VLOOKUP(C1224,Products!A:D,3,FALSE)</f>
        <v>Books</v>
      </c>
      <c r="I1224">
        <f t="shared" si="19"/>
        <v>3520</v>
      </c>
      <c r="J1224" s="2">
        <f>VLOOKUP(B1224,Orders!A:C,3,FALSE)</f>
        <v>45941</v>
      </c>
      <c r="K1224" s="1" t="str">
        <f>VLOOKUP(B1224,Orders!A:B,2,FALSE)</f>
        <v>C0202</v>
      </c>
    </row>
    <row r="1225" spans="1:11" x14ac:dyDescent="0.3">
      <c r="A1225" s="1" t="s">
        <v>3116</v>
      </c>
      <c r="B1225" s="1" t="s">
        <v>3117</v>
      </c>
      <c r="C1225" s="1" t="s">
        <v>1197</v>
      </c>
      <c r="D1225" s="1">
        <v>3</v>
      </c>
      <c r="E1225" s="1">
        <v>0.2</v>
      </c>
      <c r="F1225" s="1" t="b">
        <v>0</v>
      </c>
      <c r="G1225">
        <f>VLOOKUP(C1225,Products!A:D,4,FALSE)</f>
        <v>2050</v>
      </c>
      <c r="H1225" t="str">
        <f>VLOOKUP(C1225,Products!A:D,3,FALSE)</f>
        <v>Apparel</v>
      </c>
      <c r="I1225">
        <f t="shared" si="19"/>
        <v>4920</v>
      </c>
      <c r="J1225" s="2">
        <f>VLOOKUP(B1225,Orders!A:C,3,FALSE)</f>
        <v>45835</v>
      </c>
      <c r="K1225" s="1" t="str">
        <f>VLOOKUP(B1225,Orders!A:B,2,FALSE)</f>
        <v>C0163</v>
      </c>
    </row>
    <row r="1226" spans="1:11" x14ac:dyDescent="0.3">
      <c r="A1226" s="1" t="s">
        <v>3118</v>
      </c>
      <c r="B1226" s="1" t="s">
        <v>3117</v>
      </c>
      <c r="C1226" s="1" t="s">
        <v>1242</v>
      </c>
      <c r="D1226" s="1">
        <v>1</v>
      </c>
      <c r="E1226" s="1">
        <v>0.1</v>
      </c>
      <c r="F1226" s="1" t="b">
        <v>0</v>
      </c>
      <c r="G1226">
        <f>VLOOKUP(C1226,Products!A:D,4,FALSE)</f>
        <v>2720</v>
      </c>
      <c r="H1226" t="str">
        <f>VLOOKUP(C1226,Products!A:D,3,FALSE)</f>
        <v>Beauty</v>
      </c>
      <c r="I1226">
        <f t="shared" si="19"/>
        <v>2448</v>
      </c>
      <c r="J1226" s="2">
        <f>VLOOKUP(B1226,Orders!A:C,3,FALSE)</f>
        <v>45835</v>
      </c>
      <c r="K1226" s="1" t="str">
        <f>VLOOKUP(B1226,Orders!A:B,2,FALSE)</f>
        <v>C0163</v>
      </c>
    </row>
    <row r="1227" spans="1:11" x14ac:dyDescent="0.3">
      <c r="A1227" s="1" t="s">
        <v>3119</v>
      </c>
      <c r="B1227" s="1" t="s">
        <v>3117</v>
      </c>
      <c r="C1227" s="1" t="s">
        <v>1333</v>
      </c>
      <c r="D1227" s="1">
        <v>4</v>
      </c>
      <c r="E1227" s="1">
        <v>0</v>
      </c>
      <c r="F1227" s="1" t="b">
        <v>0</v>
      </c>
      <c r="G1227">
        <f>VLOOKUP(C1227,Products!A:D,4,FALSE)</f>
        <v>1440</v>
      </c>
      <c r="H1227" t="str">
        <f>VLOOKUP(C1227,Products!A:D,3,FALSE)</f>
        <v>Home &amp; Kitchen</v>
      </c>
      <c r="I1227">
        <f t="shared" si="19"/>
        <v>5760</v>
      </c>
      <c r="J1227" s="2">
        <f>VLOOKUP(B1227,Orders!A:C,3,FALSE)</f>
        <v>45835</v>
      </c>
      <c r="K1227" s="1" t="str">
        <f>VLOOKUP(B1227,Orders!A:B,2,FALSE)</f>
        <v>C0163</v>
      </c>
    </row>
    <row r="1228" spans="1:11" x14ac:dyDescent="0.3">
      <c r="A1228" s="1" t="s">
        <v>3120</v>
      </c>
      <c r="B1228" s="1" t="s">
        <v>3121</v>
      </c>
      <c r="C1228" s="1" t="s">
        <v>1328</v>
      </c>
      <c r="D1228" s="1">
        <v>2</v>
      </c>
      <c r="E1228" s="1">
        <v>0.2</v>
      </c>
      <c r="F1228" s="1" t="b">
        <v>0</v>
      </c>
      <c r="G1228">
        <f>VLOOKUP(C1228,Products!A:D,4,FALSE)</f>
        <v>1880</v>
      </c>
      <c r="H1228" t="str">
        <f>VLOOKUP(C1228,Products!A:D,3,FALSE)</f>
        <v>Apparel</v>
      </c>
      <c r="I1228">
        <f t="shared" si="19"/>
        <v>3008</v>
      </c>
      <c r="J1228" s="2">
        <f>VLOOKUP(B1228,Orders!A:C,3,FALSE)</f>
        <v>45744</v>
      </c>
      <c r="K1228" s="1" t="str">
        <f>VLOOKUP(B1228,Orders!A:B,2,FALSE)</f>
        <v>C0039</v>
      </c>
    </row>
    <row r="1229" spans="1:11" x14ac:dyDescent="0.3">
      <c r="A1229" s="1" t="s">
        <v>3122</v>
      </c>
      <c r="B1229" s="1" t="s">
        <v>3123</v>
      </c>
      <c r="C1229" s="1" t="s">
        <v>1216</v>
      </c>
      <c r="D1229" s="1">
        <v>1</v>
      </c>
      <c r="E1229" s="1">
        <v>0.2</v>
      </c>
      <c r="F1229" s="1" t="b">
        <v>0</v>
      </c>
      <c r="G1229">
        <f>VLOOKUP(C1229,Products!A:D,4,FALSE)</f>
        <v>1240</v>
      </c>
      <c r="H1229" t="str">
        <f>VLOOKUP(C1229,Products!A:D,3,FALSE)</f>
        <v>Apparel</v>
      </c>
      <c r="I1229">
        <f t="shared" si="19"/>
        <v>992</v>
      </c>
      <c r="J1229" s="2">
        <f>VLOOKUP(B1229,Orders!A:C,3,FALSE)</f>
        <v>46203</v>
      </c>
      <c r="K1229" s="1" t="str">
        <f>VLOOKUP(B1229,Orders!A:B,2,FALSE)</f>
        <v>C0300</v>
      </c>
    </row>
    <row r="1230" spans="1:11" x14ac:dyDescent="0.3">
      <c r="A1230" s="1" t="s">
        <v>3124</v>
      </c>
      <c r="B1230" s="1" t="s">
        <v>3123</v>
      </c>
      <c r="C1230" s="1" t="s">
        <v>1132</v>
      </c>
      <c r="D1230" s="1">
        <v>2</v>
      </c>
      <c r="E1230" s="1">
        <v>0.05</v>
      </c>
      <c r="F1230" s="1" t="b">
        <v>0</v>
      </c>
      <c r="G1230">
        <f>VLOOKUP(C1230,Products!A:D,4,FALSE)</f>
        <v>420</v>
      </c>
      <c r="H1230" t="str">
        <f>VLOOKUP(C1230,Products!A:D,3,FALSE)</f>
        <v>Beauty</v>
      </c>
      <c r="I1230">
        <f t="shared" si="19"/>
        <v>798</v>
      </c>
      <c r="J1230" s="2">
        <f>VLOOKUP(B1230,Orders!A:C,3,FALSE)</f>
        <v>46203</v>
      </c>
      <c r="K1230" s="1" t="str">
        <f>VLOOKUP(B1230,Orders!A:B,2,FALSE)</f>
        <v>C0300</v>
      </c>
    </row>
    <row r="1231" spans="1:11" x14ac:dyDescent="0.3">
      <c r="A1231" s="1" t="s">
        <v>3125</v>
      </c>
      <c r="B1231" s="1" t="s">
        <v>3123</v>
      </c>
      <c r="C1231" s="1" t="s">
        <v>1403</v>
      </c>
      <c r="D1231" s="1">
        <v>3</v>
      </c>
      <c r="E1231" s="1">
        <v>0.15</v>
      </c>
      <c r="F1231" s="1" t="b">
        <v>0</v>
      </c>
      <c r="G1231">
        <f>VLOOKUP(C1231,Products!A:D,4,FALSE)</f>
        <v>1340</v>
      </c>
      <c r="H1231" t="str">
        <f>VLOOKUP(C1231,Products!A:D,3,FALSE)</f>
        <v>Electronics</v>
      </c>
      <c r="I1231">
        <f t="shared" si="19"/>
        <v>3417</v>
      </c>
      <c r="J1231" s="2">
        <f>VLOOKUP(B1231,Orders!A:C,3,FALSE)</f>
        <v>46203</v>
      </c>
      <c r="K1231" s="1" t="str">
        <f>VLOOKUP(B1231,Orders!A:B,2,FALSE)</f>
        <v>C0300</v>
      </c>
    </row>
    <row r="1232" spans="1:11" x14ac:dyDescent="0.3">
      <c r="A1232" s="1" t="s">
        <v>3126</v>
      </c>
      <c r="B1232" s="1" t="s">
        <v>3127</v>
      </c>
      <c r="C1232" s="1" t="s">
        <v>1433</v>
      </c>
      <c r="D1232" s="1">
        <v>1</v>
      </c>
      <c r="E1232" s="1">
        <v>0</v>
      </c>
      <c r="F1232" s="1" t="b">
        <v>0</v>
      </c>
      <c r="G1232">
        <f>VLOOKUP(C1232,Products!A:D,4,FALSE)</f>
        <v>110</v>
      </c>
      <c r="H1232" t="str">
        <f>VLOOKUP(C1232,Products!A:D,3,FALSE)</f>
        <v>Home &amp; Kitchen</v>
      </c>
      <c r="I1232">
        <f t="shared" si="19"/>
        <v>110</v>
      </c>
      <c r="J1232" s="2">
        <f>VLOOKUP(B1232,Orders!A:C,3,FALSE)</f>
        <v>46159</v>
      </c>
      <c r="K1232" s="1" t="str">
        <f>VLOOKUP(B1232,Orders!A:B,2,FALSE)</f>
        <v>C0085</v>
      </c>
    </row>
    <row r="1233" spans="1:11" x14ac:dyDescent="0.3">
      <c r="A1233" s="1" t="s">
        <v>3128</v>
      </c>
      <c r="B1233" s="1" t="s">
        <v>3127</v>
      </c>
      <c r="C1233" s="1" t="s">
        <v>1135</v>
      </c>
      <c r="D1233" s="1">
        <v>4</v>
      </c>
      <c r="E1233" s="1">
        <v>0.15</v>
      </c>
      <c r="F1233" s="1" t="b">
        <v>0</v>
      </c>
      <c r="G1233">
        <f>VLOOKUP(C1233,Products!A:D,4,FALSE)</f>
        <v>470</v>
      </c>
      <c r="H1233" t="str">
        <f>VLOOKUP(C1233,Products!A:D,3,FALSE)</f>
        <v>Apparel</v>
      </c>
      <c r="I1233">
        <f t="shared" si="19"/>
        <v>1598</v>
      </c>
      <c r="J1233" s="2">
        <f>VLOOKUP(B1233,Orders!A:C,3,FALSE)</f>
        <v>46159</v>
      </c>
      <c r="K1233" s="1" t="str">
        <f>VLOOKUP(B1233,Orders!A:B,2,FALSE)</f>
        <v>C0085</v>
      </c>
    </row>
    <row r="1234" spans="1:11" x14ac:dyDescent="0.3">
      <c r="A1234" s="1" t="s">
        <v>3129</v>
      </c>
      <c r="B1234" s="1" t="s">
        <v>3130</v>
      </c>
      <c r="C1234" s="1" t="s">
        <v>1468</v>
      </c>
      <c r="D1234" s="1">
        <v>5</v>
      </c>
      <c r="E1234" s="1">
        <v>0</v>
      </c>
      <c r="F1234" s="1" t="b">
        <v>0</v>
      </c>
      <c r="G1234">
        <f>VLOOKUP(C1234,Products!A:D,4,FALSE)</f>
        <v>2040</v>
      </c>
      <c r="H1234" t="str">
        <f>VLOOKUP(C1234,Products!A:D,3,FALSE)</f>
        <v>Books</v>
      </c>
      <c r="I1234">
        <f t="shared" si="19"/>
        <v>10200</v>
      </c>
      <c r="J1234" s="2">
        <f>VLOOKUP(B1234,Orders!A:C,3,FALSE)</f>
        <v>45864</v>
      </c>
      <c r="K1234" s="1" t="str">
        <f>VLOOKUP(B1234,Orders!A:B,2,FALSE)</f>
        <v>C0209</v>
      </c>
    </row>
    <row r="1235" spans="1:11" x14ac:dyDescent="0.3">
      <c r="A1235" s="1" t="s">
        <v>3131</v>
      </c>
      <c r="B1235" s="1" t="s">
        <v>3130</v>
      </c>
      <c r="C1235" s="1" t="s">
        <v>1204</v>
      </c>
      <c r="D1235" s="1">
        <v>1</v>
      </c>
      <c r="E1235" s="1">
        <v>0.2</v>
      </c>
      <c r="F1235" s="1" t="b">
        <v>0</v>
      </c>
      <c r="G1235">
        <f>VLOOKUP(C1235,Products!A:D,4,FALSE)</f>
        <v>940</v>
      </c>
      <c r="H1235" t="str">
        <f>VLOOKUP(C1235,Products!A:D,3,FALSE)</f>
        <v>Apparel</v>
      </c>
      <c r="I1235">
        <f t="shared" si="19"/>
        <v>752</v>
      </c>
      <c r="J1235" s="2">
        <f>VLOOKUP(B1235,Orders!A:C,3,FALSE)</f>
        <v>45864</v>
      </c>
      <c r="K1235" s="1" t="str">
        <f>VLOOKUP(B1235,Orders!A:B,2,FALSE)</f>
        <v>C0209</v>
      </c>
    </row>
    <row r="1236" spans="1:11" x14ac:dyDescent="0.3">
      <c r="A1236" s="1" t="s">
        <v>3132</v>
      </c>
      <c r="B1236" s="1" t="s">
        <v>3130</v>
      </c>
      <c r="C1236" s="1" t="s">
        <v>1462</v>
      </c>
      <c r="D1236" s="1">
        <v>5</v>
      </c>
      <c r="E1236" s="1">
        <v>0</v>
      </c>
      <c r="F1236" s="1" t="b">
        <v>0</v>
      </c>
      <c r="G1236">
        <f>VLOOKUP(C1236,Products!A:D,4,FALSE)</f>
        <v>3070</v>
      </c>
      <c r="H1236" t="str">
        <f>VLOOKUP(C1236,Products!A:D,3,FALSE)</f>
        <v>Apparel</v>
      </c>
      <c r="I1236">
        <f t="shared" si="19"/>
        <v>15350</v>
      </c>
      <c r="J1236" s="2">
        <f>VLOOKUP(B1236,Orders!A:C,3,FALSE)</f>
        <v>45864</v>
      </c>
      <c r="K1236" s="1" t="str">
        <f>VLOOKUP(B1236,Orders!A:B,2,FALSE)</f>
        <v>C0209</v>
      </c>
    </row>
    <row r="1237" spans="1:11" x14ac:dyDescent="0.3">
      <c r="A1237" s="1" t="s">
        <v>3133</v>
      </c>
      <c r="B1237" s="1" t="s">
        <v>3134</v>
      </c>
      <c r="C1237" s="1" t="s">
        <v>1265</v>
      </c>
      <c r="D1237" s="1">
        <v>4</v>
      </c>
      <c r="E1237" s="1">
        <v>0</v>
      </c>
      <c r="F1237" s="1" t="b">
        <v>0</v>
      </c>
      <c r="G1237">
        <f>VLOOKUP(C1237,Products!A:D,4,FALSE)</f>
        <v>99</v>
      </c>
      <c r="H1237" t="str">
        <f>VLOOKUP(C1237,Products!A:D,3,FALSE)</f>
        <v>Beauty</v>
      </c>
      <c r="I1237">
        <f t="shared" si="19"/>
        <v>396</v>
      </c>
      <c r="J1237" s="2">
        <f>VLOOKUP(B1237,Orders!A:C,3,FALSE)</f>
        <v>46129</v>
      </c>
      <c r="K1237" s="1" t="str">
        <f>VLOOKUP(B1237,Orders!A:B,2,FALSE)</f>
        <v>C0107</v>
      </c>
    </row>
    <row r="1238" spans="1:11" x14ac:dyDescent="0.3">
      <c r="A1238" s="1" t="s">
        <v>3135</v>
      </c>
      <c r="B1238" s="1" t="s">
        <v>3136</v>
      </c>
      <c r="C1238" s="1" t="s">
        <v>1140</v>
      </c>
      <c r="D1238" s="1">
        <v>1</v>
      </c>
      <c r="E1238" s="1">
        <v>0.2</v>
      </c>
      <c r="F1238" s="1" t="b">
        <v>0</v>
      </c>
      <c r="G1238">
        <f>VLOOKUP(C1238,Products!A:D,4,FALSE)</f>
        <v>3040</v>
      </c>
      <c r="H1238" t="str">
        <f>VLOOKUP(C1238,Products!A:D,3,FALSE)</f>
        <v>Electronics</v>
      </c>
      <c r="I1238">
        <f t="shared" si="19"/>
        <v>2432</v>
      </c>
      <c r="J1238" s="2">
        <f>VLOOKUP(B1238,Orders!A:C,3,FALSE)</f>
        <v>46094</v>
      </c>
      <c r="K1238" s="1" t="str">
        <f>VLOOKUP(B1238,Orders!A:B,2,FALSE)</f>
        <v>C0136</v>
      </c>
    </row>
    <row r="1239" spans="1:11" x14ac:dyDescent="0.3">
      <c r="A1239" s="1" t="s">
        <v>3137</v>
      </c>
      <c r="B1239" s="1" t="s">
        <v>3136</v>
      </c>
      <c r="C1239" s="1" t="s">
        <v>1140</v>
      </c>
      <c r="D1239" s="1">
        <v>3</v>
      </c>
      <c r="E1239" s="1">
        <v>0.1</v>
      </c>
      <c r="F1239" s="1" t="b">
        <v>0</v>
      </c>
      <c r="G1239">
        <f>VLOOKUP(C1239,Products!A:D,4,FALSE)</f>
        <v>3040</v>
      </c>
      <c r="H1239" t="str">
        <f>VLOOKUP(C1239,Products!A:D,3,FALSE)</f>
        <v>Electronics</v>
      </c>
      <c r="I1239">
        <f t="shared" si="19"/>
        <v>8208</v>
      </c>
      <c r="J1239" s="2">
        <f>VLOOKUP(B1239,Orders!A:C,3,FALSE)</f>
        <v>46094</v>
      </c>
      <c r="K1239" s="1" t="str">
        <f>VLOOKUP(B1239,Orders!A:B,2,FALSE)</f>
        <v>C0136</v>
      </c>
    </row>
    <row r="1240" spans="1:11" x14ac:dyDescent="0.3">
      <c r="A1240" s="1" t="s">
        <v>3138</v>
      </c>
      <c r="B1240" s="1" t="s">
        <v>3139</v>
      </c>
      <c r="C1240" s="1" t="s">
        <v>1393</v>
      </c>
      <c r="D1240" s="1">
        <v>4</v>
      </c>
      <c r="E1240" s="1">
        <v>0</v>
      </c>
      <c r="F1240" s="1" t="b">
        <v>0</v>
      </c>
      <c r="G1240">
        <f>VLOOKUP(C1240,Products!A:D,4,FALSE)</f>
        <v>1520</v>
      </c>
      <c r="H1240" t="str">
        <f>VLOOKUP(C1240,Products!A:D,3,FALSE)</f>
        <v>Electronics</v>
      </c>
      <c r="I1240">
        <f t="shared" si="19"/>
        <v>6080</v>
      </c>
      <c r="J1240" s="2">
        <f>VLOOKUP(B1240,Orders!A:C,3,FALSE)</f>
        <v>46029</v>
      </c>
      <c r="K1240" s="1" t="str">
        <f>VLOOKUP(B1240,Orders!A:B,2,FALSE)</f>
        <v>C0081</v>
      </c>
    </row>
    <row r="1241" spans="1:11" x14ac:dyDescent="0.3">
      <c r="A1241" s="1" t="s">
        <v>3140</v>
      </c>
      <c r="B1241" s="1" t="s">
        <v>3141</v>
      </c>
      <c r="C1241" s="1" t="s">
        <v>1121</v>
      </c>
      <c r="D1241" s="1">
        <v>4</v>
      </c>
      <c r="E1241" s="1">
        <v>0.15</v>
      </c>
      <c r="F1241" s="1" t="b">
        <v>0</v>
      </c>
      <c r="G1241">
        <f>VLOOKUP(C1241,Products!A:D,4,FALSE)</f>
        <v>1440</v>
      </c>
      <c r="H1241" t="str">
        <f>VLOOKUP(C1241,Products!A:D,3,FALSE)</f>
        <v>Sports</v>
      </c>
      <c r="I1241">
        <f t="shared" si="19"/>
        <v>4896</v>
      </c>
      <c r="J1241" s="2">
        <f>VLOOKUP(B1241,Orders!A:C,3,FALSE)</f>
        <v>45946</v>
      </c>
      <c r="K1241" s="1" t="str">
        <f>VLOOKUP(B1241,Orders!A:B,2,FALSE)</f>
        <v>C0021</v>
      </c>
    </row>
    <row r="1242" spans="1:11" x14ac:dyDescent="0.3">
      <c r="A1242" s="1" t="s">
        <v>3142</v>
      </c>
      <c r="B1242" s="1" t="s">
        <v>3143</v>
      </c>
      <c r="C1242" s="1" t="s">
        <v>1433</v>
      </c>
      <c r="D1242" s="1">
        <v>4</v>
      </c>
      <c r="E1242" s="1">
        <v>0.1</v>
      </c>
      <c r="F1242" s="1" t="b">
        <v>0</v>
      </c>
      <c r="G1242">
        <f>VLOOKUP(C1242,Products!A:D,4,FALSE)</f>
        <v>110</v>
      </c>
      <c r="H1242" t="str">
        <f>VLOOKUP(C1242,Products!A:D,3,FALSE)</f>
        <v>Home &amp; Kitchen</v>
      </c>
      <c r="I1242">
        <f t="shared" si="19"/>
        <v>396</v>
      </c>
      <c r="J1242" s="2">
        <f>VLOOKUP(B1242,Orders!A:C,3,FALSE)</f>
        <v>46021</v>
      </c>
      <c r="K1242" s="1" t="str">
        <f>VLOOKUP(B1242,Orders!A:B,2,FALSE)</f>
        <v>C0076</v>
      </c>
    </row>
    <row r="1243" spans="1:11" x14ac:dyDescent="0.3">
      <c r="A1243" s="1" t="s">
        <v>3144</v>
      </c>
      <c r="B1243" s="1" t="s">
        <v>3145</v>
      </c>
      <c r="C1243" s="1" t="s">
        <v>1116</v>
      </c>
      <c r="D1243" s="1">
        <v>1</v>
      </c>
      <c r="E1243" s="1">
        <v>0</v>
      </c>
      <c r="F1243" s="1" t="b">
        <v>0</v>
      </c>
      <c r="G1243">
        <f>VLOOKUP(C1243,Products!A:D,4,FALSE)</f>
        <v>3000</v>
      </c>
      <c r="H1243" t="str">
        <f>VLOOKUP(C1243,Products!A:D,3,FALSE)</f>
        <v>Home &amp; Kitchen</v>
      </c>
      <c r="I1243">
        <f t="shared" si="19"/>
        <v>3000</v>
      </c>
      <c r="J1243" s="2">
        <f>VLOOKUP(B1243,Orders!A:C,3,FALSE)</f>
        <v>46006</v>
      </c>
      <c r="K1243" s="1" t="str">
        <f>VLOOKUP(B1243,Orders!A:B,2,FALSE)</f>
        <v>C0128</v>
      </c>
    </row>
    <row r="1244" spans="1:11" x14ac:dyDescent="0.3">
      <c r="A1244" s="1" t="s">
        <v>3146</v>
      </c>
      <c r="B1244" s="1" t="s">
        <v>3145</v>
      </c>
      <c r="C1244" s="1" t="s">
        <v>1498</v>
      </c>
      <c r="D1244" s="1">
        <v>4</v>
      </c>
      <c r="E1244" s="1">
        <v>0</v>
      </c>
      <c r="F1244" s="1" t="b">
        <v>0</v>
      </c>
      <c r="G1244">
        <f>VLOOKUP(C1244,Products!A:D,4,FALSE)</f>
        <v>1910</v>
      </c>
      <c r="H1244" t="str">
        <f>VLOOKUP(C1244,Products!A:D,3,FALSE)</f>
        <v>Apparel</v>
      </c>
      <c r="I1244">
        <f t="shared" si="19"/>
        <v>7640</v>
      </c>
      <c r="J1244" s="2">
        <f>VLOOKUP(B1244,Orders!A:C,3,FALSE)</f>
        <v>46006</v>
      </c>
      <c r="K1244" s="1" t="str">
        <f>VLOOKUP(B1244,Orders!A:B,2,FALSE)</f>
        <v>C0128</v>
      </c>
    </row>
    <row r="1245" spans="1:11" x14ac:dyDescent="0.3">
      <c r="A1245" s="1" t="s">
        <v>3147</v>
      </c>
      <c r="B1245" s="1" t="s">
        <v>3148</v>
      </c>
      <c r="C1245" s="1" t="s">
        <v>1209</v>
      </c>
      <c r="D1245" s="1">
        <v>3</v>
      </c>
      <c r="E1245" s="1">
        <v>0</v>
      </c>
      <c r="F1245" s="1" t="b">
        <v>0</v>
      </c>
      <c r="G1245">
        <f>VLOOKUP(C1245,Products!A:D,4,FALSE)</f>
        <v>1580</v>
      </c>
      <c r="H1245" t="str">
        <f>VLOOKUP(C1245,Products!A:D,3,FALSE)</f>
        <v>Apparel</v>
      </c>
      <c r="I1245">
        <f t="shared" si="19"/>
        <v>4740</v>
      </c>
      <c r="J1245" s="2">
        <f>VLOOKUP(B1245,Orders!A:C,3,FALSE)</f>
        <v>46036</v>
      </c>
      <c r="K1245" s="1" t="str">
        <f>VLOOKUP(B1245,Orders!A:B,2,FALSE)</f>
        <v>C0263</v>
      </c>
    </row>
    <row r="1246" spans="1:11" x14ac:dyDescent="0.3">
      <c r="A1246" s="1" t="s">
        <v>3149</v>
      </c>
      <c r="B1246" s="1" t="s">
        <v>3148</v>
      </c>
      <c r="C1246" s="1" t="s">
        <v>1330</v>
      </c>
      <c r="D1246" s="1">
        <v>3</v>
      </c>
      <c r="E1246" s="1">
        <v>0.2</v>
      </c>
      <c r="F1246" s="1" t="b">
        <v>0</v>
      </c>
      <c r="G1246">
        <f>VLOOKUP(C1246,Products!A:D,4,FALSE)</f>
        <v>580</v>
      </c>
      <c r="H1246" t="str">
        <f>VLOOKUP(C1246,Products!A:D,3,FALSE)</f>
        <v>Books</v>
      </c>
      <c r="I1246">
        <f t="shared" si="19"/>
        <v>1392</v>
      </c>
      <c r="J1246" s="2">
        <f>VLOOKUP(B1246,Orders!A:C,3,FALSE)</f>
        <v>46036</v>
      </c>
      <c r="K1246" s="1" t="str">
        <f>VLOOKUP(B1246,Orders!A:B,2,FALSE)</f>
        <v>C0263</v>
      </c>
    </row>
    <row r="1247" spans="1:11" x14ac:dyDescent="0.3">
      <c r="A1247" s="1" t="s">
        <v>3150</v>
      </c>
      <c r="B1247" s="1" t="s">
        <v>3148</v>
      </c>
      <c r="C1247" s="1" t="s">
        <v>1262</v>
      </c>
      <c r="D1247" s="1">
        <v>5</v>
      </c>
      <c r="E1247" s="1">
        <v>0.05</v>
      </c>
      <c r="F1247" s="1" t="b">
        <v>0</v>
      </c>
      <c r="G1247">
        <f>VLOOKUP(C1247,Products!A:D,4,FALSE)</f>
        <v>4020</v>
      </c>
      <c r="H1247" t="str">
        <f>VLOOKUP(C1247,Products!A:D,3,FALSE)</f>
        <v>Sports</v>
      </c>
      <c r="I1247">
        <f t="shared" si="19"/>
        <v>19095</v>
      </c>
      <c r="J1247" s="2">
        <f>VLOOKUP(B1247,Orders!A:C,3,FALSE)</f>
        <v>46036</v>
      </c>
      <c r="K1247" s="1" t="str">
        <f>VLOOKUP(B1247,Orders!A:B,2,FALSE)</f>
        <v>C0263</v>
      </c>
    </row>
    <row r="1248" spans="1:11" x14ac:dyDescent="0.3">
      <c r="A1248" s="1" t="s">
        <v>3151</v>
      </c>
      <c r="B1248" s="1" t="s">
        <v>3152</v>
      </c>
      <c r="C1248" s="1" t="s">
        <v>1118</v>
      </c>
      <c r="D1248" s="1">
        <v>5</v>
      </c>
      <c r="E1248" s="1">
        <v>0</v>
      </c>
      <c r="F1248" s="1" t="b">
        <v>0</v>
      </c>
      <c r="G1248">
        <f>VLOOKUP(C1248,Products!A:D,4,FALSE)</f>
        <v>5550</v>
      </c>
      <c r="H1248" t="str">
        <f>VLOOKUP(C1248,Products!A:D,3,FALSE)</f>
        <v>Home &amp; Kitchen</v>
      </c>
      <c r="I1248">
        <f t="shared" si="19"/>
        <v>27750</v>
      </c>
      <c r="J1248" s="2">
        <f>VLOOKUP(B1248,Orders!A:C,3,FALSE)</f>
        <v>46069</v>
      </c>
      <c r="K1248" s="1" t="str">
        <f>VLOOKUP(B1248,Orders!A:B,2,FALSE)</f>
        <v>C0134</v>
      </c>
    </row>
    <row r="1249" spans="1:11" x14ac:dyDescent="0.3">
      <c r="A1249" s="1" t="s">
        <v>3153</v>
      </c>
      <c r="B1249" s="1" t="s">
        <v>3154</v>
      </c>
      <c r="C1249" s="1" t="s">
        <v>1195</v>
      </c>
      <c r="D1249" s="1">
        <v>1</v>
      </c>
      <c r="E1249" s="1">
        <v>0.1</v>
      </c>
      <c r="F1249" s="1" t="b">
        <v>0</v>
      </c>
      <c r="G1249">
        <f>VLOOKUP(C1249,Products!A:D,4,FALSE)</f>
        <v>3430</v>
      </c>
      <c r="H1249" t="str">
        <f>VLOOKUP(C1249,Products!A:D,3,FALSE)</f>
        <v>Books</v>
      </c>
      <c r="I1249">
        <f t="shared" si="19"/>
        <v>3087</v>
      </c>
      <c r="J1249" s="2">
        <f>VLOOKUP(B1249,Orders!A:C,3,FALSE)</f>
        <v>45910</v>
      </c>
      <c r="K1249" s="1" t="str">
        <f>VLOOKUP(B1249,Orders!A:B,2,FALSE)</f>
        <v>C0016</v>
      </c>
    </row>
    <row r="1250" spans="1:11" x14ac:dyDescent="0.3">
      <c r="A1250" s="1" t="s">
        <v>3155</v>
      </c>
      <c r="B1250" s="1" t="s">
        <v>3154</v>
      </c>
      <c r="C1250" s="1" t="s">
        <v>1140</v>
      </c>
      <c r="D1250" s="1">
        <v>3</v>
      </c>
      <c r="E1250" s="1">
        <v>0</v>
      </c>
      <c r="F1250" s="1" t="b">
        <v>1</v>
      </c>
      <c r="G1250">
        <f>VLOOKUP(C1250,Products!A:D,4,FALSE)</f>
        <v>3040</v>
      </c>
      <c r="H1250" t="str">
        <f>VLOOKUP(C1250,Products!A:D,3,FALSE)</f>
        <v>Electronics</v>
      </c>
      <c r="I1250">
        <f t="shared" si="19"/>
        <v>9120</v>
      </c>
      <c r="J1250" s="2">
        <f>VLOOKUP(B1250,Orders!A:C,3,FALSE)</f>
        <v>45910</v>
      </c>
      <c r="K1250" s="1" t="str">
        <f>VLOOKUP(B1250,Orders!A:B,2,FALSE)</f>
        <v>C0016</v>
      </c>
    </row>
    <row r="1251" spans="1:11" x14ac:dyDescent="0.3">
      <c r="A1251" s="1" t="s">
        <v>3156</v>
      </c>
      <c r="B1251" s="1" t="s">
        <v>3154</v>
      </c>
      <c r="C1251" s="1" t="s">
        <v>1498</v>
      </c>
      <c r="D1251" s="1">
        <v>5</v>
      </c>
      <c r="E1251" s="1">
        <v>0.2</v>
      </c>
      <c r="F1251" s="1" t="b">
        <v>0</v>
      </c>
      <c r="G1251">
        <f>VLOOKUP(C1251,Products!A:D,4,FALSE)</f>
        <v>1910</v>
      </c>
      <c r="H1251" t="str">
        <f>VLOOKUP(C1251,Products!A:D,3,FALSE)</f>
        <v>Apparel</v>
      </c>
      <c r="I1251">
        <f t="shared" si="19"/>
        <v>7640</v>
      </c>
      <c r="J1251" s="2">
        <f>VLOOKUP(B1251,Orders!A:C,3,FALSE)</f>
        <v>45910</v>
      </c>
      <c r="K1251" s="1" t="str">
        <f>VLOOKUP(B1251,Orders!A:B,2,FALSE)</f>
        <v>C0016</v>
      </c>
    </row>
    <row r="1252" spans="1:11" x14ac:dyDescent="0.3">
      <c r="A1252" s="1" t="s">
        <v>3157</v>
      </c>
      <c r="B1252" s="1" t="s">
        <v>3158</v>
      </c>
      <c r="C1252" s="1" t="s">
        <v>1176</v>
      </c>
      <c r="D1252" s="1">
        <v>5</v>
      </c>
      <c r="E1252" s="1">
        <v>0</v>
      </c>
      <c r="F1252" s="1" t="b">
        <v>0</v>
      </c>
      <c r="G1252">
        <f>VLOOKUP(C1252,Products!A:D,4,FALSE)</f>
        <v>2670</v>
      </c>
      <c r="H1252" t="str">
        <f>VLOOKUP(C1252,Products!A:D,3,FALSE)</f>
        <v>Beauty</v>
      </c>
      <c r="I1252">
        <f t="shared" si="19"/>
        <v>13350</v>
      </c>
      <c r="J1252" s="2">
        <f>VLOOKUP(B1252,Orders!A:C,3,FALSE)</f>
        <v>46085</v>
      </c>
      <c r="K1252" s="1" t="str">
        <f>VLOOKUP(B1252,Orders!A:B,2,FALSE)</f>
        <v>C0285</v>
      </c>
    </row>
    <row r="1253" spans="1:11" x14ac:dyDescent="0.3">
      <c r="A1253" s="1" t="s">
        <v>3159</v>
      </c>
      <c r="B1253" s="1" t="s">
        <v>3160</v>
      </c>
      <c r="C1253" s="1" t="s">
        <v>1288</v>
      </c>
      <c r="D1253" s="1">
        <v>1</v>
      </c>
      <c r="E1253" s="1">
        <v>0.15</v>
      </c>
      <c r="F1253" s="1" t="b">
        <v>0</v>
      </c>
      <c r="G1253">
        <f>VLOOKUP(C1253,Products!A:D,4,FALSE)</f>
        <v>2580</v>
      </c>
      <c r="H1253" t="str">
        <f>VLOOKUP(C1253,Products!A:D,3,FALSE)</f>
        <v>Beauty</v>
      </c>
      <c r="I1253">
        <f t="shared" si="19"/>
        <v>2193</v>
      </c>
      <c r="J1253" s="2">
        <f>VLOOKUP(B1253,Orders!A:C,3,FALSE)</f>
        <v>45794</v>
      </c>
      <c r="K1253" s="1" t="str">
        <f>VLOOKUP(B1253,Orders!A:B,2,FALSE)</f>
        <v>C0049</v>
      </c>
    </row>
    <row r="1254" spans="1:11" x14ac:dyDescent="0.3">
      <c r="A1254" s="1" t="s">
        <v>3161</v>
      </c>
      <c r="B1254" s="1" t="s">
        <v>3160</v>
      </c>
      <c r="C1254" s="1" t="s">
        <v>1498</v>
      </c>
      <c r="D1254" s="1">
        <v>2</v>
      </c>
      <c r="E1254" s="1">
        <v>0.2</v>
      </c>
      <c r="F1254" s="1" t="b">
        <v>0</v>
      </c>
      <c r="G1254">
        <f>VLOOKUP(C1254,Products!A:D,4,FALSE)</f>
        <v>1910</v>
      </c>
      <c r="H1254" t="str">
        <f>VLOOKUP(C1254,Products!A:D,3,FALSE)</f>
        <v>Apparel</v>
      </c>
      <c r="I1254">
        <f t="shared" si="19"/>
        <v>3056</v>
      </c>
      <c r="J1254" s="2">
        <f>VLOOKUP(B1254,Orders!A:C,3,FALSE)</f>
        <v>45794</v>
      </c>
      <c r="K1254" s="1" t="str">
        <f>VLOOKUP(B1254,Orders!A:B,2,FALSE)</f>
        <v>C0049</v>
      </c>
    </row>
    <row r="1255" spans="1:11" x14ac:dyDescent="0.3">
      <c r="A1255" s="1" t="s">
        <v>3162</v>
      </c>
      <c r="B1255" s="1" t="s">
        <v>3163</v>
      </c>
      <c r="C1255" s="1" t="s">
        <v>1315</v>
      </c>
      <c r="D1255" s="1">
        <v>1</v>
      </c>
      <c r="E1255" s="1">
        <v>0</v>
      </c>
      <c r="F1255" s="1" t="b">
        <v>0</v>
      </c>
      <c r="G1255">
        <f>VLOOKUP(C1255,Products!A:D,4,FALSE)</f>
        <v>2190</v>
      </c>
      <c r="H1255" t="str">
        <f>VLOOKUP(C1255,Products!A:D,3,FALSE)</f>
        <v>Electronics</v>
      </c>
      <c r="I1255">
        <f t="shared" si="19"/>
        <v>2190</v>
      </c>
      <c r="J1255" s="2">
        <f>VLOOKUP(B1255,Orders!A:C,3,FALSE)</f>
        <v>46020</v>
      </c>
      <c r="K1255" s="1" t="str">
        <f>VLOOKUP(B1255,Orders!A:B,2,FALSE)</f>
        <v>C0063</v>
      </c>
    </row>
    <row r="1256" spans="1:11" x14ac:dyDescent="0.3">
      <c r="A1256" s="1" t="s">
        <v>3164</v>
      </c>
      <c r="B1256" s="1" t="s">
        <v>3165</v>
      </c>
      <c r="C1256" s="1" t="s">
        <v>1294</v>
      </c>
      <c r="D1256" s="1">
        <v>3</v>
      </c>
      <c r="E1256" s="1">
        <v>0.1</v>
      </c>
      <c r="F1256" s="1" t="b">
        <v>0</v>
      </c>
      <c r="G1256">
        <f>VLOOKUP(C1256,Products!A:D,4,FALSE)</f>
        <v>210</v>
      </c>
      <c r="H1256" t="str">
        <f>VLOOKUP(C1256,Products!A:D,3,FALSE)</f>
        <v>Electronics</v>
      </c>
      <c r="I1256">
        <f t="shared" si="19"/>
        <v>567</v>
      </c>
      <c r="J1256" s="2">
        <f>VLOOKUP(B1256,Orders!A:C,3,FALSE)</f>
        <v>45770</v>
      </c>
      <c r="K1256" s="1" t="str">
        <f>VLOOKUP(B1256,Orders!A:B,2,FALSE)</f>
        <v>C0067</v>
      </c>
    </row>
    <row r="1257" spans="1:11" x14ac:dyDescent="0.3">
      <c r="A1257" s="1" t="s">
        <v>3166</v>
      </c>
      <c r="B1257" s="1" t="s">
        <v>3167</v>
      </c>
      <c r="C1257" s="1" t="s">
        <v>1412</v>
      </c>
      <c r="D1257" s="1">
        <v>5</v>
      </c>
      <c r="E1257" s="1">
        <v>0.2</v>
      </c>
      <c r="F1257" s="1" t="b">
        <v>0</v>
      </c>
      <c r="G1257">
        <f>VLOOKUP(C1257,Products!A:D,4,FALSE)</f>
        <v>1430</v>
      </c>
      <c r="H1257" t="str">
        <f>VLOOKUP(C1257,Products!A:D,3,FALSE)</f>
        <v>Books</v>
      </c>
      <c r="I1257">
        <f t="shared" si="19"/>
        <v>5720</v>
      </c>
      <c r="J1257" s="2">
        <f>VLOOKUP(B1257,Orders!A:C,3,FALSE)</f>
        <v>46191</v>
      </c>
      <c r="K1257" s="1" t="str">
        <f>VLOOKUP(B1257,Orders!A:B,2,FALSE)</f>
        <v>C0191</v>
      </c>
    </row>
    <row r="1258" spans="1:11" x14ac:dyDescent="0.3">
      <c r="A1258" s="1" t="s">
        <v>3168</v>
      </c>
      <c r="B1258" s="1" t="s">
        <v>3167</v>
      </c>
      <c r="C1258" s="1" t="s">
        <v>1202</v>
      </c>
      <c r="D1258" s="1">
        <v>3</v>
      </c>
      <c r="E1258" s="1">
        <v>0.2</v>
      </c>
      <c r="F1258" s="1" t="b">
        <v>0</v>
      </c>
      <c r="G1258">
        <f>VLOOKUP(C1258,Products!A:D,4,FALSE)</f>
        <v>530</v>
      </c>
      <c r="H1258" t="str">
        <f>VLOOKUP(C1258,Products!A:D,3,FALSE)</f>
        <v>Beauty</v>
      </c>
      <c r="I1258">
        <f t="shared" si="19"/>
        <v>1272</v>
      </c>
      <c r="J1258" s="2">
        <f>VLOOKUP(B1258,Orders!A:C,3,FALSE)</f>
        <v>46191</v>
      </c>
      <c r="K1258" s="1" t="str">
        <f>VLOOKUP(B1258,Orders!A:B,2,FALSE)</f>
        <v>C0191</v>
      </c>
    </row>
    <row r="1259" spans="1:11" x14ac:dyDescent="0.3">
      <c r="A1259" s="1" t="s">
        <v>3169</v>
      </c>
      <c r="B1259" s="1" t="s">
        <v>3170</v>
      </c>
      <c r="C1259" s="1" t="s">
        <v>1171</v>
      </c>
      <c r="D1259" s="1">
        <v>2</v>
      </c>
      <c r="E1259" s="1">
        <v>0</v>
      </c>
      <c r="F1259" s="1" t="b">
        <v>0</v>
      </c>
      <c r="G1259">
        <f>VLOOKUP(C1259,Products!A:D,4,FALSE)</f>
        <v>2250</v>
      </c>
      <c r="H1259" t="str">
        <f>VLOOKUP(C1259,Products!A:D,3,FALSE)</f>
        <v>Home &amp; Kitchen</v>
      </c>
      <c r="I1259">
        <f t="shared" si="19"/>
        <v>4500</v>
      </c>
      <c r="J1259" s="2">
        <f>VLOOKUP(B1259,Orders!A:C,3,FALSE)</f>
        <v>45805</v>
      </c>
      <c r="K1259" s="1" t="str">
        <f>VLOOKUP(B1259,Orders!A:B,2,FALSE)</f>
        <v>C0299</v>
      </c>
    </row>
    <row r="1260" spans="1:11" x14ac:dyDescent="0.3">
      <c r="A1260" s="1" t="s">
        <v>3171</v>
      </c>
      <c r="B1260" s="1" t="s">
        <v>3170</v>
      </c>
      <c r="C1260" s="1" t="s">
        <v>1333</v>
      </c>
      <c r="D1260" s="1">
        <v>3</v>
      </c>
      <c r="E1260" s="1">
        <v>0.2</v>
      </c>
      <c r="F1260" s="1" t="b">
        <v>0</v>
      </c>
      <c r="G1260">
        <f>VLOOKUP(C1260,Products!A:D,4,FALSE)</f>
        <v>1440</v>
      </c>
      <c r="H1260" t="str">
        <f>VLOOKUP(C1260,Products!A:D,3,FALSE)</f>
        <v>Home &amp; Kitchen</v>
      </c>
      <c r="I1260">
        <f t="shared" si="19"/>
        <v>3456</v>
      </c>
      <c r="J1260" s="2">
        <f>VLOOKUP(B1260,Orders!A:C,3,FALSE)</f>
        <v>45805</v>
      </c>
      <c r="K1260" s="1" t="str">
        <f>VLOOKUP(B1260,Orders!A:B,2,FALSE)</f>
        <v>C0299</v>
      </c>
    </row>
    <row r="1261" spans="1:11" x14ac:dyDescent="0.3">
      <c r="A1261" s="1" t="s">
        <v>3172</v>
      </c>
      <c r="B1261" s="1" t="s">
        <v>3170</v>
      </c>
      <c r="C1261" s="1" t="s">
        <v>1199</v>
      </c>
      <c r="D1261" s="1">
        <v>4</v>
      </c>
      <c r="E1261" s="1">
        <v>0.1</v>
      </c>
      <c r="F1261" s="1" t="b">
        <v>0</v>
      </c>
      <c r="G1261">
        <f>VLOOKUP(C1261,Products!A:D,4,FALSE)</f>
        <v>99</v>
      </c>
      <c r="H1261" t="str">
        <f>VLOOKUP(C1261,Products!A:D,3,FALSE)</f>
        <v>Electronics</v>
      </c>
      <c r="I1261">
        <f t="shared" si="19"/>
        <v>356.40000000000003</v>
      </c>
      <c r="J1261" s="2">
        <f>VLOOKUP(B1261,Orders!A:C,3,FALSE)</f>
        <v>45805</v>
      </c>
      <c r="K1261" s="1" t="str">
        <f>VLOOKUP(B1261,Orders!A:B,2,FALSE)</f>
        <v>C0299</v>
      </c>
    </row>
    <row r="1262" spans="1:11" x14ac:dyDescent="0.3">
      <c r="A1262" s="1" t="s">
        <v>3173</v>
      </c>
      <c r="B1262" s="1" t="s">
        <v>3174</v>
      </c>
      <c r="C1262" s="1" t="s">
        <v>1315</v>
      </c>
      <c r="D1262" s="1">
        <v>1</v>
      </c>
      <c r="E1262" s="1">
        <v>0</v>
      </c>
      <c r="F1262" s="1" t="b">
        <v>0</v>
      </c>
      <c r="G1262">
        <f>VLOOKUP(C1262,Products!A:D,4,FALSE)</f>
        <v>2190</v>
      </c>
      <c r="H1262" t="str">
        <f>VLOOKUP(C1262,Products!A:D,3,FALSE)</f>
        <v>Electronics</v>
      </c>
      <c r="I1262">
        <f t="shared" si="19"/>
        <v>2190</v>
      </c>
      <c r="J1262" s="2">
        <f>VLOOKUP(B1262,Orders!A:C,3,FALSE)</f>
        <v>46212</v>
      </c>
      <c r="K1262" s="1" t="str">
        <f>VLOOKUP(B1262,Orders!A:B,2,FALSE)</f>
        <v>C0012</v>
      </c>
    </row>
    <row r="1263" spans="1:11" x14ac:dyDescent="0.3">
      <c r="A1263" s="1" t="s">
        <v>3175</v>
      </c>
      <c r="B1263" s="1" t="s">
        <v>3176</v>
      </c>
      <c r="C1263" s="1" t="s">
        <v>1209</v>
      </c>
      <c r="D1263" s="1">
        <v>4</v>
      </c>
      <c r="E1263" s="1">
        <v>0.15</v>
      </c>
      <c r="F1263" s="1" t="b">
        <v>0</v>
      </c>
      <c r="G1263">
        <f>VLOOKUP(C1263,Products!A:D,4,FALSE)</f>
        <v>1580</v>
      </c>
      <c r="H1263" t="str">
        <f>VLOOKUP(C1263,Products!A:D,3,FALSE)</f>
        <v>Apparel</v>
      </c>
      <c r="I1263">
        <f t="shared" si="19"/>
        <v>5372</v>
      </c>
      <c r="J1263" s="2">
        <f>VLOOKUP(B1263,Orders!A:C,3,FALSE)</f>
        <v>45844</v>
      </c>
      <c r="K1263" s="1" t="str">
        <f>VLOOKUP(B1263,Orders!A:B,2,FALSE)</f>
        <v>C0228</v>
      </c>
    </row>
    <row r="1264" spans="1:11" x14ac:dyDescent="0.3">
      <c r="A1264" s="1" t="s">
        <v>3177</v>
      </c>
      <c r="B1264" s="1" t="s">
        <v>3178</v>
      </c>
      <c r="C1264" s="1" t="s">
        <v>1333</v>
      </c>
      <c r="D1264" s="1">
        <v>4</v>
      </c>
      <c r="E1264" s="1">
        <v>0</v>
      </c>
      <c r="F1264" s="1" t="b">
        <v>0</v>
      </c>
      <c r="G1264">
        <f>VLOOKUP(C1264,Products!A:D,4,FALSE)</f>
        <v>1440</v>
      </c>
      <c r="H1264" t="str">
        <f>VLOOKUP(C1264,Products!A:D,3,FALSE)</f>
        <v>Home &amp; Kitchen</v>
      </c>
      <c r="I1264">
        <f t="shared" si="19"/>
        <v>5760</v>
      </c>
      <c r="J1264" s="2">
        <f>VLOOKUP(B1264,Orders!A:C,3,FALSE)</f>
        <v>45999</v>
      </c>
      <c r="K1264" s="1" t="str">
        <f>VLOOKUP(B1264,Orders!A:B,2,FALSE)</f>
        <v>C0170</v>
      </c>
    </row>
    <row r="1265" spans="1:11" x14ac:dyDescent="0.3">
      <c r="A1265" s="1" t="s">
        <v>3179</v>
      </c>
      <c r="B1265" s="1" t="s">
        <v>3180</v>
      </c>
      <c r="C1265" s="1" t="s">
        <v>1137</v>
      </c>
      <c r="D1265" s="1">
        <v>3</v>
      </c>
      <c r="E1265" s="1">
        <v>0.15</v>
      </c>
      <c r="F1265" s="1" t="b">
        <v>0</v>
      </c>
      <c r="G1265">
        <f>VLOOKUP(C1265,Products!A:D,4,FALSE)</f>
        <v>1910</v>
      </c>
      <c r="H1265" t="str">
        <f>VLOOKUP(C1265,Products!A:D,3,FALSE)</f>
        <v>Apparel</v>
      </c>
      <c r="I1265">
        <f t="shared" si="19"/>
        <v>4870.5</v>
      </c>
      <c r="J1265" s="2">
        <f>VLOOKUP(B1265,Orders!A:C,3,FALSE)</f>
        <v>45788</v>
      </c>
      <c r="K1265" s="1" t="str">
        <f>VLOOKUP(B1265,Orders!A:B,2,FALSE)</f>
        <v>C0026</v>
      </c>
    </row>
    <row r="1266" spans="1:11" x14ac:dyDescent="0.3">
      <c r="A1266" s="1" t="s">
        <v>3181</v>
      </c>
      <c r="B1266" s="1" t="s">
        <v>3180</v>
      </c>
      <c r="C1266" s="1" t="s">
        <v>1315</v>
      </c>
      <c r="D1266" s="1">
        <v>3</v>
      </c>
      <c r="E1266" s="1">
        <v>0</v>
      </c>
      <c r="F1266" s="1" t="b">
        <v>0</v>
      </c>
      <c r="G1266">
        <f>VLOOKUP(C1266,Products!A:D,4,FALSE)</f>
        <v>2190</v>
      </c>
      <c r="H1266" t="str">
        <f>VLOOKUP(C1266,Products!A:D,3,FALSE)</f>
        <v>Electronics</v>
      </c>
      <c r="I1266">
        <f t="shared" si="19"/>
        <v>6570</v>
      </c>
      <c r="J1266" s="2">
        <f>VLOOKUP(B1266,Orders!A:C,3,FALSE)</f>
        <v>45788</v>
      </c>
      <c r="K1266" s="1" t="str">
        <f>VLOOKUP(B1266,Orders!A:B,2,FALSE)</f>
        <v>C0026</v>
      </c>
    </row>
    <row r="1267" spans="1:11" x14ac:dyDescent="0.3">
      <c r="A1267" s="1" t="s">
        <v>3182</v>
      </c>
      <c r="B1267" s="1" t="s">
        <v>3183</v>
      </c>
      <c r="C1267" s="1" t="s">
        <v>1146</v>
      </c>
      <c r="D1267" s="1">
        <v>2</v>
      </c>
      <c r="E1267" s="1">
        <v>0</v>
      </c>
      <c r="F1267" s="1" t="b">
        <v>0</v>
      </c>
      <c r="G1267">
        <f>VLOOKUP(C1267,Products!A:D,4,FALSE)</f>
        <v>1630</v>
      </c>
      <c r="H1267" t="str">
        <f>VLOOKUP(C1267,Products!A:D,3,FALSE)</f>
        <v>Beauty</v>
      </c>
      <c r="I1267">
        <f t="shared" si="19"/>
        <v>3260</v>
      </c>
      <c r="J1267" s="2">
        <f>VLOOKUP(B1267,Orders!A:C,3,FALSE)</f>
        <v>46046</v>
      </c>
      <c r="K1267" s="1" t="str">
        <f>VLOOKUP(B1267,Orders!A:B,2,FALSE)</f>
        <v>C0222</v>
      </c>
    </row>
    <row r="1268" spans="1:11" x14ac:dyDescent="0.3">
      <c r="A1268" s="1" t="s">
        <v>3184</v>
      </c>
      <c r="B1268" s="1" t="s">
        <v>3185</v>
      </c>
      <c r="C1268" s="1" t="s">
        <v>1149</v>
      </c>
      <c r="D1268" s="1">
        <v>1</v>
      </c>
      <c r="E1268" s="1">
        <v>0</v>
      </c>
      <c r="F1268" s="1" t="b">
        <v>0</v>
      </c>
      <c r="G1268">
        <f>VLOOKUP(C1268,Products!A:D,4,FALSE)</f>
        <v>1150</v>
      </c>
      <c r="H1268" t="str">
        <f>VLOOKUP(C1268,Products!A:D,3,FALSE)</f>
        <v>Apparel</v>
      </c>
      <c r="I1268">
        <f t="shared" si="19"/>
        <v>1150</v>
      </c>
      <c r="J1268" s="2">
        <f>VLOOKUP(B1268,Orders!A:C,3,FALSE)</f>
        <v>46192</v>
      </c>
      <c r="K1268" s="1" t="str">
        <f>VLOOKUP(B1268,Orders!A:B,2,FALSE)</f>
        <v>C0255</v>
      </c>
    </row>
    <row r="1269" spans="1:11" x14ac:dyDescent="0.3">
      <c r="A1269" s="1" t="s">
        <v>3186</v>
      </c>
      <c r="B1269" s="1" t="s">
        <v>3185</v>
      </c>
      <c r="C1269" s="1" t="s">
        <v>1209</v>
      </c>
      <c r="D1269" s="1">
        <v>2</v>
      </c>
      <c r="E1269" s="1">
        <v>0.15</v>
      </c>
      <c r="F1269" s="1" t="b">
        <v>0</v>
      </c>
      <c r="G1269">
        <f>VLOOKUP(C1269,Products!A:D,4,FALSE)</f>
        <v>1580</v>
      </c>
      <c r="H1269" t="str">
        <f>VLOOKUP(C1269,Products!A:D,3,FALSE)</f>
        <v>Apparel</v>
      </c>
      <c r="I1269">
        <f t="shared" si="19"/>
        <v>2686</v>
      </c>
      <c r="J1269" s="2">
        <f>VLOOKUP(B1269,Orders!A:C,3,FALSE)</f>
        <v>46192</v>
      </c>
      <c r="K1269" s="1" t="str">
        <f>VLOOKUP(B1269,Orders!A:B,2,FALSE)</f>
        <v>C0255</v>
      </c>
    </row>
    <row r="1270" spans="1:11" x14ac:dyDescent="0.3">
      <c r="A1270" s="1" t="s">
        <v>3187</v>
      </c>
      <c r="B1270" s="1" t="s">
        <v>3185</v>
      </c>
      <c r="C1270" s="1" t="s">
        <v>1484</v>
      </c>
      <c r="D1270" s="1">
        <v>4</v>
      </c>
      <c r="E1270" s="1">
        <v>0.2</v>
      </c>
      <c r="F1270" s="1" t="b">
        <v>0</v>
      </c>
      <c r="G1270">
        <f>VLOOKUP(C1270,Products!A:D,4,FALSE)</f>
        <v>1080</v>
      </c>
      <c r="H1270" t="str">
        <f>VLOOKUP(C1270,Products!A:D,3,FALSE)</f>
        <v>Home &amp; Kitchen</v>
      </c>
      <c r="I1270">
        <f t="shared" si="19"/>
        <v>3456</v>
      </c>
      <c r="J1270" s="2">
        <f>VLOOKUP(B1270,Orders!A:C,3,FALSE)</f>
        <v>46192</v>
      </c>
      <c r="K1270" s="1" t="str">
        <f>VLOOKUP(B1270,Orders!A:B,2,FALSE)</f>
        <v>C0255</v>
      </c>
    </row>
    <row r="1271" spans="1:11" x14ac:dyDescent="0.3">
      <c r="A1271" s="1" t="s">
        <v>3188</v>
      </c>
      <c r="B1271" s="1" t="s">
        <v>3189</v>
      </c>
      <c r="C1271" s="1" t="s">
        <v>1143</v>
      </c>
      <c r="D1271" s="1">
        <v>2</v>
      </c>
      <c r="E1271" s="1">
        <v>0</v>
      </c>
      <c r="F1271" s="1" t="b">
        <v>0</v>
      </c>
      <c r="G1271">
        <f>VLOOKUP(C1271,Products!A:D,4,FALSE)</f>
        <v>2230</v>
      </c>
      <c r="H1271" t="str">
        <f>VLOOKUP(C1271,Products!A:D,3,FALSE)</f>
        <v>Home &amp; Kitchen</v>
      </c>
      <c r="I1271">
        <f t="shared" si="19"/>
        <v>4460</v>
      </c>
      <c r="J1271" s="2">
        <f>VLOOKUP(B1271,Orders!A:C,3,FALSE)</f>
        <v>46094</v>
      </c>
      <c r="K1271" s="1" t="str">
        <f>VLOOKUP(B1271,Orders!A:B,2,FALSE)</f>
        <v>C0089</v>
      </c>
    </row>
    <row r="1272" spans="1:11" x14ac:dyDescent="0.3">
      <c r="A1272" s="1" t="s">
        <v>3190</v>
      </c>
      <c r="B1272" s="1" t="s">
        <v>3189</v>
      </c>
      <c r="C1272" s="1" t="s">
        <v>1294</v>
      </c>
      <c r="D1272" s="1">
        <v>4</v>
      </c>
      <c r="E1272" s="1">
        <v>0</v>
      </c>
      <c r="F1272" s="1" t="b">
        <v>0</v>
      </c>
      <c r="G1272">
        <f>VLOOKUP(C1272,Products!A:D,4,FALSE)</f>
        <v>210</v>
      </c>
      <c r="H1272" t="str">
        <f>VLOOKUP(C1272,Products!A:D,3,FALSE)</f>
        <v>Electronics</v>
      </c>
      <c r="I1272">
        <f t="shared" si="19"/>
        <v>840</v>
      </c>
      <c r="J1272" s="2">
        <f>VLOOKUP(B1272,Orders!A:C,3,FALSE)</f>
        <v>46094</v>
      </c>
      <c r="K1272" s="1" t="str">
        <f>VLOOKUP(B1272,Orders!A:B,2,FALSE)</f>
        <v>C0089</v>
      </c>
    </row>
    <row r="1273" spans="1:11" x14ac:dyDescent="0.3">
      <c r="A1273" s="1" t="s">
        <v>3191</v>
      </c>
      <c r="B1273" s="1" t="s">
        <v>3192</v>
      </c>
      <c r="C1273" s="1" t="s">
        <v>1288</v>
      </c>
      <c r="D1273" s="1">
        <v>1</v>
      </c>
      <c r="E1273" s="1">
        <v>0</v>
      </c>
      <c r="F1273" s="1" t="b">
        <v>0</v>
      </c>
      <c r="G1273">
        <f>VLOOKUP(C1273,Products!A:D,4,FALSE)</f>
        <v>2580</v>
      </c>
      <c r="H1273" t="str">
        <f>VLOOKUP(C1273,Products!A:D,3,FALSE)</f>
        <v>Beauty</v>
      </c>
      <c r="I1273">
        <f t="shared" si="19"/>
        <v>2580</v>
      </c>
      <c r="J1273" s="2">
        <f>VLOOKUP(B1273,Orders!A:C,3,FALSE)</f>
        <v>46022</v>
      </c>
      <c r="K1273" s="1" t="str">
        <f>VLOOKUP(B1273,Orders!A:B,2,FALSE)</f>
        <v>C0141</v>
      </c>
    </row>
    <row r="1274" spans="1:11" x14ac:dyDescent="0.3">
      <c r="A1274" s="1" t="s">
        <v>3193</v>
      </c>
      <c r="B1274" s="1" t="s">
        <v>3194</v>
      </c>
      <c r="C1274" s="1" t="s">
        <v>1182</v>
      </c>
      <c r="D1274" s="1">
        <v>4</v>
      </c>
      <c r="E1274" s="1">
        <v>0.05</v>
      </c>
      <c r="F1274" s="1" t="b">
        <v>0</v>
      </c>
      <c r="G1274">
        <f>VLOOKUP(C1274,Products!A:D,4,FALSE)</f>
        <v>790</v>
      </c>
      <c r="H1274" t="str">
        <f>VLOOKUP(C1274,Products!A:D,3,FALSE)</f>
        <v>Sports</v>
      </c>
      <c r="I1274">
        <f t="shared" si="19"/>
        <v>3002</v>
      </c>
      <c r="J1274" s="2">
        <f>VLOOKUP(B1274,Orders!A:C,3,FALSE)</f>
        <v>46118</v>
      </c>
      <c r="K1274" s="1" t="str">
        <f>VLOOKUP(B1274,Orders!A:B,2,FALSE)</f>
        <v>C0077</v>
      </c>
    </row>
    <row r="1275" spans="1:11" x14ac:dyDescent="0.3">
      <c r="A1275" s="1" t="s">
        <v>3195</v>
      </c>
      <c r="B1275" s="1" t="s">
        <v>3194</v>
      </c>
      <c r="C1275" s="1" t="s">
        <v>1288</v>
      </c>
      <c r="D1275" s="1">
        <v>4</v>
      </c>
      <c r="E1275" s="1">
        <v>0.1</v>
      </c>
      <c r="F1275" s="1" t="b">
        <v>0</v>
      </c>
      <c r="G1275">
        <f>VLOOKUP(C1275,Products!A:D,4,FALSE)</f>
        <v>2580</v>
      </c>
      <c r="H1275" t="str">
        <f>VLOOKUP(C1275,Products!A:D,3,FALSE)</f>
        <v>Beauty</v>
      </c>
      <c r="I1275">
        <f t="shared" si="19"/>
        <v>9288</v>
      </c>
      <c r="J1275" s="2">
        <f>VLOOKUP(B1275,Orders!A:C,3,FALSE)</f>
        <v>46118</v>
      </c>
      <c r="K1275" s="1" t="str">
        <f>VLOOKUP(B1275,Orders!A:B,2,FALSE)</f>
        <v>C0077</v>
      </c>
    </row>
    <row r="1276" spans="1:11" x14ac:dyDescent="0.3">
      <c r="A1276" s="1" t="s">
        <v>3196</v>
      </c>
      <c r="B1276" s="1" t="s">
        <v>3194</v>
      </c>
      <c r="C1276" s="1" t="s">
        <v>1262</v>
      </c>
      <c r="D1276" s="1">
        <v>2</v>
      </c>
      <c r="E1276" s="1">
        <v>0</v>
      </c>
      <c r="F1276" s="1" t="b">
        <v>0</v>
      </c>
      <c r="G1276">
        <f>VLOOKUP(C1276,Products!A:D,4,FALSE)</f>
        <v>4020</v>
      </c>
      <c r="H1276" t="str">
        <f>VLOOKUP(C1276,Products!A:D,3,FALSE)</f>
        <v>Sports</v>
      </c>
      <c r="I1276">
        <f t="shared" si="19"/>
        <v>8040</v>
      </c>
      <c r="J1276" s="2">
        <f>VLOOKUP(B1276,Orders!A:C,3,FALSE)</f>
        <v>46118</v>
      </c>
      <c r="K1276" s="1" t="str">
        <f>VLOOKUP(B1276,Orders!A:B,2,FALSE)</f>
        <v>C0077</v>
      </c>
    </row>
    <row r="1277" spans="1:11" x14ac:dyDescent="0.3">
      <c r="A1277" s="1" t="s">
        <v>3197</v>
      </c>
      <c r="B1277" s="1" t="s">
        <v>3198</v>
      </c>
      <c r="C1277" s="1" t="s">
        <v>1315</v>
      </c>
      <c r="D1277" s="1">
        <v>1</v>
      </c>
      <c r="E1277" s="1">
        <v>0</v>
      </c>
      <c r="F1277" s="1" t="b">
        <v>0</v>
      </c>
      <c r="G1277">
        <f>VLOOKUP(C1277,Products!A:D,4,FALSE)</f>
        <v>2190</v>
      </c>
      <c r="H1277" t="str">
        <f>VLOOKUP(C1277,Products!A:D,3,FALSE)</f>
        <v>Electronics</v>
      </c>
      <c r="I1277">
        <f t="shared" si="19"/>
        <v>2190</v>
      </c>
      <c r="J1277" s="2">
        <f>VLOOKUP(B1277,Orders!A:C,3,FALSE)</f>
        <v>45874</v>
      </c>
      <c r="K1277" s="1" t="str">
        <f>VLOOKUP(B1277,Orders!A:B,2,FALSE)</f>
        <v>C0126</v>
      </c>
    </row>
    <row r="1278" spans="1:11" x14ac:dyDescent="0.3">
      <c r="A1278" s="1" t="s">
        <v>3199</v>
      </c>
      <c r="B1278" s="1" t="s">
        <v>3198</v>
      </c>
      <c r="C1278" s="1" t="s">
        <v>1146</v>
      </c>
      <c r="D1278" s="1">
        <v>1</v>
      </c>
      <c r="E1278" s="1">
        <v>0.15</v>
      </c>
      <c r="F1278" s="1" t="b">
        <v>0</v>
      </c>
      <c r="G1278">
        <f>VLOOKUP(C1278,Products!A:D,4,FALSE)</f>
        <v>1630</v>
      </c>
      <c r="H1278" t="str">
        <f>VLOOKUP(C1278,Products!A:D,3,FALSE)</f>
        <v>Beauty</v>
      </c>
      <c r="I1278">
        <f t="shared" si="19"/>
        <v>1385.5</v>
      </c>
      <c r="J1278" s="2">
        <f>VLOOKUP(B1278,Orders!A:C,3,FALSE)</f>
        <v>45874</v>
      </c>
      <c r="K1278" s="1" t="str">
        <f>VLOOKUP(B1278,Orders!A:B,2,FALSE)</f>
        <v>C0126</v>
      </c>
    </row>
    <row r="1279" spans="1:11" x14ac:dyDescent="0.3">
      <c r="A1279" s="1" t="s">
        <v>3200</v>
      </c>
      <c r="B1279" s="1" t="s">
        <v>3201</v>
      </c>
      <c r="C1279" s="1" t="s">
        <v>1431</v>
      </c>
      <c r="D1279" s="1">
        <v>4</v>
      </c>
      <c r="E1279" s="1">
        <v>0.2</v>
      </c>
      <c r="F1279" s="1" t="b">
        <v>0</v>
      </c>
      <c r="G1279">
        <f>VLOOKUP(C1279,Products!A:D,4,FALSE)</f>
        <v>2920</v>
      </c>
      <c r="H1279" t="str">
        <f>VLOOKUP(C1279,Products!A:D,3,FALSE)</f>
        <v>Home &amp; Kitchen</v>
      </c>
      <c r="I1279">
        <f t="shared" si="19"/>
        <v>9344</v>
      </c>
      <c r="J1279" s="2">
        <f>VLOOKUP(B1279,Orders!A:C,3,FALSE)</f>
        <v>45934</v>
      </c>
      <c r="K1279" s="1" t="str">
        <f>VLOOKUP(B1279,Orders!A:B,2,FALSE)</f>
        <v>C0211</v>
      </c>
    </row>
    <row r="1280" spans="1:11" x14ac:dyDescent="0.3">
      <c r="A1280" s="1" t="s">
        <v>3202</v>
      </c>
      <c r="B1280" s="1" t="s">
        <v>3201</v>
      </c>
      <c r="C1280" s="1" t="s">
        <v>1273</v>
      </c>
      <c r="D1280" s="1">
        <v>5</v>
      </c>
      <c r="E1280" s="1">
        <v>0.1</v>
      </c>
      <c r="F1280" s="1" t="b">
        <v>0</v>
      </c>
      <c r="G1280">
        <f>VLOOKUP(C1280,Products!A:D,4,FALSE)</f>
        <v>360</v>
      </c>
      <c r="H1280" t="str">
        <f>VLOOKUP(C1280,Products!A:D,3,FALSE)</f>
        <v>Beauty</v>
      </c>
      <c r="I1280">
        <f t="shared" ref="I1280:I1343" si="20">G1280*D1280*(1-E1280)</f>
        <v>1620</v>
      </c>
      <c r="J1280" s="2">
        <f>VLOOKUP(B1280,Orders!A:C,3,FALSE)</f>
        <v>45934</v>
      </c>
      <c r="K1280" s="1" t="str">
        <f>VLOOKUP(B1280,Orders!A:B,2,FALSE)</f>
        <v>C0211</v>
      </c>
    </row>
    <row r="1281" spans="1:11" x14ac:dyDescent="0.3">
      <c r="A1281" s="1" t="s">
        <v>3203</v>
      </c>
      <c r="B1281" s="1" t="s">
        <v>3201</v>
      </c>
      <c r="C1281" s="1" t="s">
        <v>1184</v>
      </c>
      <c r="D1281" s="1">
        <v>3</v>
      </c>
      <c r="E1281" s="1">
        <v>0</v>
      </c>
      <c r="F1281" s="1" t="b">
        <v>0</v>
      </c>
      <c r="G1281">
        <f>VLOOKUP(C1281,Products!A:D,4,FALSE)</f>
        <v>2230</v>
      </c>
      <c r="H1281" t="str">
        <f>VLOOKUP(C1281,Products!A:D,3,FALSE)</f>
        <v>Sports</v>
      </c>
      <c r="I1281">
        <f t="shared" si="20"/>
        <v>6690</v>
      </c>
      <c r="J1281" s="2">
        <f>VLOOKUP(B1281,Orders!A:C,3,FALSE)</f>
        <v>45934</v>
      </c>
      <c r="K1281" s="1" t="str">
        <f>VLOOKUP(B1281,Orders!A:B,2,FALSE)</f>
        <v>C0211</v>
      </c>
    </row>
    <row r="1282" spans="1:11" x14ac:dyDescent="0.3">
      <c r="A1282" s="1" t="s">
        <v>3204</v>
      </c>
      <c r="B1282" s="1" t="s">
        <v>3205</v>
      </c>
      <c r="C1282" s="1" t="s">
        <v>1135</v>
      </c>
      <c r="D1282" s="1">
        <v>5</v>
      </c>
      <c r="E1282" s="1">
        <v>0.1</v>
      </c>
      <c r="F1282" s="1" t="b">
        <v>0</v>
      </c>
      <c r="G1282">
        <f>VLOOKUP(C1282,Products!A:D,4,FALSE)</f>
        <v>470</v>
      </c>
      <c r="H1282" t="str">
        <f>VLOOKUP(C1282,Products!A:D,3,FALSE)</f>
        <v>Apparel</v>
      </c>
      <c r="I1282">
        <f t="shared" si="20"/>
        <v>2115</v>
      </c>
      <c r="J1282" s="2">
        <f>VLOOKUP(B1282,Orders!A:C,3,FALSE)</f>
        <v>46066</v>
      </c>
      <c r="K1282" s="1" t="str">
        <f>VLOOKUP(B1282,Orders!A:B,2,FALSE)</f>
        <v>C0032</v>
      </c>
    </row>
    <row r="1283" spans="1:11" x14ac:dyDescent="0.3">
      <c r="A1283" s="1" t="s">
        <v>3206</v>
      </c>
      <c r="B1283" s="1" t="s">
        <v>3207</v>
      </c>
      <c r="C1283" s="1" t="s">
        <v>1135</v>
      </c>
      <c r="D1283" s="1">
        <v>2</v>
      </c>
      <c r="E1283" s="1">
        <v>0.15</v>
      </c>
      <c r="F1283" s="1" t="b">
        <v>0</v>
      </c>
      <c r="G1283">
        <f>VLOOKUP(C1283,Products!A:D,4,FALSE)</f>
        <v>470</v>
      </c>
      <c r="H1283" t="str">
        <f>VLOOKUP(C1283,Products!A:D,3,FALSE)</f>
        <v>Apparel</v>
      </c>
      <c r="I1283">
        <f t="shared" si="20"/>
        <v>799</v>
      </c>
      <c r="J1283" s="2">
        <f>VLOOKUP(B1283,Orders!A:C,3,FALSE)</f>
        <v>45772</v>
      </c>
      <c r="K1283" s="1" t="str">
        <f>VLOOKUP(B1283,Orders!A:B,2,FALSE)</f>
        <v>C0071</v>
      </c>
    </row>
    <row r="1284" spans="1:11" x14ac:dyDescent="0.3">
      <c r="A1284" s="1" t="s">
        <v>3208</v>
      </c>
      <c r="B1284" s="1" t="s">
        <v>3207</v>
      </c>
      <c r="C1284" s="1" t="s">
        <v>1242</v>
      </c>
      <c r="D1284" s="1">
        <v>5</v>
      </c>
      <c r="E1284" s="1">
        <v>0</v>
      </c>
      <c r="F1284" s="1" t="b">
        <v>0</v>
      </c>
      <c r="G1284">
        <f>VLOOKUP(C1284,Products!A:D,4,FALSE)</f>
        <v>2720</v>
      </c>
      <c r="H1284" t="str">
        <f>VLOOKUP(C1284,Products!A:D,3,FALSE)</f>
        <v>Beauty</v>
      </c>
      <c r="I1284">
        <f t="shared" si="20"/>
        <v>13600</v>
      </c>
      <c r="J1284" s="2">
        <f>VLOOKUP(B1284,Orders!A:C,3,FALSE)</f>
        <v>45772</v>
      </c>
      <c r="K1284" s="1" t="str">
        <f>VLOOKUP(B1284,Orders!A:B,2,FALSE)</f>
        <v>C0071</v>
      </c>
    </row>
    <row r="1285" spans="1:11" x14ac:dyDescent="0.3">
      <c r="A1285" s="1" t="s">
        <v>3209</v>
      </c>
      <c r="B1285" s="1" t="s">
        <v>3210</v>
      </c>
      <c r="C1285" s="1" t="s">
        <v>1225</v>
      </c>
      <c r="D1285" s="1">
        <v>5</v>
      </c>
      <c r="E1285" s="1">
        <v>0</v>
      </c>
      <c r="F1285" s="1" t="b">
        <v>0</v>
      </c>
      <c r="G1285">
        <f>VLOOKUP(C1285,Products!A:D,4,FALSE)</f>
        <v>2690</v>
      </c>
      <c r="H1285" t="str">
        <f>VLOOKUP(C1285,Products!A:D,3,FALSE)</f>
        <v>Beauty</v>
      </c>
      <c r="I1285">
        <f t="shared" si="20"/>
        <v>13450</v>
      </c>
      <c r="J1285" s="2">
        <f>VLOOKUP(B1285,Orders!A:C,3,FALSE)</f>
        <v>46243</v>
      </c>
      <c r="K1285" s="1" t="str">
        <f>VLOOKUP(B1285,Orders!A:B,2,FALSE)</f>
        <v>C0128</v>
      </c>
    </row>
    <row r="1286" spans="1:11" x14ac:dyDescent="0.3">
      <c r="A1286" s="1" t="s">
        <v>3211</v>
      </c>
      <c r="B1286" s="1" t="s">
        <v>3212</v>
      </c>
      <c r="C1286" s="1" t="s">
        <v>1188</v>
      </c>
      <c r="D1286" s="1">
        <v>4</v>
      </c>
      <c r="E1286" s="1">
        <v>0</v>
      </c>
      <c r="F1286" s="1" t="b">
        <v>0</v>
      </c>
      <c r="G1286">
        <f>VLOOKUP(C1286,Products!A:D,4,FALSE)</f>
        <v>2530</v>
      </c>
      <c r="H1286" t="str">
        <f>VLOOKUP(C1286,Products!A:D,3,FALSE)</f>
        <v>Beauty</v>
      </c>
      <c r="I1286">
        <f t="shared" si="20"/>
        <v>10120</v>
      </c>
      <c r="J1286" s="2">
        <f>VLOOKUP(B1286,Orders!A:C,3,FALSE)</f>
        <v>45848</v>
      </c>
      <c r="K1286" s="1" t="str">
        <f>VLOOKUP(B1286,Orders!A:B,2,FALSE)</f>
        <v>C0010</v>
      </c>
    </row>
    <row r="1287" spans="1:11" x14ac:dyDescent="0.3">
      <c r="A1287" s="1" t="s">
        <v>3213</v>
      </c>
      <c r="B1287" s="1" t="s">
        <v>3214</v>
      </c>
      <c r="C1287" s="1" t="s">
        <v>1152</v>
      </c>
      <c r="D1287" s="1">
        <v>4</v>
      </c>
      <c r="E1287" s="1">
        <v>0.15</v>
      </c>
      <c r="F1287" s="1" t="b">
        <v>0</v>
      </c>
      <c r="G1287">
        <f>VLOOKUP(C1287,Products!A:D,4,FALSE)</f>
        <v>2250</v>
      </c>
      <c r="H1287" t="str">
        <f>VLOOKUP(C1287,Products!A:D,3,FALSE)</f>
        <v>Home &amp; Kitchen</v>
      </c>
      <c r="I1287">
        <f t="shared" si="20"/>
        <v>7650</v>
      </c>
      <c r="J1287" s="2">
        <f>VLOOKUP(B1287,Orders!A:C,3,FALSE)</f>
        <v>46003</v>
      </c>
      <c r="K1287" s="1" t="str">
        <f>VLOOKUP(B1287,Orders!A:B,2,FALSE)</f>
        <v>C0246</v>
      </c>
    </row>
    <row r="1288" spans="1:11" x14ac:dyDescent="0.3">
      <c r="A1288" s="1" t="s">
        <v>3215</v>
      </c>
      <c r="B1288" s="1" t="s">
        <v>3216</v>
      </c>
      <c r="C1288" s="1" t="s">
        <v>1270</v>
      </c>
      <c r="D1288" s="1">
        <v>3</v>
      </c>
      <c r="E1288" s="1">
        <v>0.15</v>
      </c>
      <c r="F1288" s="1" t="b">
        <v>0</v>
      </c>
      <c r="G1288">
        <f>VLOOKUP(C1288,Products!A:D,4,FALSE)</f>
        <v>3560</v>
      </c>
      <c r="H1288" t="str">
        <f>VLOOKUP(C1288,Products!A:D,3,FALSE)</f>
        <v>Sports</v>
      </c>
      <c r="I1288">
        <f t="shared" si="20"/>
        <v>9078</v>
      </c>
      <c r="J1288" s="2">
        <f>VLOOKUP(B1288,Orders!A:C,3,FALSE)</f>
        <v>46221</v>
      </c>
      <c r="K1288" s="1" t="str">
        <f>VLOOKUP(B1288,Orders!A:B,2,FALSE)</f>
        <v>C0177</v>
      </c>
    </row>
    <row r="1289" spans="1:11" x14ac:dyDescent="0.3">
      <c r="A1289" s="1" t="s">
        <v>3217</v>
      </c>
      <c r="B1289" s="1" t="s">
        <v>3218</v>
      </c>
      <c r="C1289" s="1" t="s">
        <v>1152</v>
      </c>
      <c r="D1289" s="1">
        <v>4</v>
      </c>
      <c r="E1289" s="1">
        <v>0</v>
      </c>
      <c r="F1289" s="1" t="b">
        <v>0</v>
      </c>
      <c r="G1289">
        <f>VLOOKUP(C1289,Products!A:D,4,FALSE)</f>
        <v>2250</v>
      </c>
      <c r="H1289" t="str">
        <f>VLOOKUP(C1289,Products!A:D,3,FALSE)</f>
        <v>Home &amp; Kitchen</v>
      </c>
      <c r="I1289">
        <f t="shared" si="20"/>
        <v>9000</v>
      </c>
      <c r="J1289" s="2">
        <f>VLOOKUP(B1289,Orders!A:C,3,FALSE)</f>
        <v>45777</v>
      </c>
      <c r="K1289" s="1" t="str">
        <f>VLOOKUP(B1289,Orders!A:B,2,FALSE)</f>
        <v>C0165</v>
      </c>
    </row>
    <row r="1290" spans="1:11" x14ac:dyDescent="0.3">
      <c r="A1290" s="1" t="s">
        <v>3219</v>
      </c>
      <c r="B1290" s="1" t="s">
        <v>3220</v>
      </c>
      <c r="C1290" s="1" t="s">
        <v>1320</v>
      </c>
      <c r="D1290" s="1">
        <v>3</v>
      </c>
      <c r="E1290" s="1">
        <v>0.1</v>
      </c>
      <c r="F1290" s="1" t="b">
        <v>0</v>
      </c>
      <c r="G1290">
        <f>VLOOKUP(C1290,Products!A:D,4,FALSE)</f>
        <v>2790</v>
      </c>
      <c r="H1290" t="str">
        <f>VLOOKUP(C1290,Products!A:D,3,FALSE)</f>
        <v>Electronics</v>
      </c>
      <c r="I1290">
        <f t="shared" si="20"/>
        <v>7533</v>
      </c>
      <c r="J1290" s="2">
        <f>VLOOKUP(B1290,Orders!A:C,3,FALSE)</f>
        <v>46172</v>
      </c>
      <c r="K1290" s="1" t="str">
        <f>VLOOKUP(B1290,Orders!A:B,2,FALSE)</f>
        <v>C0014</v>
      </c>
    </row>
    <row r="1291" spans="1:11" x14ac:dyDescent="0.3">
      <c r="A1291" s="1" t="s">
        <v>3221</v>
      </c>
      <c r="B1291" s="1" t="s">
        <v>3220</v>
      </c>
      <c r="C1291" s="1" t="s">
        <v>1498</v>
      </c>
      <c r="D1291" s="1">
        <v>2</v>
      </c>
      <c r="E1291" s="1">
        <v>0</v>
      </c>
      <c r="F1291" s="1" t="b">
        <v>0</v>
      </c>
      <c r="G1291">
        <f>VLOOKUP(C1291,Products!A:D,4,FALSE)</f>
        <v>1910</v>
      </c>
      <c r="H1291" t="str">
        <f>VLOOKUP(C1291,Products!A:D,3,FALSE)</f>
        <v>Apparel</v>
      </c>
      <c r="I1291">
        <f t="shared" si="20"/>
        <v>3820</v>
      </c>
      <c r="J1291" s="2">
        <f>VLOOKUP(B1291,Orders!A:C,3,FALSE)</f>
        <v>46172</v>
      </c>
      <c r="K1291" s="1" t="str">
        <f>VLOOKUP(B1291,Orders!A:B,2,FALSE)</f>
        <v>C0014</v>
      </c>
    </row>
    <row r="1292" spans="1:11" x14ac:dyDescent="0.3">
      <c r="A1292" s="1" t="s">
        <v>3222</v>
      </c>
      <c r="B1292" s="1" t="s">
        <v>3223</v>
      </c>
      <c r="C1292" s="1" t="s">
        <v>1265</v>
      </c>
      <c r="D1292" s="1">
        <v>4</v>
      </c>
      <c r="E1292" s="1">
        <v>0.2</v>
      </c>
      <c r="F1292" s="1" t="b">
        <v>0</v>
      </c>
      <c r="G1292">
        <f>VLOOKUP(C1292,Products!A:D,4,FALSE)</f>
        <v>99</v>
      </c>
      <c r="H1292" t="str">
        <f>VLOOKUP(C1292,Products!A:D,3,FALSE)</f>
        <v>Beauty</v>
      </c>
      <c r="I1292">
        <f t="shared" si="20"/>
        <v>316.8</v>
      </c>
      <c r="J1292" s="2">
        <f>VLOOKUP(B1292,Orders!A:C,3,FALSE)</f>
        <v>45767</v>
      </c>
      <c r="K1292" s="1" t="str">
        <f>VLOOKUP(B1292,Orders!A:B,2,FALSE)</f>
        <v>C0016</v>
      </c>
    </row>
    <row r="1293" spans="1:11" x14ac:dyDescent="0.3">
      <c r="A1293" s="1" t="s">
        <v>3224</v>
      </c>
      <c r="B1293" s="1" t="s">
        <v>3223</v>
      </c>
      <c r="C1293" s="1" t="s">
        <v>1174</v>
      </c>
      <c r="D1293" s="1">
        <v>4</v>
      </c>
      <c r="E1293" s="1">
        <v>0.2</v>
      </c>
      <c r="F1293" s="1" t="b">
        <v>0</v>
      </c>
      <c r="G1293">
        <f>VLOOKUP(C1293,Products!A:D,4,FALSE)</f>
        <v>1250</v>
      </c>
      <c r="H1293" t="str">
        <f>VLOOKUP(C1293,Products!A:D,3,FALSE)</f>
        <v>Sports</v>
      </c>
      <c r="I1293">
        <f t="shared" si="20"/>
        <v>4000</v>
      </c>
      <c r="J1293" s="2">
        <f>VLOOKUP(B1293,Orders!A:C,3,FALSE)</f>
        <v>45767</v>
      </c>
      <c r="K1293" s="1" t="str">
        <f>VLOOKUP(B1293,Orders!A:B,2,FALSE)</f>
        <v>C0016</v>
      </c>
    </row>
    <row r="1294" spans="1:11" x14ac:dyDescent="0.3">
      <c r="A1294" s="1" t="s">
        <v>3225</v>
      </c>
      <c r="B1294" s="1" t="s">
        <v>3226</v>
      </c>
      <c r="C1294" s="1" t="s">
        <v>1270</v>
      </c>
      <c r="D1294" s="1">
        <v>5</v>
      </c>
      <c r="E1294" s="1">
        <v>0</v>
      </c>
      <c r="F1294" s="1" t="b">
        <v>0</v>
      </c>
      <c r="G1294">
        <f>VLOOKUP(C1294,Products!A:D,4,FALSE)</f>
        <v>3560</v>
      </c>
      <c r="H1294" t="str">
        <f>VLOOKUP(C1294,Products!A:D,3,FALSE)</f>
        <v>Sports</v>
      </c>
      <c r="I1294">
        <f t="shared" si="20"/>
        <v>17800</v>
      </c>
      <c r="J1294" s="2">
        <f>VLOOKUP(B1294,Orders!A:C,3,FALSE)</f>
        <v>46039</v>
      </c>
      <c r="K1294" s="1" t="str">
        <f>VLOOKUP(B1294,Orders!A:B,2,FALSE)</f>
        <v>C0030</v>
      </c>
    </row>
    <row r="1295" spans="1:11" x14ac:dyDescent="0.3">
      <c r="A1295" s="1" t="s">
        <v>3227</v>
      </c>
      <c r="B1295" s="1" t="s">
        <v>3226</v>
      </c>
      <c r="C1295" s="1" t="s">
        <v>1197</v>
      </c>
      <c r="D1295" s="1">
        <v>1</v>
      </c>
      <c r="E1295" s="1">
        <v>0.15</v>
      </c>
      <c r="F1295" s="1" t="b">
        <v>0</v>
      </c>
      <c r="G1295">
        <f>VLOOKUP(C1295,Products!A:D,4,FALSE)</f>
        <v>2050</v>
      </c>
      <c r="H1295" t="str">
        <f>VLOOKUP(C1295,Products!A:D,3,FALSE)</f>
        <v>Apparel</v>
      </c>
      <c r="I1295">
        <f t="shared" si="20"/>
        <v>1742.5</v>
      </c>
      <c r="J1295" s="2">
        <f>VLOOKUP(B1295,Orders!A:C,3,FALSE)</f>
        <v>46039</v>
      </c>
      <c r="K1295" s="1" t="str">
        <f>VLOOKUP(B1295,Orders!A:B,2,FALSE)</f>
        <v>C0030</v>
      </c>
    </row>
    <row r="1296" spans="1:11" x14ac:dyDescent="0.3">
      <c r="A1296" s="1" t="s">
        <v>3228</v>
      </c>
      <c r="B1296" s="1" t="s">
        <v>3226</v>
      </c>
      <c r="C1296" s="1" t="s">
        <v>1209</v>
      </c>
      <c r="D1296" s="1">
        <v>2</v>
      </c>
      <c r="E1296" s="1">
        <v>0</v>
      </c>
      <c r="F1296" s="1" t="b">
        <v>0</v>
      </c>
      <c r="G1296">
        <f>VLOOKUP(C1296,Products!A:D,4,FALSE)</f>
        <v>1580</v>
      </c>
      <c r="H1296" t="str">
        <f>VLOOKUP(C1296,Products!A:D,3,FALSE)</f>
        <v>Apparel</v>
      </c>
      <c r="I1296">
        <f t="shared" si="20"/>
        <v>3160</v>
      </c>
      <c r="J1296" s="2">
        <f>VLOOKUP(B1296,Orders!A:C,3,FALSE)</f>
        <v>46039</v>
      </c>
      <c r="K1296" s="1" t="str">
        <f>VLOOKUP(B1296,Orders!A:B,2,FALSE)</f>
        <v>C0030</v>
      </c>
    </row>
    <row r="1297" spans="1:11" x14ac:dyDescent="0.3">
      <c r="A1297" s="1" t="s">
        <v>3229</v>
      </c>
      <c r="B1297" s="1" t="s">
        <v>3226</v>
      </c>
      <c r="C1297" s="1" t="s">
        <v>1644</v>
      </c>
      <c r="D1297" s="1">
        <v>2</v>
      </c>
      <c r="E1297" s="1">
        <v>0.1</v>
      </c>
      <c r="F1297" s="1" t="b">
        <v>0</v>
      </c>
      <c r="G1297">
        <f>VLOOKUP(C1297,Products!A:D,4,FALSE)</f>
        <v>1930</v>
      </c>
      <c r="H1297" t="str">
        <f>VLOOKUP(C1297,Products!A:D,3,FALSE)</f>
        <v>Home &amp; Kitchen</v>
      </c>
      <c r="I1297">
        <f t="shared" si="20"/>
        <v>3474</v>
      </c>
      <c r="J1297" s="2">
        <f>VLOOKUP(B1297,Orders!A:C,3,FALSE)</f>
        <v>46039</v>
      </c>
      <c r="K1297" s="1" t="str">
        <f>VLOOKUP(B1297,Orders!A:B,2,FALSE)</f>
        <v>C0030</v>
      </c>
    </row>
    <row r="1298" spans="1:11" x14ac:dyDescent="0.3">
      <c r="A1298" s="1" t="s">
        <v>3230</v>
      </c>
      <c r="B1298" s="1" t="s">
        <v>3231</v>
      </c>
      <c r="C1298" s="1" t="s">
        <v>1188</v>
      </c>
      <c r="D1298" s="1">
        <v>4</v>
      </c>
      <c r="E1298" s="1">
        <v>0</v>
      </c>
      <c r="F1298" s="1" t="b">
        <v>0</v>
      </c>
      <c r="G1298">
        <f>VLOOKUP(C1298,Products!A:D,4,FALSE)</f>
        <v>2530</v>
      </c>
      <c r="H1298" t="str">
        <f>VLOOKUP(C1298,Products!A:D,3,FALSE)</f>
        <v>Beauty</v>
      </c>
      <c r="I1298">
        <f t="shared" si="20"/>
        <v>10120</v>
      </c>
      <c r="J1298" s="2">
        <f>VLOOKUP(B1298,Orders!A:C,3,FALSE)</f>
        <v>46248</v>
      </c>
      <c r="K1298" s="1" t="str">
        <f>VLOOKUP(B1298,Orders!A:B,2,FALSE)</f>
        <v>C0272</v>
      </c>
    </row>
    <row r="1299" spans="1:11" x14ac:dyDescent="0.3">
      <c r="A1299" s="1" t="s">
        <v>3232</v>
      </c>
      <c r="B1299" s="1" t="s">
        <v>3233</v>
      </c>
      <c r="C1299" s="1" t="s">
        <v>1267</v>
      </c>
      <c r="D1299" s="1">
        <v>1</v>
      </c>
      <c r="E1299" s="1">
        <v>0</v>
      </c>
      <c r="F1299" s="1" t="b">
        <v>0</v>
      </c>
      <c r="G1299">
        <f>VLOOKUP(C1299,Products!A:D,4,FALSE)</f>
        <v>3650</v>
      </c>
      <c r="H1299" t="str">
        <f>VLOOKUP(C1299,Products!A:D,3,FALSE)</f>
        <v>Books</v>
      </c>
      <c r="I1299">
        <f t="shared" si="20"/>
        <v>3650</v>
      </c>
      <c r="J1299" s="2">
        <f>VLOOKUP(B1299,Orders!A:C,3,FALSE)</f>
        <v>45961</v>
      </c>
      <c r="K1299" s="1" t="str">
        <f>VLOOKUP(B1299,Orders!A:B,2,FALSE)</f>
        <v>C0120</v>
      </c>
    </row>
    <row r="1300" spans="1:11" x14ac:dyDescent="0.3">
      <c r="A1300" s="1" t="s">
        <v>3234</v>
      </c>
      <c r="B1300" s="1" t="s">
        <v>3235</v>
      </c>
      <c r="C1300" s="1" t="s">
        <v>1202</v>
      </c>
      <c r="D1300" s="1">
        <v>3</v>
      </c>
      <c r="E1300" s="1">
        <v>0.15</v>
      </c>
      <c r="F1300" s="1" t="b">
        <v>1</v>
      </c>
      <c r="G1300">
        <f>VLOOKUP(C1300,Products!A:D,4,FALSE)</f>
        <v>530</v>
      </c>
      <c r="H1300" t="str">
        <f>VLOOKUP(C1300,Products!A:D,3,FALSE)</f>
        <v>Beauty</v>
      </c>
      <c r="I1300">
        <f t="shared" si="20"/>
        <v>1351.5</v>
      </c>
      <c r="J1300" s="2">
        <f>VLOOKUP(B1300,Orders!A:C,3,FALSE)</f>
        <v>45936</v>
      </c>
      <c r="K1300" s="1" t="str">
        <f>VLOOKUP(B1300,Orders!A:B,2,FALSE)</f>
        <v>C0127</v>
      </c>
    </row>
    <row r="1301" spans="1:11" x14ac:dyDescent="0.3">
      <c r="A1301" s="1" t="s">
        <v>3236</v>
      </c>
      <c r="B1301" s="1" t="s">
        <v>3237</v>
      </c>
      <c r="C1301" s="1" t="s">
        <v>1113</v>
      </c>
      <c r="D1301" s="1">
        <v>1</v>
      </c>
      <c r="E1301" s="1">
        <v>0.2</v>
      </c>
      <c r="F1301" s="1" t="b">
        <v>0</v>
      </c>
      <c r="G1301">
        <f>VLOOKUP(C1301,Products!A:D,4,FALSE)</f>
        <v>2780</v>
      </c>
      <c r="H1301" t="str">
        <f>VLOOKUP(C1301,Products!A:D,3,FALSE)</f>
        <v>Apparel</v>
      </c>
      <c r="I1301">
        <f t="shared" si="20"/>
        <v>2224</v>
      </c>
      <c r="J1301" s="2">
        <f>VLOOKUP(B1301,Orders!A:C,3,FALSE)</f>
        <v>46122</v>
      </c>
      <c r="K1301" s="1" t="str">
        <f>VLOOKUP(B1301,Orders!A:B,2,FALSE)</f>
        <v>C0274</v>
      </c>
    </row>
    <row r="1302" spans="1:11" x14ac:dyDescent="0.3">
      <c r="A1302" s="1" t="s">
        <v>3238</v>
      </c>
      <c r="B1302" s="1" t="s">
        <v>3239</v>
      </c>
      <c r="C1302" s="1" t="s">
        <v>1431</v>
      </c>
      <c r="D1302" s="1">
        <v>1</v>
      </c>
      <c r="E1302" s="1">
        <v>0.1</v>
      </c>
      <c r="F1302" s="1" t="b">
        <v>0</v>
      </c>
      <c r="G1302">
        <f>VLOOKUP(C1302,Products!A:D,4,FALSE)</f>
        <v>2920</v>
      </c>
      <c r="H1302" t="str">
        <f>VLOOKUP(C1302,Products!A:D,3,FALSE)</f>
        <v>Home &amp; Kitchen</v>
      </c>
      <c r="I1302">
        <f t="shared" si="20"/>
        <v>2628</v>
      </c>
      <c r="J1302" s="2">
        <f>VLOOKUP(B1302,Orders!A:C,3,FALSE)</f>
        <v>46185</v>
      </c>
      <c r="K1302" s="1" t="str">
        <f>VLOOKUP(B1302,Orders!A:B,2,FALSE)</f>
        <v>C0113</v>
      </c>
    </row>
    <row r="1303" spans="1:11" x14ac:dyDescent="0.3">
      <c r="A1303" s="1" t="s">
        <v>3240</v>
      </c>
      <c r="B1303" s="1" t="s">
        <v>3241</v>
      </c>
      <c r="C1303" s="1" t="s">
        <v>1267</v>
      </c>
      <c r="D1303" s="1">
        <v>2</v>
      </c>
      <c r="E1303" s="1">
        <v>0.05</v>
      </c>
      <c r="F1303" s="1" t="b">
        <v>0</v>
      </c>
      <c r="G1303">
        <f>VLOOKUP(C1303,Products!A:D,4,FALSE)</f>
        <v>3650</v>
      </c>
      <c r="H1303" t="str">
        <f>VLOOKUP(C1303,Products!A:D,3,FALSE)</f>
        <v>Books</v>
      </c>
      <c r="I1303">
        <f t="shared" si="20"/>
        <v>6935</v>
      </c>
      <c r="J1303" s="2">
        <f>VLOOKUP(B1303,Orders!A:C,3,FALSE)</f>
        <v>45879</v>
      </c>
      <c r="K1303" s="1" t="str">
        <f>VLOOKUP(B1303,Orders!A:B,2,FALSE)</f>
        <v>C0199</v>
      </c>
    </row>
    <row r="1304" spans="1:11" x14ac:dyDescent="0.3">
      <c r="A1304" s="1" t="s">
        <v>3242</v>
      </c>
      <c r="B1304" s="1" t="s">
        <v>3243</v>
      </c>
      <c r="C1304" s="1" t="s">
        <v>1121</v>
      </c>
      <c r="D1304" s="1">
        <v>3</v>
      </c>
      <c r="E1304" s="1">
        <v>0.2</v>
      </c>
      <c r="F1304" s="1" t="b">
        <v>0</v>
      </c>
      <c r="G1304">
        <f>VLOOKUP(C1304,Products!A:D,4,FALSE)</f>
        <v>1440</v>
      </c>
      <c r="H1304" t="str">
        <f>VLOOKUP(C1304,Products!A:D,3,FALSE)</f>
        <v>Sports</v>
      </c>
      <c r="I1304">
        <f t="shared" si="20"/>
        <v>3456</v>
      </c>
      <c r="J1304" s="2">
        <f>VLOOKUP(B1304,Orders!A:C,3,FALSE)</f>
        <v>45756</v>
      </c>
      <c r="K1304" s="1" t="str">
        <f>VLOOKUP(B1304,Orders!A:B,2,FALSE)</f>
        <v>C0091</v>
      </c>
    </row>
    <row r="1305" spans="1:11" x14ac:dyDescent="0.3">
      <c r="A1305" s="1" t="s">
        <v>3244</v>
      </c>
      <c r="B1305" s="1" t="s">
        <v>3245</v>
      </c>
      <c r="C1305" s="1" t="s">
        <v>1267</v>
      </c>
      <c r="D1305" s="1">
        <v>3</v>
      </c>
      <c r="E1305" s="1">
        <v>0</v>
      </c>
      <c r="F1305" s="1" t="b">
        <v>0</v>
      </c>
      <c r="G1305">
        <f>VLOOKUP(C1305,Products!A:D,4,FALSE)</f>
        <v>3650</v>
      </c>
      <c r="H1305" t="str">
        <f>VLOOKUP(C1305,Products!A:D,3,FALSE)</f>
        <v>Books</v>
      </c>
      <c r="I1305">
        <f t="shared" si="20"/>
        <v>10950</v>
      </c>
      <c r="J1305" s="2">
        <f>VLOOKUP(B1305,Orders!A:C,3,FALSE)</f>
        <v>45772</v>
      </c>
      <c r="K1305" s="1" t="str">
        <f>VLOOKUP(B1305,Orders!A:B,2,FALSE)</f>
        <v>C0184</v>
      </c>
    </row>
    <row r="1306" spans="1:11" x14ac:dyDescent="0.3">
      <c r="A1306" s="1" t="s">
        <v>3246</v>
      </c>
      <c r="B1306" s="1" t="s">
        <v>3247</v>
      </c>
      <c r="C1306" s="1" t="s">
        <v>1195</v>
      </c>
      <c r="D1306" s="1">
        <v>5</v>
      </c>
      <c r="E1306" s="1">
        <v>0.15</v>
      </c>
      <c r="F1306" s="1" t="b">
        <v>0</v>
      </c>
      <c r="G1306">
        <f>VLOOKUP(C1306,Products!A:D,4,FALSE)</f>
        <v>3430</v>
      </c>
      <c r="H1306" t="str">
        <f>VLOOKUP(C1306,Products!A:D,3,FALSE)</f>
        <v>Books</v>
      </c>
      <c r="I1306">
        <f t="shared" si="20"/>
        <v>14577.5</v>
      </c>
      <c r="J1306" s="2">
        <f>VLOOKUP(B1306,Orders!A:C,3,FALSE)</f>
        <v>45900</v>
      </c>
      <c r="K1306" s="1" t="str">
        <f>VLOOKUP(B1306,Orders!A:B,2,FALSE)</f>
        <v>C0181</v>
      </c>
    </row>
    <row r="1307" spans="1:11" x14ac:dyDescent="0.3">
      <c r="A1307" s="1" t="s">
        <v>3248</v>
      </c>
      <c r="B1307" s="1" t="s">
        <v>3247</v>
      </c>
      <c r="C1307" s="1" t="s">
        <v>1199</v>
      </c>
      <c r="D1307" s="1">
        <v>1</v>
      </c>
      <c r="E1307" s="1">
        <v>0.05</v>
      </c>
      <c r="F1307" s="1" t="b">
        <v>0</v>
      </c>
      <c r="G1307">
        <f>VLOOKUP(C1307,Products!A:D,4,FALSE)</f>
        <v>99</v>
      </c>
      <c r="H1307" t="str">
        <f>VLOOKUP(C1307,Products!A:D,3,FALSE)</f>
        <v>Electronics</v>
      </c>
      <c r="I1307">
        <f t="shared" si="20"/>
        <v>94.05</v>
      </c>
      <c r="J1307" s="2">
        <f>VLOOKUP(B1307,Orders!A:C,3,FALSE)</f>
        <v>45900</v>
      </c>
      <c r="K1307" s="1" t="str">
        <f>VLOOKUP(B1307,Orders!A:B,2,FALSE)</f>
        <v>C0181</v>
      </c>
    </row>
    <row r="1308" spans="1:11" x14ac:dyDescent="0.3">
      <c r="A1308" s="1" t="s">
        <v>3249</v>
      </c>
      <c r="B1308" s="1" t="s">
        <v>3247</v>
      </c>
      <c r="C1308" s="1" t="s">
        <v>1123</v>
      </c>
      <c r="D1308" s="1">
        <v>1</v>
      </c>
      <c r="E1308" s="1">
        <v>0</v>
      </c>
      <c r="F1308" s="1" t="b">
        <v>0</v>
      </c>
      <c r="G1308">
        <f>VLOOKUP(C1308,Products!A:D,4,FALSE)</f>
        <v>2200</v>
      </c>
      <c r="H1308" t="str">
        <f>VLOOKUP(C1308,Products!A:D,3,FALSE)</f>
        <v>Electronics</v>
      </c>
      <c r="I1308">
        <f t="shared" si="20"/>
        <v>2200</v>
      </c>
      <c r="J1308" s="2">
        <f>VLOOKUP(B1308,Orders!A:C,3,FALSE)</f>
        <v>45900</v>
      </c>
      <c r="K1308" s="1" t="str">
        <f>VLOOKUP(B1308,Orders!A:B,2,FALSE)</f>
        <v>C0181</v>
      </c>
    </row>
    <row r="1309" spans="1:11" x14ac:dyDescent="0.3">
      <c r="A1309" s="1" t="s">
        <v>3250</v>
      </c>
      <c r="B1309" s="1" t="s">
        <v>3251</v>
      </c>
      <c r="C1309" s="1" t="s">
        <v>1137</v>
      </c>
      <c r="D1309" s="1">
        <v>1</v>
      </c>
      <c r="E1309" s="1">
        <v>0.2</v>
      </c>
      <c r="F1309" s="1" t="b">
        <v>0</v>
      </c>
      <c r="G1309">
        <f>VLOOKUP(C1309,Products!A:D,4,FALSE)</f>
        <v>1910</v>
      </c>
      <c r="H1309" t="str">
        <f>VLOOKUP(C1309,Products!A:D,3,FALSE)</f>
        <v>Apparel</v>
      </c>
      <c r="I1309">
        <f t="shared" si="20"/>
        <v>1528</v>
      </c>
      <c r="J1309" s="2">
        <f>VLOOKUP(B1309,Orders!A:C,3,FALSE)</f>
        <v>46251</v>
      </c>
      <c r="K1309" s="1" t="str">
        <f>VLOOKUP(B1309,Orders!A:B,2,FALSE)</f>
        <v>C0073</v>
      </c>
    </row>
    <row r="1310" spans="1:11" x14ac:dyDescent="0.3">
      <c r="A1310" s="1" t="s">
        <v>3252</v>
      </c>
      <c r="B1310" s="1" t="s">
        <v>3251</v>
      </c>
      <c r="C1310" s="1" t="s">
        <v>1267</v>
      </c>
      <c r="D1310" s="1">
        <v>1</v>
      </c>
      <c r="E1310" s="1">
        <v>0.1</v>
      </c>
      <c r="F1310" s="1" t="b">
        <v>0</v>
      </c>
      <c r="G1310">
        <f>VLOOKUP(C1310,Products!A:D,4,FALSE)</f>
        <v>3650</v>
      </c>
      <c r="H1310" t="str">
        <f>VLOOKUP(C1310,Products!A:D,3,FALSE)</f>
        <v>Books</v>
      </c>
      <c r="I1310">
        <f t="shared" si="20"/>
        <v>3285</v>
      </c>
      <c r="J1310" s="2">
        <f>VLOOKUP(B1310,Orders!A:C,3,FALSE)</f>
        <v>46251</v>
      </c>
      <c r="K1310" s="1" t="str">
        <f>VLOOKUP(B1310,Orders!A:B,2,FALSE)</f>
        <v>C0073</v>
      </c>
    </row>
    <row r="1311" spans="1:11" x14ac:dyDescent="0.3">
      <c r="A1311" s="1" t="s">
        <v>3253</v>
      </c>
      <c r="B1311" s="1" t="s">
        <v>3254</v>
      </c>
      <c r="C1311" s="1" t="s">
        <v>1393</v>
      </c>
      <c r="D1311" s="1">
        <v>1</v>
      </c>
      <c r="E1311" s="1">
        <v>0.2</v>
      </c>
      <c r="F1311" s="1" t="b">
        <v>0</v>
      </c>
      <c r="G1311">
        <f>VLOOKUP(C1311,Products!A:D,4,FALSE)</f>
        <v>1520</v>
      </c>
      <c r="H1311" t="str">
        <f>VLOOKUP(C1311,Products!A:D,3,FALSE)</f>
        <v>Electronics</v>
      </c>
      <c r="I1311">
        <f t="shared" si="20"/>
        <v>1216</v>
      </c>
      <c r="J1311" s="2">
        <f>VLOOKUP(B1311,Orders!A:C,3,FALSE)</f>
        <v>46260</v>
      </c>
      <c r="K1311" s="1" t="str">
        <f>VLOOKUP(B1311,Orders!A:B,2,FALSE)</f>
        <v>C0253</v>
      </c>
    </row>
    <row r="1312" spans="1:11" x14ac:dyDescent="0.3">
      <c r="A1312" s="1" t="s">
        <v>3255</v>
      </c>
      <c r="B1312" s="1" t="s">
        <v>3256</v>
      </c>
      <c r="C1312" s="1" t="s">
        <v>1174</v>
      </c>
      <c r="D1312" s="1">
        <v>2</v>
      </c>
      <c r="E1312" s="1">
        <v>0.15</v>
      </c>
      <c r="F1312" s="1" t="b">
        <v>0</v>
      </c>
      <c r="G1312">
        <f>VLOOKUP(C1312,Products!A:D,4,FALSE)</f>
        <v>1250</v>
      </c>
      <c r="H1312" t="str">
        <f>VLOOKUP(C1312,Products!A:D,3,FALSE)</f>
        <v>Sports</v>
      </c>
      <c r="I1312">
        <f t="shared" si="20"/>
        <v>2125</v>
      </c>
      <c r="J1312" s="2">
        <f>VLOOKUP(B1312,Orders!A:C,3,FALSE)</f>
        <v>45787</v>
      </c>
      <c r="K1312" s="1" t="str">
        <f>VLOOKUP(B1312,Orders!A:B,2,FALSE)</f>
        <v>C0252</v>
      </c>
    </row>
    <row r="1313" spans="1:11" x14ac:dyDescent="0.3">
      <c r="A1313" s="1" t="s">
        <v>3257</v>
      </c>
      <c r="B1313" s="1" t="s">
        <v>3258</v>
      </c>
      <c r="C1313" s="1" t="s">
        <v>1182</v>
      </c>
      <c r="D1313" s="1">
        <v>5</v>
      </c>
      <c r="E1313" s="1">
        <v>0.05</v>
      </c>
      <c r="F1313" s="1" t="b">
        <v>0</v>
      </c>
      <c r="G1313">
        <f>VLOOKUP(C1313,Products!A:D,4,FALSE)</f>
        <v>790</v>
      </c>
      <c r="H1313" t="str">
        <f>VLOOKUP(C1313,Products!A:D,3,FALSE)</f>
        <v>Sports</v>
      </c>
      <c r="I1313">
        <f t="shared" si="20"/>
        <v>3752.5</v>
      </c>
      <c r="J1313" s="2">
        <f>VLOOKUP(B1313,Orders!A:C,3,FALSE)</f>
        <v>46131</v>
      </c>
      <c r="K1313" s="1" t="str">
        <f>VLOOKUP(B1313,Orders!A:B,2,FALSE)</f>
        <v>C0120</v>
      </c>
    </row>
    <row r="1314" spans="1:11" x14ac:dyDescent="0.3">
      <c r="A1314" s="1" t="s">
        <v>3259</v>
      </c>
      <c r="B1314" s="1" t="s">
        <v>3260</v>
      </c>
      <c r="C1314" s="1" t="s">
        <v>1219</v>
      </c>
      <c r="D1314" s="1">
        <v>2</v>
      </c>
      <c r="E1314" s="1">
        <v>0.15</v>
      </c>
      <c r="F1314" s="1" t="b">
        <v>0</v>
      </c>
      <c r="G1314">
        <f>VLOOKUP(C1314,Products!A:D,4,FALSE)</f>
        <v>2090</v>
      </c>
      <c r="H1314" t="str">
        <f>VLOOKUP(C1314,Products!A:D,3,FALSE)</f>
        <v>Beauty</v>
      </c>
      <c r="I1314">
        <f t="shared" si="20"/>
        <v>3553</v>
      </c>
      <c r="J1314" s="2">
        <f>VLOOKUP(B1314,Orders!A:C,3,FALSE)</f>
        <v>46025</v>
      </c>
      <c r="K1314" s="1" t="str">
        <f>VLOOKUP(B1314,Orders!A:B,2,FALSE)</f>
        <v>C0270</v>
      </c>
    </row>
    <row r="1315" spans="1:11" x14ac:dyDescent="0.3">
      <c r="A1315" s="1" t="s">
        <v>3261</v>
      </c>
      <c r="B1315" s="1" t="s">
        <v>3260</v>
      </c>
      <c r="C1315" s="1" t="s">
        <v>1174</v>
      </c>
      <c r="D1315" s="1">
        <v>3</v>
      </c>
      <c r="E1315" s="1">
        <v>0.2</v>
      </c>
      <c r="F1315" s="1" t="b">
        <v>0</v>
      </c>
      <c r="G1315">
        <f>VLOOKUP(C1315,Products!A:D,4,FALSE)</f>
        <v>1250</v>
      </c>
      <c r="H1315" t="str">
        <f>VLOOKUP(C1315,Products!A:D,3,FALSE)</f>
        <v>Sports</v>
      </c>
      <c r="I1315">
        <f t="shared" si="20"/>
        <v>3000</v>
      </c>
      <c r="J1315" s="2">
        <f>VLOOKUP(B1315,Orders!A:C,3,FALSE)</f>
        <v>46025</v>
      </c>
      <c r="K1315" s="1" t="str">
        <f>VLOOKUP(B1315,Orders!A:B,2,FALSE)</f>
        <v>C0270</v>
      </c>
    </row>
    <row r="1316" spans="1:11" x14ac:dyDescent="0.3">
      <c r="A1316" s="1" t="s">
        <v>3262</v>
      </c>
      <c r="B1316" s="1" t="s">
        <v>3263</v>
      </c>
      <c r="C1316" s="1" t="s">
        <v>1644</v>
      </c>
      <c r="D1316" s="1">
        <v>4</v>
      </c>
      <c r="E1316" s="1">
        <v>0.05</v>
      </c>
      <c r="F1316" s="1" t="b">
        <v>0</v>
      </c>
      <c r="G1316">
        <f>VLOOKUP(C1316,Products!A:D,4,FALSE)</f>
        <v>1930</v>
      </c>
      <c r="H1316" t="str">
        <f>VLOOKUP(C1316,Products!A:D,3,FALSE)</f>
        <v>Home &amp; Kitchen</v>
      </c>
      <c r="I1316">
        <f t="shared" si="20"/>
        <v>7334</v>
      </c>
      <c r="J1316" s="2">
        <f>VLOOKUP(B1316,Orders!A:C,3,FALSE)</f>
        <v>45837</v>
      </c>
      <c r="K1316" s="1" t="str">
        <f>VLOOKUP(B1316,Orders!A:B,2,FALSE)</f>
        <v>C0104</v>
      </c>
    </row>
    <row r="1317" spans="1:11" x14ac:dyDescent="0.3">
      <c r="A1317" s="1" t="s">
        <v>3264</v>
      </c>
      <c r="B1317" s="1" t="s">
        <v>3265</v>
      </c>
      <c r="C1317" s="1" t="s">
        <v>1130</v>
      </c>
      <c r="D1317" s="1">
        <v>2</v>
      </c>
      <c r="E1317" s="1">
        <v>0.2</v>
      </c>
      <c r="F1317" s="1" t="b">
        <v>0</v>
      </c>
      <c r="G1317">
        <f>VLOOKUP(C1317,Products!A:D,4,FALSE)</f>
        <v>2400</v>
      </c>
      <c r="H1317" t="str">
        <f>VLOOKUP(C1317,Products!A:D,3,FALSE)</f>
        <v>Electronics</v>
      </c>
      <c r="I1317">
        <f t="shared" si="20"/>
        <v>3840</v>
      </c>
      <c r="J1317" s="2">
        <f>VLOOKUP(B1317,Orders!A:C,3,FALSE)</f>
        <v>46022</v>
      </c>
      <c r="K1317" s="1" t="str">
        <f>VLOOKUP(B1317,Orders!A:B,2,FALSE)</f>
        <v>C0091</v>
      </c>
    </row>
    <row r="1318" spans="1:11" x14ac:dyDescent="0.3">
      <c r="A1318" s="1" t="s">
        <v>3266</v>
      </c>
      <c r="B1318" s="1" t="s">
        <v>3265</v>
      </c>
      <c r="C1318" s="1" t="s">
        <v>1302</v>
      </c>
      <c r="D1318" s="1">
        <v>3</v>
      </c>
      <c r="E1318" s="1">
        <v>0</v>
      </c>
      <c r="F1318" s="1" t="b">
        <v>0</v>
      </c>
      <c r="G1318">
        <f>VLOOKUP(C1318,Products!A:D,4,FALSE)</f>
        <v>1220</v>
      </c>
      <c r="H1318" t="str">
        <f>VLOOKUP(C1318,Products!A:D,3,FALSE)</f>
        <v>Home &amp; Kitchen</v>
      </c>
      <c r="I1318">
        <f t="shared" si="20"/>
        <v>3660</v>
      </c>
      <c r="J1318" s="2">
        <f>VLOOKUP(B1318,Orders!A:C,3,FALSE)</f>
        <v>46022</v>
      </c>
      <c r="K1318" s="1" t="str">
        <f>VLOOKUP(B1318,Orders!A:B,2,FALSE)</f>
        <v>C0091</v>
      </c>
    </row>
    <row r="1319" spans="1:11" x14ac:dyDescent="0.3">
      <c r="A1319" s="1" t="s">
        <v>3267</v>
      </c>
      <c r="B1319" s="1" t="s">
        <v>3268</v>
      </c>
      <c r="C1319" s="1" t="s">
        <v>1602</v>
      </c>
      <c r="D1319" s="1">
        <v>3</v>
      </c>
      <c r="E1319" s="1">
        <v>0</v>
      </c>
      <c r="F1319" s="1" t="b">
        <v>0</v>
      </c>
      <c r="G1319">
        <f>VLOOKUP(C1319,Products!A:D,4,FALSE)</f>
        <v>1240</v>
      </c>
      <c r="H1319" t="str">
        <f>VLOOKUP(C1319,Products!A:D,3,FALSE)</f>
        <v>Apparel</v>
      </c>
      <c r="I1319">
        <f t="shared" si="20"/>
        <v>3720</v>
      </c>
      <c r="J1319" s="2">
        <f>VLOOKUP(B1319,Orders!A:C,3,FALSE)</f>
        <v>45870</v>
      </c>
      <c r="K1319" s="1" t="str">
        <f>VLOOKUP(B1319,Orders!A:B,2,FALSE)</f>
        <v>C0031</v>
      </c>
    </row>
    <row r="1320" spans="1:11" x14ac:dyDescent="0.3">
      <c r="A1320" s="1" t="s">
        <v>3269</v>
      </c>
      <c r="B1320" s="1" t="s">
        <v>3268</v>
      </c>
      <c r="C1320" s="1" t="s">
        <v>1188</v>
      </c>
      <c r="D1320" s="1">
        <v>3</v>
      </c>
      <c r="E1320" s="1">
        <v>0.15</v>
      </c>
      <c r="F1320" s="1" t="b">
        <v>0</v>
      </c>
      <c r="G1320">
        <f>VLOOKUP(C1320,Products!A:D,4,FALSE)</f>
        <v>2530</v>
      </c>
      <c r="H1320" t="str">
        <f>VLOOKUP(C1320,Products!A:D,3,FALSE)</f>
        <v>Beauty</v>
      </c>
      <c r="I1320">
        <f t="shared" si="20"/>
        <v>6451.5</v>
      </c>
      <c r="J1320" s="2">
        <f>VLOOKUP(B1320,Orders!A:C,3,FALSE)</f>
        <v>45870</v>
      </c>
      <c r="K1320" s="1" t="str">
        <f>VLOOKUP(B1320,Orders!A:B,2,FALSE)</f>
        <v>C0031</v>
      </c>
    </row>
    <row r="1321" spans="1:11" x14ac:dyDescent="0.3">
      <c r="A1321" s="1" t="s">
        <v>3270</v>
      </c>
      <c r="B1321" s="1" t="s">
        <v>3271</v>
      </c>
      <c r="C1321" s="1" t="s">
        <v>1433</v>
      </c>
      <c r="D1321" s="1">
        <v>5</v>
      </c>
      <c r="E1321" s="1">
        <v>0.05</v>
      </c>
      <c r="F1321" s="1" t="b">
        <v>0</v>
      </c>
      <c r="G1321">
        <f>VLOOKUP(C1321,Products!A:D,4,FALSE)</f>
        <v>110</v>
      </c>
      <c r="H1321" t="str">
        <f>VLOOKUP(C1321,Products!A:D,3,FALSE)</f>
        <v>Home &amp; Kitchen</v>
      </c>
      <c r="I1321">
        <f t="shared" si="20"/>
        <v>522.5</v>
      </c>
      <c r="J1321" s="2">
        <f>VLOOKUP(B1321,Orders!A:C,3,FALSE)</f>
        <v>46076</v>
      </c>
      <c r="K1321" s="1" t="str">
        <f>VLOOKUP(B1321,Orders!A:B,2,FALSE)</f>
        <v>C0073</v>
      </c>
    </row>
    <row r="1322" spans="1:11" x14ac:dyDescent="0.3">
      <c r="A1322" s="1" t="s">
        <v>3272</v>
      </c>
      <c r="B1322" s="1" t="s">
        <v>3271</v>
      </c>
      <c r="C1322" s="1" t="s">
        <v>1168</v>
      </c>
      <c r="D1322" s="1">
        <v>2</v>
      </c>
      <c r="E1322" s="1">
        <v>0.2</v>
      </c>
      <c r="F1322" s="1" t="b">
        <v>0</v>
      </c>
      <c r="G1322">
        <f>VLOOKUP(C1322,Products!A:D,4,FALSE)</f>
        <v>1440</v>
      </c>
      <c r="H1322" t="str">
        <f>VLOOKUP(C1322,Products!A:D,3,FALSE)</f>
        <v>Sports</v>
      </c>
      <c r="I1322">
        <f t="shared" si="20"/>
        <v>2304</v>
      </c>
      <c r="J1322" s="2">
        <f>VLOOKUP(B1322,Orders!A:C,3,FALSE)</f>
        <v>46076</v>
      </c>
      <c r="K1322" s="1" t="str">
        <f>VLOOKUP(B1322,Orders!A:B,2,FALSE)</f>
        <v>C0073</v>
      </c>
    </row>
    <row r="1323" spans="1:11" x14ac:dyDescent="0.3">
      <c r="A1323" s="1" t="s">
        <v>3273</v>
      </c>
      <c r="B1323" s="1" t="s">
        <v>3274</v>
      </c>
      <c r="C1323" s="1" t="s">
        <v>1290</v>
      </c>
      <c r="D1323" s="1">
        <v>4</v>
      </c>
      <c r="E1323" s="1">
        <v>0.2</v>
      </c>
      <c r="F1323" s="1" t="b">
        <v>0</v>
      </c>
      <c r="G1323">
        <f>VLOOKUP(C1323,Products!A:D,4,FALSE)</f>
        <v>990</v>
      </c>
      <c r="H1323" t="str">
        <f>VLOOKUP(C1323,Products!A:D,3,FALSE)</f>
        <v>Books</v>
      </c>
      <c r="I1323">
        <f t="shared" si="20"/>
        <v>3168</v>
      </c>
      <c r="J1323" s="2">
        <f>VLOOKUP(B1323,Orders!A:C,3,FALSE)</f>
        <v>45832</v>
      </c>
      <c r="K1323" s="1" t="str">
        <f>VLOOKUP(B1323,Orders!A:B,2,FALSE)</f>
        <v>C0187</v>
      </c>
    </row>
    <row r="1324" spans="1:11" x14ac:dyDescent="0.3">
      <c r="A1324" s="1" t="s">
        <v>3275</v>
      </c>
      <c r="B1324" s="1" t="s">
        <v>3276</v>
      </c>
      <c r="C1324" s="1" t="s">
        <v>1174</v>
      </c>
      <c r="D1324" s="1">
        <v>1</v>
      </c>
      <c r="E1324" s="1">
        <v>0.05</v>
      </c>
      <c r="F1324" s="1" t="b">
        <v>0</v>
      </c>
      <c r="G1324">
        <f>VLOOKUP(C1324,Products!A:D,4,FALSE)</f>
        <v>1250</v>
      </c>
      <c r="H1324" t="str">
        <f>VLOOKUP(C1324,Products!A:D,3,FALSE)</f>
        <v>Sports</v>
      </c>
      <c r="I1324">
        <f t="shared" si="20"/>
        <v>1187.5</v>
      </c>
      <c r="J1324" s="2">
        <f>VLOOKUP(B1324,Orders!A:C,3,FALSE)</f>
        <v>46144</v>
      </c>
      <c r="K1324" s="1" t="str">
        <f>VLOOKUP(B1324,Orders!A:B,2,FALSE)</f>
        <v>C0203</v>
      </c>
    </row>
    <row r="1325" spans="1:11" x14ac:dyDescent="0.3">
      <c r="A1325" s="1" t="s">
        <v>3277</v>
      </c>
      <c r="B1325" s="1" t="s">
        <v>3276</v>
      </c>
      <c r="C1325" s="1" t="s">
        <v>1459</v>
      </c>
      <c r="D1325" s="1">
        <v>1</v>
      </c>
      <c r="E1325" s="1">
        <v>0.15</v>
      </c>
      <c r="F1325" s="1" t="b">
        <v>0</v>
      </c>
      <c r="G1325">
        <f>VLOOKUP(C1325,Products!A:D,4,FALSE)</f>
        <v>710</v>
      </c>
      <c r="H1325" t="str">
        <f>VLOOKUP(C1325,Products!A:D,3,FALSE)</f>
        <v>Sports</v>
      </c>
      <c r="I1325">
        <f t="shared" si="20"/>
        <v>603.5</v>
      </c>
      <c r="J1325" s="2">
        <f>VLOOKUP(B1325,Orders!A:C,3,FALSE)</f>
        <v>46144</v>
      </c>
      <c r="K1325" s="1" t="str">
        <f>VLOOKUP(B1325,Orders!A:B,2,FALSE)</f>
        <v>C0203</v>
      </c>
    </row>
    <row r="1326" spans="1:11" x14ac:dyDescent="0.3">
      <c r="A1326" s="1" t="s">
        <v>3278</v>
      </c>
      <c r="B1326" s="1" t="s">
        <v>3279</v>
      </c>
      <c r="C1326" s="1" t="s">
        <v>1656</v>
      </c>
      <c r="D1326" s="1">
        <v>1</v>
      </c>
      <c r="E1326" s="1">
        <v>0</v>
      </c>
      <c r="F1326" s="1" t="b">
        <v>0</v>
      </c>
      <c r="G1326">
        <f>VLOOKUP(C1326,Products!A:D,4,FALSE)</f>
        <v>1240</v>
      </c>
      <c r="H1326" t="str">
        <f>VLOOKUP(C1326,Products!A:D,3,FALSE)</f>
        <v>Beauty</v>
      </c>
      <c r="I1326">
        <f t="shared" si="20"/>
        <v>1240</v>
      </c>
      <c r="J1326" s="2">
        <f>VLOOKUP(B1326,Orders!A:C,3,FALSE)</f>
        <v>45961</v>
      </c>
      <c r="K1326" s="1" t="str">
        <f>VLOOKUP(B1326,Orders!A:B,2,FALSE)</f>
        <v>C0155</v>
      </c>
    </row>
    <row r="1327" spans="1:11" x14ac:dyDescent="0.3">
      <c r="A1327" s="1" t="s">
        <v>3280</v>
      </c>
      <c r="B1327" s="1" t="s">
        <v>3279</v>
      </c>
      <c r="C1327" s="1" t="s">
        <v>1225</v>
      </c>
      <c r="D1327" s="1">
        <v>4</v>
      </c>
      <c r="E1327" s="1">
        <v>0.2</v>
      </c>
      <c r="F1327" s="1" t="b">
        <v>0</v>
      </c>
      <c r="G1327">
        <f>VLOOKUP(C1327,Products!A:D,4,FALSE)</f>
        <v>2690</v>
      </c>
      <c r="H1327" t="str">
        <f>VLOOKUP(C1327,Products!A:D,3,FALSE)</f>
        <v>Beauty</v>
      </c>
      <c r="I1327">
        <f t="shared" si="20"/>
        <v>8608</v>
      </c>
      <c r="J1327" s="2">
        <f>VLOOKUP(B1327,Orders!A:C,3,FALSE)</f>
        <v>45961</v>
      </c>
      <c r="K1327" s="1" t="str">
        <f>VLOOKUP(B1327,Orders!A:B,2,FALSE)</f>
        <v>C0155</v>
      </c>
    </row>
    <row r="1328" spans="1:11" x14ac:dyDescent="0.3">
      <c r="A1328" s="1" t="s">
        <v>3281</v>
      </c>
      <c r="B1328" s="1" t="s">
        <v>3279</v>
      </c>
      <c r="C1328" s="1" t="s">
        <v>1230</v>
      </c>
      <c r="D1328" s="1">
        <v>4</v>
      </c>
      <c r="E1328" s="1">
        <v>0</v>
      </c>
      <c r="F1328" s="1" t="b">
        <v>0</v>
      </c>
      <c r="G1328">
        <f>VLOOKUP(C1328,Products!A:D,4,FALSE)</f>
        <v>1530</v>
      </c>
      <c r="H1328" t="str">
        <f>VLOOKUP(C1328,Products!A:D,3,FALSE)</f>
        <v>Beauty</v>
      </c>
      <c r="I1328">
        <f t="shared" si="20"/>
        <v>6120</v>
      </c>
      <c r="J1328" s="2">
        <f>VLOOKUP(B1328,Orders!A:C,3,FALSE)</f>
        <v>45961</v>
      </c>
      <c r="K1328" s="1" t="str">
        <f>VLOOKUP(B1328,Orders!A:B,2,FALSE)</f>
        <v>C0155</v>
      </c>
    </row>
    <row r="1329" spans="1:11" x14ac:dyDescent="0.3">
      <c r="A1329" s="1" t="s">
        <v>3282</v>
      </c>
      <c r="B1329" s="1" t="s">
        <v>3283</v>
      </c>
      <c r="C1329" s="1" t="s">
        <v>1393</v>
      </c>
      <c r="D1329" s="1">
        <v>2</v>
      </c>
      <c r="E1329" s="1">
        <v>0.1</v>
      </c>
      <c r="F1329" s="1" t="b">
        <v>0</v>
      </c>
      <c r="G1329">
        <f>VLOOKUP(C1329,Products!A:D,4,FALSE)</f>
        <v>1520</v>
      </c>
      <c r="H1329" t="str">
        <f>VLOOKUP(C1329,Products!A:D,3,FALSE)</f>
        <v>Electronics</v>
      </c>
      <c r="I1329">
        <f t="shared" si="20"/>
        <v>2736</v>
      </c>
      <c r="J1329" s="2">
        <f>VLOOKUP(B1329,Orders!A:C,3,FALSE)</f>
        <v>45791</v>
      </c>
      <c r="K1329" s="1" t="str">
        <f>VLOOKUP(B1329,Orders!A:B,2,FALSE)</f>
        <v>C0224</v>
      </c>
    </row>
    <row r="1330" spans="1:11" x14ac:dyDescent="0.3">
      <c r="A1330" s="1" t="s">
        <v>3284</v>
      </c>
      <c r="B1330" s="1" t="s">
        <v>3285</v>
      </c>
      <c r="C1330" s="1" t="s">
        <v>1393</v>
      </c>
      <c r="D1330" s="1">
        <v>5</v>
      </c>
      <c r="E1330" s="1">
        <v>0</v>
      </c>
      <c r="F1330" s="1" t="b">
        <v>0</v>
      </c>
      <c r="G1330">
        <f>VLOOKUP(C1330,Products!A:D,4,FALSE)</f>
        <v>1520</v>
      </c>
      <c r="H1330" t="str">
        <f>VLOOKUP(C1330,Products!A:D,3,FALSE)</f>
        <v>Electronics</v>
      </c>
      <c r="I1330">
        <f t="shared" si="20"/>
        <v>7600</v>
      </c>
      <c r="J1330" s="2">
        <f>VLOOKUP(B1330,Orders!A:C,3,FALSE)</f>
        <v>46083</v>
      </c>
      <c r="K1330" s="1" t="str">
        <f>VLOOKUP(B1330,Orders!A:B,2,FALSE)</f>
        <v>C0163</v>
      </c>
    </row>
    <row r="1331" spans="1:11" x14ac:dyDescent="0.3">
      <c r="A1331" s="1" t="s">
        <v>3286</v>
      </c>
      <c r="B1331" s="1" t="s">
        <v>3287</v>
      </c>
      <c r="C1331" s="1" t="s">
        <v>1184</v>
      </c>
      <c r="D1331" s="1">
        <v>3</v>
      </c>
      <c r="E1331" s="1">
        <v>0.15</v>
      </c>
      <c r="F1331" s="1" t="b">
        <v>0</v>
      </c>
      <c r="G1331">
        <f>VLOOKUP(C1331,Products!A:D,4,FALSE)</f>
        <v>2230</v>
      </c>
      <c r="H1331" t="str">
        <f>VLOOKUP(C1331,Products!A:D,3,FALSE)</f>
        <v>Sports</v>
      </c>
      <c r="I1331">
        <f t="shared" si="20"/>
        <v>5686.5</v>
      </c>
      <c r="J1331" s="2">
        <f>VLOOKUP(B1331,Orders!A:C,3,FALSE)</f>
        <v>45930</v>
      </c>
      <c r="K1331" s="1" t="str">
        <f>VLOOKUP(B1331,Orders!A:B,2,FALSE)</f>
        <v>C0288</v>
      </c>
    </row>
    <row r="1332" spans="1:11" x14ac:dyDescent="0.3">
      <c r="A1332" s="1" t="s">
        <v>3288</v>
      </c>
      <c r="B1332" s="1" t="s">
        <v>3289</v>
      </c>
      <c r="C1332" s="1" t="s">
        <v>1152</v>
      </c>
      <c r="D1332" s="1">
        <v>1</v>
      </c>
      <c r="E1332" s="1">
        <v>0.2</v>
      </c>
      <c r="F1332" s="1" t="b">
        <v>0</v>
      </c>
      <c r="G1332">
        <f>VLOOKUP(C1332,Products!A:D,4,FALSE)</f>
        <v>2250</v>
      </c>
      <c r="H1332" t="str">
        <f>VLOOKUP(C1332,Products!A:D,3,FALSE)</f>
        <v>Home &amp; Kitchen</v>
      </c>
      <c r="I1332">
        <f t="shared" si="20"/>
        <v>1800</v>
      </c>
      <c r="J1332" s="2">
        <f>VLOOKUP(B1332,Orders!A:C,3,FALSE)</f>
        <v>45985</v>
      </c>
      <c r="K1332" s="1" t="str">
        <f>VLOOKUP(B1332,Orders!A:B,2,FALSE)</f>
        <v>C0183</v>
      </c>
    </row>
    <row r="1333" spans="1:11" x14ac:dyDescent="0.3">
      <c r="A1333" s="1" t="s">
        <v>3290</v>
      </c>
      <c r="B1333" s="1" t="s">
        <v>3289</v>
      </c>
      <c r="C1333" s="1" t="s">
        <v>1278</v>
      </c>
      <c r="D1333" s="1">
        <v>5</v>
      </c>
      <c r="E1333" s="1">
        <v>0.1</v>
      </c>
      <c r="F1333" s="1" t="b">
        <v>0</v>
      </c>
      <c r="G1333">
        <f>VLOOKUP(C1333,Products!A:D,4,FALSE)</f>
        <v>330</v>
      </c>
      <c r="H1333" t="str">
        <f>VLOOKUP(C1333,Products!A:D,3,FALSE)</f>
        <v>Books</v>
      </c>
      <c r="I1333">
        <f t="shared" si="20"/>
        <v>1485</v>
      </c>
      <c r="J1333" s="2">
        <f>VLOOKUP(B1333,Orders!A:C,3,FALSE)</f>
        <v>45985</v>
      </c>
      <c r="K1333" s="1" t="str">
        <f>VLOOKUP(B1333,Orders!A:B,2,FALSE)</f>
        <v>C0183</v>
      </c>
    </row>
    <row r="1334" spans="1:11" x14ac:dyDescent="0.3">
      <c r="A1334" s="1" t="s">
        <v>3291</v>
      </c>
      <c r="B1334" s="1" t="s">
        <v>3292</v>
      </c>
      <c r="C1334" s="1" t="s">
        <v>1403</v>
      </c>
      <c r="D1334" s="1">
        <v>4</v>
      </c>
      <c r="E1334" s="1">
        <v>0.15</v>
      </c>
      <c r="F1334" s="1" t="b">
        <v>0</v>
      </c>
      <c r="G1334">
        <f>VLOOKUP(C1334,Products!A:D,4,FALSE)</f>
        <v>1340</v>
      </c>
      <c r="H1334" t="str">
        <f>VLOOKUP(C1334,Products!A:D,3,FALSE)</f>
        <v>Electronics</v>
      </c>
      <c r="I1334">
        <f t="shared" si="20"/>
        <v>4556</v>
      </c>
      <c r="J1334" s="2">
        <f>VLOOKUP(B1334,Orders!A:C,3,FALSE)</f>
        <v>46098</v>
      </c>
      <c r="K1334" s="1" t="str">
        <f>VLOOKUP(B1334,Orders!A:B,2,FALSE)</f>
        <v>C0090</v>
      </c>
    </row>
    <row r="1335" spans="1:11" x14ac:dyDescent="0.3">
      <c r="A1335" s="1" t="s">
        <v>3293</v>
      </c>
      <c r="B1335" s="1" t="s">
        <v>3292</v>
      </c>
      <c r="C1335" s="1" t="s">
        <v>1132</v>
      </c>
      <c r="D1335" s="1">
        <v>5</v>
      </c>
      <c r="E1335" s="1">
        <v>0.1</v>
      </c>
      <c r="F1335" s="1" t="b">
        <v>0</v>
      </c>
      <c r="G1335">
        <f>VLOOKUP(C1335,Products!A:D,4,FALSE)</f>
        <v>420</v>
      </c>
      <c r="H1335" t="str">
        <f>VLOOKUP(C1335,Products!A:D,3,FALSE)</f>
        <v>Beauty</v>
      </c>
      <c r="I1335">
        <f t="shared" si="20"/>
        <v>1890</v>
      </c>
      <c r="J1335" s="2">
        <f>VLOOKUP(B1335,Orders!A:C,3,FALSE)</f>
        <v>46098</v>
      </c>
      <c r="K1335" s="1" t="str">
        <f>VLOOKUP(B1335,Orders!A:B,2,FALSE)</f>
        <v>C0090</v>
      </c>
    </row>
    <row r="1336" spans="1:11" x14ac:dyDescent="0.3">
      <c r="A1336" s="1" t="s">
        <v>3294</v>
      </c>
      <c r="B1336" s="1" t="s">
        <v>3292</v>
      </c>
      <c r="C1336" s="1" t="s">
        <v>1191</v>
      </c>
      <c r="D1336" s="1">
        <v>4</v>
      </c>
      <c r="E1336" s="1">
        <v>0.15</v>
      </c>
      <c r="F1336" s="1" t="b">
        <v>0</v>
      </c>
      <c r="G1336">
        <f>VLOOKUP(C1336,Products!A:D,4,FALSE)</f>
        <v>99</v>
      </c>
      <c r="H1336" t="str">
        <f>VLOOKUP(C1336,Products!A:D,3,FALSE)</f>
        <v>Sports</v>
      </c>
      <c r="I1336">
        <f t="shared" si="20"/>
        <v>336.59999999999997</v>
      </c>
      <c r="J1336" s="2">
        <f>VLOOKUP(B1336,Orders!A:C,3,FALSE)</f>
        <v>46098</v>
      </c>
      <c r="K1336" s="1" t="str">
        <f>VLOOKUP(B1336,Orders!A:B,2,FALSE)</f>
        <v>C0090</v>
      </c>
    </row>
    <row r="1337" spans="1:11" x14ac:dyDescent="0.3">
      <c r="A1337" s="1" t="s">
        <v>3295</v>
      </c>
      <c r="B1337" s="1" t="s">
        <v>3296</v>
      </c>
      <c r="C1337" s="1" t="s">
        <v>1403</v>
      </c>
      <c r="D1337" s="1">
        <v>2</v>
      </c>
      <c r="E1337" s="1">
        <v>0</v>
      </c>
      <c r="F1337" s="1" t="b">
        <v>0</v>
      </c>
      <c r="G1337">
        <f>VLOOKUP(C1337,Products!A:D,4,FALSE)</f>
        <v>1340</v>
      </c>
      <c r="H1337" t="str">
        <f>VLOOKUP(C1337,Products!A:D,3,FALSE)</f>
        <v>Electronics</v>
      </c>
      <c r="I1337">
        <f t="shared" si="20"/>
        <v>2680</v>
      </c>
      <c r="J1337" s="2">
        <f>VLOOKUP(B1337,Orders!A:C,3,FALSE)</f>
        <v>46217</v>
      </c>
      <c r="K1337" s="1" t="str">
        <f>VLOOKUP(B1337,Orders!A:B,2,FALSE)</f>
        <v>C0066</v>
      </c>
    </row>
    <row r="1338" spans="1:11" x14ac:dyDescent="0.3">
      <c r="A1338" s="1" t="s">
        <v>3297</v>
      </c>
      <c r="B1338" s="1" t="s">
        <v>3298</v>
      </c>
      <c r="C1338" s="1" t="s">
        <v>1143</v>
      </c>
      <c r="D1338" s="1">
        <v>3</v>
      </c>
      <c r="E1338" s="1">
        <v>0.05</v>
      </c>
      <c r="F1338" s="1" t="b">
        <v>0</v>
      </c>
      <c r="G1338">
        <f>VLOOKUP(C1338,Products!A:D,4,FALSE)</f>
        <v>2230</v>
      </c>
      <c r="H1338" t="str">
        <f>VLOOKUP(C1338,Products!A:D,3,FALSE)</f>
        <v>Home &amp; Kitchen</v>
      </c>
      <c r="I1338">
        <f t="shared" si="20"/>
        <v>6355.5</v>
      </c>
      <c r="J1338" s="2">
        <f>VLOOKUP(B1338,Orders!A:C,3,FALSE)</f>
        <v>45825</v>
      </c>
      <c r="K1338" s="1" t="str">
        <f>VLOOKUP(B1338,Orders!A:B,2,FALSE)</f>
        <v>C0294</v>
      </c>
    </row>
    <row r="1339" spans="1:11" x14ac:dyDescent="0.3">
      <c r="A1339" s="1" t="s">
        <v>3299</v>
      </c>
      <c r="B1339" s="1" t="s">
        <v>3300</v>
      </c>
      <c r="C1339" s="1" t="s">
        <v>1330</v>
      </c>
      <c r="D1339" s="1">
        <v>5</v>
      </c>
      <c r="E1339" s="1">
        <v>0.1</v>
      </c>
      <c r="F1339" s="1" t="b">
        <v>0</v>
      </c>
      <c r="G1339">
        <f>VLOOKUP(C1339,Products!A:D,4,FALSE)</f>
        <v>580</v>
      </c>
      <c r="H1339" t="str">
        <f>VLOOKUP(C1339,Products!A:D,3,FALSE)</f>
        <v>Books</v>
      </c>
      <c r="I1339">
        <f t="shared" si="20"/>
        <v>2610</v>
      </c>
      <c r="J1339" s="2">
        <f>VLOOKUP(B1339,Orders!A:C,3,FALSE)</f>
        <v>45832</v>
      </c>
      <c r="K1339" s="1" t="str">
        <f>VLOOKUP(B1339,Orders!A:B,2,FALSE)</f>
        <v>C0017</v>
      </c>
    </row>
    <row r="1340" spans="1:11" x14ac:dyDescent="0.3">
      <c r="A1340" s="1" t="s">
        <v>3301</v>
      </c>
      <c r="B1340" s="1" t="s">
        <v>3300</v>
      </c>
      <c r="C1340" s="1" t="s">
        <v>1197</v>
      </c>
      <c r="D1340" s="1">
        <v>2</v>
      </c>
      <c r="E1340" s="1">
        <v>0</v>
      </c>
      <c r="F1340" s="1" t="b">
        <v>0</v>
      </c>
      <c r="G1340">
        <f>VLOOKUP(C1340,Products!A:D,4,FALSE)</f>
        <v>2050</v>
      </c>
      <c r="H1340" t="str">
        <f>VLOOKUP(C1340,Products!A:D,3,FALSE)</f>
        <v>Apparel</v>
      </c>
      <c r="I1340">
        <f t="shared" si="20"/>
        <v>4100</v>
      </c>
      <c r="J1340" s="2">
        <f>VLOOKUP(B1340,Orders!A:C,3,FALSE)</f>
        <v>45832</v>
      </c>
      <c r="K1340" s="1" t="str">
        <f>VLOOKUP(B1340,Orders!A:B,2,FALSE)</f>
        <v>C0017</v>
      </c>
    </row>
    <row r="1341" spans="1:11" x14ac:dyDescent="0.3">
      <c r="A1341" s="1" t="s">
        <v>3302</v>
      </c>
      <c r="B1341" s="1" t="s">
        <v>3303</v>
      </c>
      <c r="C1341" s="1" t="s">
        <v>1468</v>
      </c>
      <c r="D1341" s="1">
        <v>5</v>
      </c>
      <c r="E1341" s="1">
        <v>0</v>
      </c>
      <c r="F1341" s="1" t="b">
        <v>0</v>
      </c>
      <c r="G1341">
        <f>VLOOKUP(C1341,Products!A:D,4,FALSE)</f>
        <v>2040</v>
      </c>
      <c r="H1341" t="str">
        <f>VLOOKUP(C1341,Products!A:D,3,FALSE)</f>
        <v>Books</v>
      </c>
      <c r="I1341">
        <f t="shared" si="20"/>
        <v>10200</v>
      </c>
      <c r="J1341" s="2">
        <f>VLOOKUP(B1341,Orders!A:C,3,FALSE)</f>
        <v>45954</v>
      </c>
      <c r="K1341" s="1" t="str">
        <f>VLOOKUP(B1341,Orders!A:B,2,FALSE)</f>
        <v>C0114</v>
      </c>
    </row>
    <row r="1342" spans="1:11" x14ac:dyDescent="0.3">
      <c r="A1342" s="1" t="s">
        <v>3304</v>
      </c>
      <c r="B1342" s="1" t="s">
        <v>3303</v>
      </c>
      <c r="C1342" s="1" t="s">
        <v>1270</v>
      </c>
      <c r="D1342" s="1">
        <v>1</v>
      </c>
      <c r="E1342" s="1">
        <v>0</v>
      </c>
      <c r="F1342" s="1" t="b">
        <v>0</v>
      </c>
      <c r="G1342">
        <f>VLOOKUP(C1342,Products!A:D,4,FALSE)</f>
        <v>3560</v>
      </c>
      <c r="H1342" t="str">
        <f>VLOOKUP(C1342,Products!A:D,3,FALSE)</f>
        <v>Sports</v>
      </c>
      <c r="I1342">
        <f t="shared" si="20"/>
        <v>3560</v>
      </c>
      <c r="J1342" s="2">
        <f>VLOOKUP(B1342,Orders!A:C,3,FALSE)</f>
        <v>45954</v>
      </c>
      <c r="K1342" s="1" t="str">
        <f>VLOOKUP(B1342,Orders!A:B,2,FALSE)</f>
        <v>C0114</v>
      </c>
    </row>
    <row r="1343" spans="1:11" x14ac:dyDescent="0.3">
      <c r="A1343" s="1" t="s">
        <v>3305</v>
      </c>
      <c r="B1343" s="1" t="s">
        <v>3306</v>
      </c>
      <c r="C1343" s="1" t="s">
        <v>1418</v>
      </c>
      <c r="D1343" s="1">
        <v>5</v>
      </c>
      <c r="E1343" s="1">
        <v>0</v>
      </c>
      <c r="F1343" s="1" t="b">
        <v>0</v>
      </c>
      <c r="G1343">
        <f>VLOOKUP(C1343,Products!A:D,4,FALSE)</f>
        <v>1030</v>
      </c>
      <c r="H1343" t="str">
        <f>VLOOKUP(C1343,Products!A:D,3,FALSE)</f>
        <v>Beauty</v>
      </c>
      <c r="I1343">
        <f t="shared" si="20"/>
        <v>5150</v>
      </c>
      <c r="J1343" s="2">
        <f>VLOOKUP(B1343,Orders!A:C,3,FALSE)</f>
        <v>45918</v>
      </c>
      <c r="K1343" s="1" t="str">
        <f>VLOOKUP(B1343,Orders!A:B,2,FALSE)</f>
        <v>C0255</v>
      </c>
    </row>
    <row r="1344" spans="1:11" x14ac:dyDescent="0.3">
      <c r="A1344" s="1" t="s">
        <v>3307</v>
      </c>
      <c r="B1344" s="1" t="s">
        <v>3306</v>
      </c>
      <c r="C1344" s="1" t="s">
        <v>1484</v>
      </c>
      <c r="D1344" s="1">
        <v>3</v>
      </c>
      <c r="E1344" s="1">
        <v>0.15</v>
      </c>
      <c r="F1344" s="1" t="b">
        <v>0</v>
      </c>
      <c r="G1344">
        <f>VLOOKUP(C1344,Products!A:D,4,FALSE)</f>
        <v>1080</v>
      </c>
      <c r="H1344" t="str">
        <f>VLOOKUP(C1344,Products!A:D,3,FALSE)</f>
        <v>Home &amp; Kitchen</v>
      </c>
      <c r="I1344">
        <f t="shared" ref="I1344:I1407" si="21">G1344*D1344*(1-E1344)</f>
        <v>2754</v>
      </c>
      <c r="J1344" s="2">
        <f>VLOOKUP(B1344,Orders!A:C,3,FALSE)</f>
        <v>45918</v>
      </c>
      <c r="K1344" s="1" t="str">
        <f>VLOOKUP(B1344,Orders!A:B,2,FALSE)</f>
        <v>C0255</v>
      </c>
    </row>
    <row r="1345" spans="1:11" x14ac:dyDescent="0.3">
      <c r="A1345" s="1" t="s">
        <v>3308</v>
      </c>
      <c r="B1345" s="1" t="s">
        <v>3306</v>
      </c>
      <c r="C1345" s="1" t="s">
        <v>1140</v>
      </c>
      <c r="D1345" s="1">
        <v>5</v>
      </c>
      <c r="E1345" s="1">
        <v>0</v>
      </c>
      <c r="F1345" s="1" t="b">
        <v>0</v>
      </c>
      <c r="G1345">
        <f>VLOOKUP(C1345,Products!A:D,4,FALSE)</f>
        <v>3040</v>
      </c>
      <c r="H1345" t="str">
        <f>VLOOKUP(C1345,Products!A:D,3,FALSE)</f>
        <v>Electronics</v>
      </c>
      <c r="I1345">
        <f t="shared" si="21"/>
        <v>15200</v>
      </c>
      <c r="J1345" s="2">
        <f>VLOOKUP(B1345,Orders!A:C,3,FALSE)</f>
        <v>45918</v>
      </c>
      <c r="K1345" s="1" t="str">
        <f>VLOOKUP(B1345,Orders!A:B,2,FALSE)</f>
        <v>C0255</v>
      </c>
    </row>
    <row r="1346" spans="1:11" x14ac:dyDescent="0.3">
      <c r="A1346" s="1" t="s">
        <v>3309</v>
      </c>
      <c r="B1346" s="1" t="s">
        <v>3310</v>
      </c>
      <c r="C1346" s="1" t="s">
        <v>1462</v>
      </c>
      <c r="D1346" s="1">
        <v>3</v>
      </c>
      <c r="E1346" s="1">
        <v>0.15</v>
      </c>
      <c r="F1346" s="1" t="b">
        <v>0</v>
      </c>
      <c r="G1346">
        <f>VLOOKUP(C1346,Products!A:D,4,FALSE)</f>
        <v>3070</v>
      </c>
      <c r="H1346" t="str">
        <f>VLOOKUP(C1346,Products!A:D,3,FALSE)</f>
        <v>Apparel</v>
      </c>
      <c r="I1346">
        <f t="shared" si="21"/>
        <v>7828.5</v>
      </c>
      <c r="J1346" s="2">
        <f>VLOOKUP(B1346,Orders!A:C,3,FALSE)</f>
        <v>45820</v>
      </c>
      <c r="K1346" s="1" t="str">
        <f>VLOOKUP(B1346,Orders!A:B,2,FALSE)</f>
        <v>C0122</v>
      </c>
    </row>
    <row r="1347" spans="1:11" x14ac:dyDescent="0.3">
      <c r="A1347" s="1" t="s">
        <v>3311</v>
      </c>
      <c r="B1347" s="1" t="s">
        <v>3310</v>
      </c>
      <c r="C1347" s="1" t="s">
        <v>1113</v>
      </c>
      <c r="D1347" s="1">
        <v>3</v>
      </c>
      <c r="E1347" s="1">
        <v>0</v>
      </c>
      <c r="F1347" s="1" t="b">
        <v>0</v>
      </c>
      <c r="G1347">
        <f>VLOOKUP(C1347,Products!A:D,4,FALSE)</f>
        <v>2780</v>
      </c>
      <c r="H1347" t="str">
        <f>VLOOKUP(C1347,Products!A:D,3,FALSE)</f>
        <v>Apparel</v>
      </c>
      <c r="I1347">
        <f t="shared" si="21"/>
        <v>8340</v>
      </c>
      <c r="J1347" s="2">
        <f>VLOOKUP(B1347,Orders!A:C,3,FALSE)</f>
        <v>45820</v>
      </c>
      <c r="K1347" s="1" t="str">
        <f>VLOOKUP(B1347,Orders!A:B,2,FALSE)</f>
        <v>C0122</v>
      </c>
    </row>
    <row r="1348" spans="1:11" x14ac:dyDescent="0.3">
      <c r="A1348" s="1" t="s">
        <v>3312</v>
      </c>
      <c r="B1348" s="1" t="s">
        <v>3313</v>
      </c>
      <c r="C1348" s="1" t="s">
        <v>1106</v>
      </c>
      <c r="D1348" s="1">
        <v>4</v>
      </c>
      <c r="E1348" s="1">
        <v>0</v>
      </c>
      <c r="F1348" s="1" t="b">
        <v>0</v>
      </c>
      <c r="G1348">
        <f>VLOOKUP(C1348,Products!A:D,4,FALSE)</f>
        <v>1130</v>
      </c>
      <c r="H1348" t="str">
        <f>VLOOKUP(C1348,Products!A:D,3,FALSE)</f>
        <v>Books</v>
      </c>
      <c r="I1348">
        <f t="shared" si="21"/>
        <v>4520</v>
      </c>
      <c r="J1348" s="2">
        <f>VLOOKUP(B1348,Orders!A:C,3,FALSE)</f>
        <v>46281</v>
      </c>
      <c r="K1348" s="1" t="str">
        <f>VLOOKUP(B1348,Orders!A:B,2,FALSE)</f>
        <v>C0086</v>
      </c>
    </row>
    <row r="1349" spans="1:11" x14ac:dyDescent="0.3">
      <c r="A1349" s="1" t="s">
        <v>3314</v>
      </c>
      <c r="B1349" s="1" t="s">
        <v>3315</v>
      </c>
      <c r="C1349" s="1" t="s">
        <v>1130</v>
      </c>
      <c r="D1349" s="1">
        <v>4</v>
      </c>
      <c r="E1349" s="1">
        <v>0</v>
      </c>
      <c r="F1349" s="1" t="b">
        <v>0</v>
      </c>
      <c r="G1349">
        <f>VLOOKUP(C1349,Products!A:D,4,FALSE)</f>
        <v>2400</v>
      </c>
      <c r="H1349" t="str">
        <f>VLOOKUP(C1349,Products!A:D,3,FALSE)</f>
        <v>Electronics</v>
      </c>
      <c r="I1349">
        <f t="shared" si="21"/>
        <v>9600</v>
      </c>
      <c r="J1349" s="2">
        <f>VLOOKUP(B1349,Orders!A:C,3,FALSE)</f>
        <v>45976</v>
      </c>
      <c r="K1349" s="1" t="str">
        <f>VLOOKUP(B1349,Orders!A:B,2,FALSE)</f>
        <v>C0172</v>
      </c>
    </row>
    <row r="1350" spans="1:11" x14ac:dyDescent="0.3">
      <c r="A1350" s="1" t="s">
        <v>3316</v>
      </c>
      <c r="B1350" s="1" t="s">
        <v>3315</v>
      </c>
      <c r="C1350" s="1" t="s">
        <v>1484</v>
      </c>
      <c r="D1350" s="1">
        <v>3</v>
      </c>
      <c r="E1350" s="1">
        <v>0.1</v>
      </c>
      <c r="F1350" s="1" t="b">
        <v>1</v>
      </c>
      <c r="G1350">
        <f>VLOOKUP(C1350,Products!A:D,4,FALSE)</f>
        <v>1080</v>
      </c>
      <c r="H1350" t="str">
        <f>VLOOKUP(C1350,Products!A:D,3,FALSE)</f>
        <v>Home &amp; Kitchen</v>
      </c>
      <c r="I1350">
        <f t="shared" si="21"/>
        <v>2916</v>
      </c>
      <c r="J1350" s="2">
        <f>VLOOKUP(B1350,Orders!A:C,3,FALSE)</f>
        <v>45976</v>
      </c>
      <c r="K1350" s="1" t="str">
        <f>VLOOKUP(B1350,Orders!A:B,2,FALSE)</f>
        <v>C0172</v>
      </c>
    </row>
    <row r="1351" spans="1:11" x14ac:dyDescent="0.3">
      <c r="A1351" s="1" t="s">
        <v>3317</v>
      </c>
      <c r="B1351" s="1" t="s">
        <v>3318</v>
      </c>
      <c r="C1351" s="1" t="s">
        <v>1393</v>
      </c>
      <c r="D1351" s="1">
        <v>5</v>
      </c>
      <c r="E1351" s="1">
        <v>0.2</v>
      </c>
      <c r="F1351" s="1" t="b">
        <v>0</v>
      </c>
      <c r="G1351">
        <f>VLOOKUP(C1351,Products!A:D,4,FALSE)</f>
        <v>1520</v>
      </c>
      <c r="H1351" t="str">
        <f>VLOOKUP(C1351,Products!A:D,3,FALSE)</f>
        <v>Electronics</v>
      </c>
      <c r="I1351">
        <f t="shared" si="21"/>
        <v>6080</v>
      </c>
      <c r="J1351" s="2">
        <f>VLOOKUP(B1351,Orders!A:C,3,FALSE)</f>
        <v>45927</v>
      </c>
      <c r="K1351" s="1" t="str">
        <f>VLOOKUP(B1351,Orders!A:B,2,FALSE)</f>
        <v>C0108</v>
      </c>
    </row>
    <row r="1352" spans="1:11" x14ac:dyDescent="0.3">
      <c r="A1352" s="1" t="s">
        <v>3319</v>
      </c>
      <c r="B1352" s="1" t="s">
        <v>3318</v>
      </c>
      <c r="C1352" s="1" t="s">
        <v>1391</v>
      </c>
      <c r="D1352" s="1">
        <v>2</v>
      </c>
      <c r="E1352" s="1">
        <v>0</v>
      </c>
      <c r="F1352" s="1" t="b">
        <v>0</v>
      </c>
      <c r="G1352">
        <f>VLOOKUP(C1352,Products!A:D,4,FALSE)</f>
        <v>1900</v>
      </c>
      <c r="H1352" t="str">
        <f>VLOOKUP(C1352,Products!A:D,3,FALSE)</f>
        <v>Beauty</v>
      </c>
      <c r="I1352">
        <f t="shared" si="21"/>
        <v>3800</v>
      </c>
      <c r="J1352" s="2">
        <f>VLOOKUP(B1352,Orders!A:C,3,FALSE)</f>
        <v>45927</v>
      </c>
      <c r="K1352" s="1" t="str">
        <f>VLOOKUP(B1352,Orders!A:B,2,FALSE)</f>
        <v>C0108</v>
      </c>
    </row>
    <row r="1353" spans="1:11" x14ac:dyDescent="0.3">
      <c r="A1353" s="1" t="s">
        <v>3320</v>
      </c>
      <c r="B1353" s="1" t="s">
        <v>3321</v>
      </c>
      <c r="C1353" s="1" t="s">
        <v>1564</v>
      </c>
      <c r="D1353" s="1">
        <v>2</v>
      </c>
      <c r="E1353" s="1">
        <v>0.15</v>
      </c>
      <c r="F1353" s="1" t="b">
        <v>0</v>
      </c>
      <c r="G1353">
        <f>VLOOKUP(C1353,Products!A:D,4,FALSE)</f>
        <v>3680</v>
      </c>
      <c r="H1353" t="str">
        <f>VLOOKUP(C1353,Products!A:D,3,FALSE)</f>
        <v>Home &amp; Kitchen</v>
      </c>
      <c r="I1353">
        <f t="shared" si="21"/>
        <v>6256</v>
      </c>
      <c r="J1353" s="2">
        <f>VLOOKUP(B1353,Orders!A:C,3,FALSE)</f>
        <v>45906</v>
      </c>
      <c r="K1353" s="1" t="str">
        <f>VLOOKUP(B1353,Orders!A:B,2,FALSE)</f>
        <v>C0180</v>
      </c>
    </row>
    <row r="1354" spans="1:11" x14ac:dyDescent="0.3">
      <c r="A1354" s="1" t="s">
        <v>3322</v>
      </c>
      <c r="B1354" s="1" t="s">
        <v>3323</v>
      </c>
      <c r="C1354" s="1" t="s">
        <v>1262</v>
      </c>
      <c r="D1354" s="1">
        <v>1</v>
      </c>
      <c r="E1354" s="1">
        <v>0</v>
      </c>
      <c r="F1354" s="1" t="b">
        <v>0</v>
      </c>
      <c r="G1354">
        <f>VLOOKUP(C1354,Products!A:D,4,FALSE)</f>
        <v>4020</v>
      </c>
      <c r="H1354" t="str">
        <f>VLOOKUP(C1354,Products!A:D,3,FALSE)</f>
        <v>Sports</v>
      </c>
      <c r="I1354">
        <f t="shared" si="21"/>
        <v>4020</v>
      </c>
      <c r="J1354" s="2">
        <f>VLOOKUP(B1354,Orders!A:C,3,FALSE)</f>
        <v>46277</v>
      </c>
      <c r="K1354" s="1" t="str">
        <f>VLOOKUP(B1354,Orders!A:B,2,FALSE)</f>
        <v>C0001</v>
      </c>
    </row>
    <row r="1355" spans="1:11" x14ac:dyDescent="0.3">
      <c r="A1355" s="1" t="s">
        <v>3324</v>
      </c>
      <c r="B1355" s="1" t="s">
        <v>3325</v>
      </c>
      <c r="C1355" s="1" t="s">
        <v>1149</v>
      </c>
      <c r="D1355" s="1">
        <v>3</v>
      </c>
      <c r="E1355" s="1">
        <v>0.05</v>
      </c>
      <c r="F1355" s="1" t="b">
        <v>0</v>
      </c>
      <c r="G1355">
        <f>VLOOKUP(C1355,Products!A:D,4,FALSE)</f>
        <v>1150</v>
      </c>
      <c r="H1355" t="str">
        <f>VLOOKUP(C1355,Products!A:D,3,FALSE)</f>
        <v>Apparel</v>
      </c>
      <c r="I1355">
        <f t="shared" si="21"/>
        <v>3277.5</v>
      </c>
      <c r="J1355" s="2">
        <f>VLOOKUP(B1355,Orders!A:C,3,FALSE)</f>
        <v>45911</v>
      </c>
      <c r="K1355" s="1" t="str">
        <f>VLOOKUP(B1355,Orders!A:B,2,FALSE)</f>
        <v>C0215</v>
      </c>
    </row>
    <row r="1356" spans="1:11" x14ac:dyDescent="0.3">
      <c r="A1356" s="1" t="s">
        <v>3326</v>
      </c>
      <c r="B1356" s="1" t="s">
        <v>3325</v>
      </c>
      <c r="C1356" s="1" t="s">
        <v>1219</v>
      </c>
      <c r="D1356" s="1">
        <v>2</v>
      </c>
      <c r="E1356" s="1">
        <v>0.15</v>
      </c>
      <c r="F1356" s="1" t="b">
        <v>0</v>
      </c>
      <c r="G1356">
        <f>VLOOKUP(C1356,Products!A:D,4,FALSE)</f>
        <v>2090</v>
      </c>
      <c r="H1356" t="str">
        <f>VLOOKUP(C1356,Products!A:D,3,FALSE)</f>
        <v>Beauty</v>
      </c>
      <c r="I1356">
        <f t="shared" si="21"/>
        <v>3553</v>
      </c>
      <c r="J1356" s="2">
        <f>VLOOKUP(B1356,Orders!A:C,3,FALSE)</f>
        <v>45911</v>
      </c>
      <c r="K1356" s="1" t="str">
        <f>VLOOKUP(B1356,Orders!A:B,2,FALSE)</f>
        <v>C0215</v>
      </c>
    </row>
    <row r="1357" spans="1:11" x14ac:dyDescent="0.3">
      <c r="A1357" s="1" t="s">
        <v>3327</v>
      </c>
      <c r="B1357" s="1" t="s">
        <v>3328</v>
      </c>
      <c r="C1357" s="1" t="s">
        <v>1290</v>
      </c>
      <c r="D1357" s="1">
        <v>1</v>
      </c>
      <c r="E1357" s="1">
        <v>0</v>
      </c>
      <c r="F1357" s="1" t="b">
        <v>0</v>
      </c>
      <c r="G1357">
        <f>VLOOKUP(C1357,Products!A:D,4,FALSE)</f>
        <v>990</v>
      </c>
      <c r="H1357" t="str">
        <f>VLOOKUP(C1357,Products!A:D,3,FALSE)</f>
        <v>Books</v>
      </c>
      <c r="I1357">
        <f t="shared" si="21"/>
        <v>990</v>
      </c>
      <c r="J1357" s="2">
        <f>VLOOKUP(B1357,Orders!A:C,3,FALSE)</f>
        <v>45937</v>
      </c>
      <c r="K1357" s="1" t="str">
        <f>VLOOKUP(B1357,Orders!A:B,2,FALSE)</f>
        <v>C0253</v>
      </c>
    </row>
    <row r="1358" spans="1:11" x14ac:dyDescent="0.3">
      <c r="A1358" s="1" t="s">
        <v>3329</v>
      </c>
      <c r="B1358" s="1" t="s">
        <v>3330</v>
      </c>
      <c r="C1358" s="1" t="s">
        <v>1330</v>
      </c>
      <c r="D1358" s="1">
        <v>4</v>
      </c>
      <c r="E1358" s="1">
        <v>0</v>
      </c>
      <c r="F1358" s="1" t="b">
        <v>0</v>
      </c>
      <c r="G1358">
        <f>VLOOKUP(C1358,Products!A:D,4,FALSE)</f>
        <v>580</v>
      </c>
      <c r="H1358" t="str">
        <f>VLOOKUP(C1358,Products!A:D,3,FALSE)</f>
        <v>Books</v>
      </c>
      <c r="I1358">
        <f t="shared" si="21"/>
        <v>2320</v>
      </c>
      <c r="J1358" s="2">
        <f>VLOOKUP(B1358,Orders!A:C,3,FALSE)</f>
        <v>46152</v>
      </c>
      <c r="K1358" s="1" t="str">
        <f>VLOOKUP(B1358,Orders!A:B,2,FALSE)</f>
        <v>C0280</v>
      </c>
    </row>
    <row r="1359" spans="1:11" x14ac:dyDescent="0.3">
      <c r="A1359" s="1" t="s">
        <v>3331</v>
      </c>
      <c r="B1359" s="1" t="s">
        <v>3332</v>
      </c>
      <c r="C1359" s="1" t="s">
        <v>1462</v>
      </c>
      <c r="D1359" s="1">
        <v>5</v>
      </c>
      <c r="E1359" s="1">
        <v>0.05</v>
      </c>
      <c r="F1359" s="1" t="b">
        <v>0</v>
      </c>
      <c r="G1359">
        <f>VLOOKUP(C1359,Products!A:D,4,FALSE)</f>
        <v>3070</v>
      </c>
      <c r="H1359" t="str">
        <f>VLOOKUP(C1359,Products!A:D,3,FALSE)</f>
        <v>Apparel</v>
      </c>
      <c r="I1359">
        <f t="shared" si="21"/>
        <v>14582.5</v>
      </c>
      <c r="J1359" s="2">
        <f>VLOOKUP(B1359,Orders!A:C,3,FALSE)</f>
        <v>45969</v>
      </c>
      <c r="K1359" s="1" t="str">
        <f>VLOOKUP(B1359,Orders!A:B,2,FALSE)</f>
        <v>C0296</v>
      </c>
    </row>
    <row r="1360" spans="1:11" x14ac:dyDescent="0.3">
      <c r="A1360" s="1" t="s">
        <v>3333</v>
      </c>
      <c r="B1360" s="1" t="s">
        <v>3334</v>
      </c>
      <c r="C1360" s="1" t="s">
        <v>1160</v>
      </c>
      <c r="D1360" s="1">
        <v>4</v>
      </c>
      <c r="E1360" s="1">
        <v>0.2</v>
      </c>
      <c r="F1360" s="1" t="b">
        <v>0</v>
      </c>
      <c r="G1360">
        <f>VLOOKUP(C1360,Products!A:D,4,FALSE)</f>
        <v>1710</v>
      </c>
      <c r="H1360" t="str">
        <f>VLOOKUP(C1360,Products!A:D,3,FALSE)</f>
        <v>Home &amp; Kitchen</v>
      </c>
      <c r="I1360">
        <f t="shared" si="21"/>
        <v>5472</v>
      </c>
      <c r="J1360" s="2">
        <f>VLOOKUP(B1360,Orders!A:C,3,FALSE)</f>
        <v>46131</v>
      </c>
      <c r="K1360" s="1" t="str">
        <f>VLOOKUP(B1360,Orders!A:B,2,FALSE)</f>
        <v>C0116</v>
      </c>
    </row>
    <row r="1361" spans="1:11" x14ac:dyDescent="0.3">
      <c r="A1361" s="1" t="s">
        <v>3335</v>
      </c>
      <c r="B1361" s="1" t="s">
        <v>3334</v>
      </c>
      <c r="C1361" s="1" t="s">
        <v>1202</v>
      </c>
      <c r="D1361" s="1">
        <v>5</v>
      </c>
      <c r="E1361" s="1">
        <v>0.05</v>
      </c>
      <c r="F1361" s="1" t="b">
        <v>0</v>
      </c>
      <c r="G1361">
        <f>VLOOKUP(C1361,Products!A:D,4,FALSE)</f>
        <v>530</v>
      </c>
      <c r="H1361" t="str">
        <f>VLOOKUP(C1361,Products!A:D,3,FALSE)</f>
        <v>Beauty</v>
      </c>
      <c r="I1361">
        <f t="shared" si="21"/>
        <v>2517.5</v>
      </c>
      <c r="J1361" s="2">
        <f>VLOOKUP(B1361,Orders!A:C,3,FALSE)</f>
        <v>46131</v>
      </c>
      <c r="K1361" s="1" t="str">
        <f>VLOOKUP(B1361,Orders!A:B,2,FALSE)</f>
        <v>C0116</v>
      </c>
    </row>
    <row r="1362" spans="1:11" x14ac:dyDescent="0.3">
      <c r="A1362" s="1" t="s">
        <v>3336</v>
      </c>
      <c r="B1362" s="1" t="s">
        <v>3337</v>
      </c>
      <c r="C1362" s="1" t="s">
        <v>1182</v>
      </c>
      <c r="D1362" s="1">
        <v>4</v>
      </c>
      <c r="E1362" s="1">
        <v>0.15</v>
      </c>
      <c r="F1362" s="1" t="b">
        <v>0</v>
      </c>
      <c r="G1362">
        <f>VLOOKUP(C1362,Products!A:D,4,FALSE)</f>
        <v>790</v>
      </c>
      <c r="H1362" t="str">
        <f>VLOOKUP(C1362,Products!A:D,3,FALSE)</f>
        <v>Sports</v>
      </c>
      <c r="I1362">
        <f t="shared" si="21"/>
        <v>2686</v>
      </c>
      <c r="J1362" s="2">
        <f>VLOOKUP(B1362,Orders!A:C,3,FALSE)</f>
        <v>46067</v>
      </c>
      <c r="K1362" s="1" t="str">
        <f>VLOOKUP(B1362,Orders!A:B,2,FALSE)</f>
        <v>C0018</v>
      </c>
    </row>
    <row r="1363" spans="1:11" x14ac:dyDescent="0.3">
      <c r="A1363" s="1" t="s">
        <v>3338</v>
      </c>
      <c r="B1363" s="1" t="s">
        <v>3337</v>
      </c>
      <c r="C1363" s="1" t="s">
        <v>1188</v>
      </c>
      <c r="D1363" s="1">
        <v>2</v>
      </c>
      <c r="E1363" s="1">
        <v>0</v>
      </c>
      <c r="F1363" s="1" t="b">
        <v>0</v>
      </c>
      <c r="G1363">
        <f>VLOOKUP(C1363,Products!A:D,4,FALSE)</f>
        <v>2530</v>
      </c>
      <c r="H1363" t="str">
        <f>VLOOKUP(C1363,Products!A:D,3,FALSE)</f>
        <v>Beauty</v>
      </c>
      <c r="I1363">
        <f t="shared" si="21"/>
        <v>5060</v>
      </c>
      <c r="J1363" s="2">
        <f>VLOOKUP(B1363,Orders!A:C,3,FALSE)</f>
        <v>46067</v>
      </c>
      <c r="K1363" s="1" t="str">
        <f>VLOOKUP(B1363,Orders!A:B,2,FALSE)</f>
        <v>C0018</v>
      </c>
    </row>
    <row r="1364" spans="1:11" x14ac:dyDescent="0.3">
      <c r="A1364" s="1" t="s">
        <v>3339</v>
      </c>
      <c r="B1364" s="1" t="s">
        <v>3340</v>
      </c>
      <c r="C1364" s="1" t="s">
        <v>1135</v>
      </c>
      <c r="D1364" s="1">
        <v>4</v>
      </c>
      <c r="E1364" s="1">
        <v>0</v>
      </c>
      <c r="F1364" s="1" t="b">
        <v>0</v>
      </c>
      <c r="G1364">
        <f>VLOOKUP(C1364,Products!A:D,4,FALSE)</f>
        <v>470</v>
      </c>
      <c r="H1364" t="str">
        <f>VLOOKUP(C1364,Products!A:D,3,FALSE)</f>
        <v>Apparel</v>
      </c>
      <c r="I1364">
        <f t="shared" si="21"/>
        <v>1880</v>
      </c>
      <c r="J1364" s="2">
        <f>VLOOKUP(B1364,Orders!A:C,3,FALSE)</f>
        <v>46042</v>
      </c>
      <c r="K1364" s="1" t="str">
        <f>VLOOKUP(B1364,Orders!A:B,2,FALSE)</f>
        <v>C0134</v>
      </c>
    </row>
    <row r="1365" spans="1:11" x14ac:dyDescent="0.3">
      <c r="A1365" s="1" t="s">
        <v>3341</v>
      </c>
      <c r="B1365" s="1" t="s">
        <v>3340</v>
      </c>
      <c r="C1365" s="1" t="s">
        <v>1195</v>
      </c>
      <c r="D1365" s="1">
        <v>5</v>
      </c>
      <c r="E1365" s="1">
        <v>0</v>
      </c>
      <c r="F1365" s="1" t="b">
        <v>0</v>
      </c>
      <c r="G1365">
        <f>VLOOKUP(C1365,Products!A:D,4,FALSE)</f>
        <v>3430</v>
      </c>
      <c r="H1365" t="str">
        <f>VLOOKUP(C1365,Products!A:D,3,FALSE)</f>
        <v>Books</v>
      </c>
      <c r="I1365">
        <f t="shared" si="21"/>
        <v>17150</v>
      </c>
      <c r="J1365" s="2">
        <f>VLOOKUP(B1365,Orders!A:C,3,FALSE)</f>
        <v>46042</v>
      </c>
      <c r="K1365" s="1" t="str">
        <f>VLOOKUP(B1365,Orders!A:B,2,FALSE)</f>
        <v>C0134</v>
      </c>
    </row>
    <row r="1366" spans="1:11" x14ac:dyDescent="0.3">
      <c r="A1366" s="1" t="s">
        <v>3342</v>
      </c>
      <c r="B1366" s="1" t="s">
        <v>3343</v>
      </c>
      <c r="C1366" s="1" t="s">
        <v>1123</v>
      </c>
      <c r="D1366" s="1">
        <v>4</v>
      </c>
      <c r="E1366" s="1">
        <v>0</v>
      </c>
      <c r="F1366" s="1" t="b">
        <v>0</v>
      </c>
      <c r="G1366">
        <f>VLOOKUP(C1366,Products!A:D,4,FALSE)</f>
        <v>2200</v>
      </c>
      <c r="H1366" t="str">
        <f>VLOOKUP(C1366,Products!A:D,3,FALSE)</f>
        <v>Electronics</v>
      </c>
      <c r="I1366">
        <f t="shared" si="21"/>
        <v>8800</v>
      </c>
      <c r="J1366" s="2">
        <f>VLOOKUP(B1366,Orders!A:C,3,FALSE)</f>
        <v>45851</v>
      </c>
      <c r="K1366" s="1" t="str">
        <f>VLOOKUP(B1366,Orders!A:B,2,FALSE)</f>
        <v>C0176</v>
      </c>
    </row>
    <row r="1367" spans="1:11" x14ac:dyDescent="0.3">
      <c r="A1367" s="1" t="s">
        <v>3344</v>
      </c>
      <c r="B1367" s="1" t="s">
        <v>3343</v>
      </c>
      <c r="C1367" s="1" t="s">
        <v>1270</v>
      </c>
      <c r="D1367" s="1">
        <v>5</v>
      </c>
      <c r="E1367" s="1">
        <v>0</v>
      </c>
      <c r="F1367" s="1" t="b">
        <v>0</v>
      </c>
      <c r="G1367">
        <f>VLOOKUP(C1367,Products!A:D,4,FALSE)</f>
        <v>3560</v>
      </c>
      <c r="H1367" t="str">
        <f>VLOOKUP(C1367,Products!A:D,3,FALSE)</f>
        <v>Sports</v>
      </c>
      <c r="I1367">
        <f t="shared" si="21"/>
        <v>17800</v>
      </c>
      <c r="J1367" s="2">
        <f>VLOOKUP(B1367,Orders!A:C,3,FALSE)</f>
        <v>45851</v>
      </c>
      <c r="K1367" s="1" t="str">
        <f>VLOOKUP(B1367,Orders!A:B,2,FALSE)</f>
        <v>C0176</v>
      </c>
    </row>
    <row r="1368" spans="1:11" x14ac:dyDescent="0.3">
      <c r="A1368" s="1" t="s">
        <v>3345</v>
      </c>
      <c r="B1368" s="1" t="s">
        <v>3346</v>
      </c>
      <c r="C1368" s="1" t="s">
        <v>1106</v>
      </c>
      <c r="D1368" s="1">
        <v>5</v>
      </c>
      <c r="E1368" s="1">
        <v>0.2</v>
      </c>
      <c r="F1368" s="1" t="b">
        <v>0</v>
      </c>
      <c r="G1368">
        <f>VLOOKUP(C1368,Products!A:D,4,FALSE)</f>
        <v>1130</v>
      </c>
      <c r="H1368" t="str">
        <f>VLOOKUP(C1368,Products!A:D,3,FALSE)</f>
        <v>Books</v>
      </c>
      <c r="I1368">
        <f t="shared" si="21"/>
        <v>4520</v>
      </c>
      <c r="J1368" s="2">
        <f>VLOOKUP(B1368,Orders!A:C,3,FALSE)</f>
        <v>46153</v>
      </c>
      <c r="K1368" s="1" t="str">
        <f>VLOOKUP(B1368,Orders!A:B,2,FALSE)</f>
        <v>C0083</v>
      </c>
    </row>
    <row r="1369" spans="1:11" x14ac:dyDescent="0.3">
      <c r="A1369" s="1" t="s">
        <v>3347</v>
      </c>
      <c r="B1369" s="1" t="s">
        <v>3346</v>
      </c>
      <c r="C1369" s="1" t="s">
        <v>1290</v>
      </c>
      <c r="D1369" s="1">
        <v>1</v>
      </c>
      <c r="E1369" s="1">
        <v>0</v>
      </c>
      <c r="F1369" s="1" t="b">
        <v>0</v>
      </c>
      <c r="G1369">
        <f>VLOOKUP(C1369,Products!A:D,4,FALSE)</f>
        <v>990</v>
      </c>
      <c r="H1369" t="str">
        <f>VLOOKUP(C1369,Products!A:D,3,FALSE)</f>
        <v>Books</v>
      </c>
      <c r="I1369">
        <f t="shared" si="21"/>
        <v>990</v>
      </c>
      <c r="J1369" s="2">
        <f>VLOOKUP(B1369,Orders!A:C,3,FALSE)</f>
        <v>46153</v>
      </c>
      <c r="K1369" s="1" t="str">
        <f>VLOOKUP(B1369,Orders!A:B,2,FALSE)</f>
        <v>C0083</v>
      </c>
    </row>
    <row r="1370" spans="1:11" x14ac:dyDescent="0.3">
      <c r="A1370" s="1" t="s">
        <v>3348</v>
      </c>
      <c r="B1370" s="1" t="s">
        <v>3346</v>
      </c>
      <c r="C1370" s="1" t="s">
        <v>1462</v>
      </c>
      <c r="D1370" s="1">
        <v>5</v>
      </c>
      <c r="E1370" s="1">
        <v>0</v>
      </c>
      <c r="F1370" s="1" t="b">
        <v>0</v>
      </c>
      <c r="G1370">
        <f>VLOOKUP(C1370,Products!A:D,4,FALSE)</f>
        <v>3070</v>
      </c>
      <c r="H1370" t="str">
        <f>VLOOKUP(C1370,Products!A:D,3,FALSE)</f>
        <v>Apparel</v>
      </c>
      <c r="I1370">
        <f t="shared" si="21"/>
        <v>15350</v>
      </c>
      <c r="J1370" s="2">
        <f>VLOOKUP(B1370,Orders!A:C,3,FALSE)</f>
        <v>46153</v>
      </c>
      <c r="K1370" s="1" t="str">
        <f>VLOOKUP(B1370,Orders!A:B,2,FALSE)</f>
        <v>C0083</v>
      </c>
    </row>
    <row r="1371" spans="1:11" x14ac:dyDescent="0.3">
      <c r="A1371" s="1" t="s">
        <v>3349</v>
      </c>
      <c r="B1371" s="1" t="s">
        <v>3350</v>
      </c>
      <c r="C1371" s="1" t="s">
        <v>1433</v>
      </c>
      <c r="D1371" s="1">
        <v>1</v>
      </c>
      <c r="E1371" s="1">
        <v>0</v>
      </c>
      <c r="F1371" s="1" t="b">
        <v>0</v>
      </c>
      <c r="G1371">
        <f>VLOOKUP(C1371,Products!A:D,4,FALSE)</f>
        <v>110</v>
      </c>
      <c r="H1371" t="str">
        <f>VLOOKUP(C1371,Products!A:D,3,FALSE)</f>
        <v>Home &amp; Kitchen</v>
      </c>
      <c r="I1371">
        <f t="shared" si="21"/>
        <v>110</v>
      </c>
      <c r="J1371" s="2">
        <f>VLOOKUP(B1371,Orders!A:C,3,FALSE)</f>
        <v>46241</v>
      </c>
      <c r="K1371" s="1" t="str">
        <f>VLOOKUP(B1371,Orders!A:B,2,FALSE)</f>
        <v>C0048</v>
      </c>
    </row>
    <row r="1372" spans="1:11" x14ac:dyDescent="0.3">
      <c r="A1372" s="1" t="s">
        <v>3351</v>
      </c>
      <c r="B1372" s="1" t="s">
        <v>3352</v>
      </c>
      <c r="C1372" s="1" t="s">
        <v>1462</v>
      </c>
      <c r="D1372" s="1">
        <v>3</v>
      </c>
      <c r="E1372" s="1">
        <v>0</v>
      </c>
      <c r="F1372" s="1" t="b">
        <v>0</v>
      </c>
      <c r="G1372">
        <f>VLOOKUP(C1372,Products!A:D,4,FALSE)</f>
        <v>3070</v>
      </c>
      <c r="H1372" t="str">
        <f>VLOOKUP(C1372,Products!A:D,3,FALSE)</f>
        <v>Apparel</v>
      </c>
      <c r="I1372">
        <f t="shared" si="21"/>
        <v>9210</v>
      </c>
      <c r="J1372" s="2">
        <f>VLOOKUP(B1372,Orders!A:C,3,FALSE)</f>
        <v>45873</v>
      </c>
      <c r="K1372" s="1" t="str">
        <f>VLOOKUP(B1372,Orders!A:B,2,FALSE)</f>
        <v>C0248</v>
      </c>
    </row>
    <row r="1373" spans="1:11" x14ac:dyDescent="0.3">
      <c r="A1373" s="1" t="s">
        <v>3353</v>
      </c>
      <c r="B1373" s="1" t="s">
        <v>3354</v>
      </c>
      <c r="C1373" s="1" t="s">
        <v>1459</v>
      </c>
      <c r="D1373" s="1">
        <v>2</v>
      </c>
      <c r="E1373" s="1">
        <v>0.2</v>
      </c>
      <c r="F1373" s="1" t="b">
        <v>0</v>
      </c>
      <c r="G1373">
        <f>VLOOKUP(C1373,Products!A:D,4,FALSE)</f>
        <v>710</v>
      </c>
      <c r="H1373" t="str">
        <f>VLOOKUP(C1373,Products!A:D,3,FALSE)</f>
        <v>Sports</v>
      </c>
      <c r="I1373">
        <f t="shared" si="21"/>
        <v>1136</v>
      </c>
      <c r="J1373" s="2">
        <f>VLOOKUP(B1373,Orders!A:C,3,FALSE)</f>
        <v>46260</v>
      </c>
      <c r="K1373" s="1" t="str">
        <f>VLOOKUP(B1373,Orders!A:B,2,FALSE)</f>
        <v>C0085</v>
      </c>
    </row>
    <row r="1374" spans="1:11" x14ac:dyDescent="0.3">
      <c r="A1374" s="1" t="s">
        <v>3355</v>
      </c>
      <c r="B1374" s="1" t="s">
        <v>3356</v>
      </c>
      <c r="C1374" s="1" t="s">
        <v>1118</v>
      </c>
      <c r="D1374" s="1">
        <v>3</v>
      </c>
      <c r="E1374" s="1">
        <v>0</v>
      </c>
      <c r="F1374" s="1" t="b">
        <v>0</v>
      </c>
      <c r="G1374">
        <f>VLOOKUP(C1374,Products!A:D,4,FALSE)</f>
        <v>5550</v>
      </c>
      <c r="H1374" t="str">
        <f>VLOOKUP(C1374,Products!A:D,3,FALSE)</f>
        <v>Home &amp; Kitchen</v>
      </c>
      <c r="I1374">
        <f t="shared" si="21"/>
        <v>16650</v>
      </c>
      <c r="J1374" s="2">
        <f>VLOOKUP(B1374,Orders!A:C,3,FALSE)</f>
        <v>45979</v>
      </c>
      <c r="K1374" s="1" t="str">
        <f>VLOOKUP(B1374,Orders!A:B,2,FALSE)</f>
        <v>C0081</v>
      </c>
    </row>
    <row r="1375" spans="1:11" x14ac:dyDescent="0.3">
      <c r="A1375" s="1" t="s">
        <v>3357</v>
      </c>
      <c r="B1375" s="1" t="s">
        <v>3356</v>
      </c>
      <c r="C1375" s="1" t="s">
        <v>1171</v>
      </c>
      <c r="D1375" s="1">
        <v>2</v>
      </c>
      <c r="E1375" s="1">
        <v>0.2</v>
      </c>
      <c r="F1375" s="1" t="b">
        <v>0</v>
      </c>
      <c r="G1375">
        <f>VLOOKUP(C1375,Products!A:D,4,FALSE)</f>
        <v>2250</v>
      </c>
      <c r="H1375" t="str">
        <f>VLOOKUP(C1375,Products!A:D,3,FALSE)</f>
        <v>Home &amp; Kitchen</v>
      </c>
      <c r="I1375">
        <f t="shared" si="21"/>
        <v>3600</v>
      </c>
      <c r="J1375" s="2">
        <f>VLOOKUP(B1375,Orders!A:C,3,FALSE)</f>
        <v>45979</v>
      </c>
      <c r="K1375" s="1" t="str">
        <f>VLOOKUP(B1375,Orders!A:B,2,FALSE)</f>
        <v>C0081</v>
      </c>
    </row>
    <row r="1376" spans="1:11" x14ac:dyDescent="0.3">
      <c r="A1376" s="1" t="s">
        <v>3358</v>
      </c>
      <c r="B1376" s="1" t="s">
        <v>3359</v>
      </c>
      <c r="C1376" s="1" t="s">
        <v>1130</v>
      </c>
      <c r="D1376" s="1">
        <v>1</v>
      </c>
      <c r="E1376" s="1">
        <v>0.1</v>
      </c>
      <c r="F1376" s="1" t="b">
        <v>0</v>
      </c>
      <c r="G1376">
        <f>VLOOKUP(C1376,Products!A:D,4,FALSE)</f>
        <v>2400</v>
      </c>
      <c r="H1376" t="str">
        <f>VLOOKUP(C1376,Products!A:D,3,FALSE)</f>
        <v>Electronics</v>
      </c>
      <c r="I1376">
        <f t="shared" si="21"/>
        <v>2160</v>
      </c>
      <c r="J1376" s="2">
        <f>VLOOKUP(B1376,Orders!A:C,3,FALSE)</f>
        <v>45951</v>
      </c>
      <c r="K1376" s="1" t="str">
        <f>VLOOKUP(B1376,Orders!A:B,2,FALSE)</f>
        <v>C0106</v>
      </c>
    </row>
    <row r="1377" spans="1:11" x14ac:dyDescent="0.3">
      <c r="A1377" s="1" t="s">
        <v>3360</v>
      </c>
      <c r="B1377" s="1" t="s">
        <v>3359</v>
      </c>
      <c r="C1377" s="1" t="s">
        <v>1152</v>
      </c>
      <c r="D1377" s="1">
        <v>1</v>
      </c>
      <c r="E1377" s="1">
        <v>0.2</v>
      </c>
      <c r="F1377" s="1" t="b">
        <v>0</v>
      </c>
      <c r="G1377">
        <f>VLOOKUP(C1377,Products!A:D,4,FALSE)</f>
        <v>2250</v>
      </c>
      <c r="H1377" t="str">
        <f>VLOOKUP(C1377,Products!A:D,3,FALSE)</f>
        <v>Home &amp; Kitchen</v>
      </c>
      <c r="I1377">
        <f t="shared" si="21"/>
        <v>1800</v>
      </c>
      <c r="J1377" s="2">
        <f>VLOOKUP(B1377,Orders!A:C,3,FALSE)</f>
        <v>45951</v>
      </c>
      <c r="K1377" s="1" t="str">
        <f>VLOOKUP(B1377,Orders!A:B,2,FALSE)</f>
        <v>C0106</v>
      </c>
    </row>
    <row r="1378" spans="1:11" x14ac:dyDescent="0.3">
      <c r="A1378" s="1" t="s">
        <v>3361</v>
      </c>
      <c r="B1378" s="1" t="s">
        <v>3362</v>
      </c>
      <c r="C1378" s="1" t="s">
        <v>1209</v>
      </c>
      <c r="D1378" s="1">
        <v>5</v>
      </c>
      <c r="E1378" s="1">
        <v>0</v>
      </c>
      <c r="F1378" s="1" t="b">
        <v>0</v>
      </c>
      <c r="G1378">
        <f>VLOOKUP(C1378,Products!A:D,4,FALSE)</f>
        <v>1580</v>
      </c>
      <c r="H1378" t="str">
        <f>VLOOKUP(C1378,Products!A:D,3,FALSE)</f>
        <v>Apparel</v>
      </c>
      <c r="I1378">
        <f t="shared" si="21"/>
        <v>7900</v>
      </c>
      <c r="J1378" s="2">
        <f>VLOOKUP(B1378,Orders!A:C,3,FALSE)</f>
        <v>46132</v>
      </c>
      <c r="K1378" s="1" t="str">
        <f>VLOOKUP(B1378,Orders!A:B,2,FALSE)</f>
        <v>C0284</v>
      </c>
    </row>
    <row r="1379" spans="1:11" x14ac:dyDescent="0.3">
      <c r="A1379" s="1" t="s">
        <v>3363</v>
      </c>
      <c r="B1379" s="1" t="s">
        <v>3364</v>
      </c>
      <c r="C1379" s="1" t="s">
        <v>1121</v>
      </c>
      <c r="D1379" s="1">
        <v>4</v>
      </c>
      <c r="E1379" s="1">
        <v>0.05</v>
      </c>
      <c r="F1379" s="1" t="b">
        <v>0</v>
      </c>
      <c r="G1379">
        <f>VLOOKUP(C1379,Products!A:D,4,FALSE)</f>
        <v>1440</v>
      </c>
      <c r="H1379" t="str">
        <f>VLOOKUP(C1379,Products!A:D,3,FALSE)</f>
        <v>Sports</v>
      </c>
      <c r="I1379">
        <f t="shared" si="21"/>
        <v>5472</v>
      </c>
      <c r="J1379" s="2">
        <f>VLOOKUP(B1379,Orders!A:C,3,FALSE)</f>
        <v>46272</v>
      </c>
      <c r="K1379" s="1" t="str">
        <f>VLOOKUP(B1379,Orders!A:B,2,FALSE)</f>
        <v>C0136</v>
      </c>
    </row>
    <row r="1380" spans="1:11" x14ac:dyDescent="0.3">
      <c r="A1380" s="1" t="s">
        <v>3365</v>
      </c>
      <c r="B1380" s="1" t="s">
        <v>3364</v>
      </c>
      <c r="C1380" s="1" t="s">
        <v>1333</v>
      </c>
      <c r="D1380" s="1">
        <v>2</v>
      </c>
      <c r="E1380" s="1">
        <v>0.2</v>
      </c>
      <c r="F1380" s="1" t="b">
        <v>0</v>
      </c>
      <c r="G1380">
        <f>VLOOKUP(C1380,Products!A:D,4,FALSE)</f>
        <v>1440</v>
      </c>
      <c r="H1380" t="str">
        <f>VLOOKUP(C1380,Products!A:D,3,FALSE)</f>
        <v>Home &amp; Kitchen</v>
      </c>
      <c r="I1380">
        <f t="shared" si="21"/>
        <v>2304</v>
      </c>
      <c r="J1380" s="2">
        <f>VLOOKUP(B1380,Orders!A:C,3,FALSE)</f>
        <v>46272</v>
      </c>
      <c r="K1380" s="1" t="str">
        <f>VLOOKUP(B1380,Orders!A:B,2,FALSE)</f>
        <v>C0136</v>
      </c>
    </row>
    <row r="1381" spans="1:11" x14ac:dyDescent="0.3">
      <c r="A1381" s="1" t="s">
        <v>3366</v>
      </c>
      <c r="B1381" s="1" t="s">
        <v>3367</v>
      </c>
      <c r="C1381" s="1" t="s">
        <v>1123</v>
      </c>
      <c r="D1381" s="1">
        <v>4</v>
      </c>
      <c r="E1381" s="1">
        <v>0.15</v>
      </c>
      <c r="F1381" s="1" t="b">
        <v>0</v>
      </c>
      <c r="G1381">
        <f>VLOOKUP(C1381,Products!A:D,4,FALSE)</f>
        <v>2200</v>
      </c>
      <c r="H1381" t="str">
        <f>VLOOKUP(C1381,Products!A:D,3,FALSE)</f>
        <v>Electronics</v>
      </c>
      <c r="I1381">
        <f t="shared" si="21"/>
        <v>7480</v>
      </c>
      <c r="J1381" s="2">
        <f>VLOOKUP(B1381,Orders!A:C,3,FALSE)</f>
        <v>46060</v>
      </c>
      <c r="K1381" s="1" t="str">
        <f>VLOOKUP(B1381,Orders!A:B,2,FALSE)</f>
        <v>C0122</v>
      </c>
    </row>
    <row r="1382" spans="1:11" x14ac:dyDescent="0.3">
      <c r="A1382" s="1" t="s">
        <v>3368</v>
      </c>
      <c r="B1382" s="1" t="s">
        <v>3369</v>
      </c>
      <c r="C1382" s="1" t="s">
        <v>1276</v>
      </c>
      <c r="D1382" s="1">
        <v>1</v>
      </c>
      <c r="E1382" s="1">
        <v>0.2</v>
      </c>
      <c r="F1382" s="1" t="b">
        <v>0</v>
      </c>
      <c r="G1382">
        <f>VLOOKUP(C1382,Products!A:D,4,FALSE)</f>
        <v>2010</v>
      </c>
      <c r="H1382" t="str">
        <f>VLOOKUP(C1382,Products!A:D,3,FALSE)</f>
        <v>Beauty</v>
      </c>
      <c r="I1382">
        <f t="shared" si="21"/>
        <v>1608</v>
      </c>
      <c r="J1382" s="2">
        <f>VLOOKUP(B1382,Orders!A:C,3,FALSE)</f>
        <v>46017</v>
      </c>
      <c r="K1382" s="1" t="str">
        <f>VLOOKUP(B1382,Orders!A:B,2,FALSE)</f>
        <v>C0293</v>
      </c>
    </row>
    <row r="1383" spans="1:11" x14ac:dyDescent="0.3">
      <c r="A1383" s="1" t="s">
        <v>3370</v>
      </c>
      <c r="B1383" s="1" t="s">
        <v>3371</v>
      </c>
      <c r="C1383" s="1" t="s">
        <v>1191</v>
      </c>
      <c r="D1383" s="1">
        <v>4</v>
      </c>
      <c r="E1383" s="1">
        <v>0.05</v>
      </c>
      <c r="F1383" s="1" t="b">
        <v>0</v>
      </c>
      <c r="G1383">
        <f>VLOOKUP(C1383,Products!A:D,4,FALSE)</f>
        <v>99</v>
      </c>
      <c r="H1383" t="str">
        <f>VLOOKUP(C1383,Products!A:D,3,FALSE)</f>
        <v>Sports</v>
      </c>
      <c r="I1383">
        <f t="shared" si="21"/>
        <v>376.2</v>
      </c>
      <c r="J1383" s="2">
        <f>VLOOKUP(B1383,Orders!A:C,3,FALSE)</f>
        <v>46278</v>
      </c>
      <c r="K1383" s="1" t="str">
        <f>VLOOKUP(B1383,Orders!A:B,2,FALSE)</f>
        <v>C0079</v>
      </c>
    </row>
    <row r="1384" spans="1:11" x14ac:dyDescent="0.3">
      <c r="A1384" s="1" t="s">
        <v>3372</v>
      </c>
      <c r="B1384" s="1" t="s">
        <v>3371</v>
      </c>
      <c r="C1384" s="1" t="s">
        <v>1168</v>
      </c>
      <c r="D1384" s="1">
        <v>4</v>
      </c>
      <c r="E1384" s="1">
        <v>0</v>
      </c>
      <c r="F1384" s="1" t="b">
        <v>0</v>
      </c>
      <c r="G1384">
        <f>VLOOKUP(C1384,Products!A:D,4,FALSE)</f>
        <v>1440</v>
      </c>
      <c r="H1384" t="str">
        <f>VLOOKUP(C1384,Products!A:D,3,FALSE)</f>
        <v>Sports</v>
      </c>
      <c r="I1384">
        <f t="shared" si="21"/>
        <v>5760</v>
      </c>
      <c r="J1384" s="2">
        <f>VLOOKUP(B1384,Orders!A:C,3,FALSE)</f>
        <v>46278</v>
      </c>
      <c r="K1384" s="1" t="str">
        <f>VLOOKUP(B1384,Orders!A:B,2,FALSE)</f>
        <v>C0079</v>
      </c>
    </row>
    <row r="1385" spans="1:11" x14ac:dyDescent="0.3">
      <c r="A1385" s="1" t="s">
        <v>3373</v>
      </c>
      <c r="B1385" s="1" t="s">
        <v>3374</v>
      </c>
      <c r="C1385" s="1" t="s">
        <v>1182</v>
      </c>
      <c r="D1385" s="1">
        <v>3</v>
      </c>
      <c r="E1385" s="1">
        <v>0.15</v>
      </c>
      <c r="F1385" s="1" t="b">
        <v>0</v>
      </c>
      <c r="G1385">
        <f>VLOOKUP(C1385,Products!A:D,4,FALSE)</f>
        <v>790</v>
      </c>
      <c r="H1385" t="str">
        <f>VLOOKUP(C1385,Products!A:D,3,FALSE)</f>
        <v>Sports</v>
      </c>
      <c r="I1385">
        <f t="shared" si="21"/>
        <v>2014.5</v>
      </c>
      <c r="J1385" s="2">
        <f>VLOOKUP(B1385,Orders!A:C,3,FALSE)</f>
        <v>45899</v>
      </c>
      <c r="K1385" s="1" t="str">
        <f>VLOOKUP(B1385,Orders!A:B,2,FALSE)</f>
        <v>C0219</v>
      </c>
    </row>
    <row r="1386" spans="1:11" x14ac:dyDescent="0.3">
      <c r="A1386" s="1" t="s">
        <v>3375</v>
      </c>
      <c r="B1386" s="1" t="s">
        <v>3374</v>
      </c>
      <c r="C1386" s="1" t="s">
        <v>1216</v>
      </c>
      <c r="D1386" s="1">
        <v>2</v>
      </c>
      <c r="E1386" s="1">
        <v>0.15</v>
      </c>
      <c r="F1386" s="1" t="b">
        <v>0</v>
      </c>
      <c r="G1386">
        <f>VLOOKUP(C1386,Products!A:D,4,FALSE)</f>
        <v>1240</v>
      </c>
      <c r="H1386" t="str">
        <f>VLOOKUP(C1386,Products!A:D,3,FALSE)</f>
        <v>Apparel</v>
      </c>
      <c r="I1386">
        <f t="shared" si="21"/>
        <v>2108</v>
      </c>
      <c r="J1386" s="2">
        <f>VLOOKUP(B1386,Orders!A:C,3,FALSE)</f>
        <v>45899</v>
      </c>
      <c r="K1386" s="1" t="str">
        <f>VLOOKUP(B1386,Orders!A:B,2,FALSE)</f>
        <v>C0219</v>
      </c>
    </row>
    <row r="1387" spans="1:11" x14ac:dyDescent="0.3">
      <c r="A1387" s="1" t="s">
        <v>3376</v>
      </c>
      <c r="B1387" s="1" t="s">
        <v>3377</v>
      </c>
      <c r="C1387" s="1" t="s">
        <v>1393</v>
      </c>
      <c r="D1387" s="1">
        <v>3</v>
      </c>
      <c r="E1387" s="1">
        <v>0.1</v>
      </c>
      <c r="F1387" s="1" t="b">
        <v>0</v>
      </c>
      <c r="G1387">
        <f>VLOOKUP(C1387,Products!A:D,4,FALSE)</f>
        <v>1520</v>
      </c>
      <c r="H1387" t="str">
        <f>VLOOKUP(C1387,Products!A:D,3,FALSE)</f>
        <v>Electronics</v>
      </c>
      <c r="I1387">
        <f t="shared" si="21"/>
        <v>4104</v>
      </c>
      <c r="J1387" s="2">
        <f>VLOOKUP(B1387,Orders!A:C,3,FALSE)</f>
        <v>45898</v>
      </c>
      <c r="K1387" s="1" t="str">
        <f>VLOOKUP(B1387,Orders!A:B,2,FALSE)</f>
        <v>C0246</v>
      </c>
    </row>
    <row r="1388" spans="1:11" x14ac:dyDescent="0.3">
      <c r="A1388" s="1" t="s">
        <v>3378</v>
      </c>
      <c r="B1388" s="1" t="s">
        <v>3379</v>
      </c>
      <c r="C1388" s="1" t="s">
        <v>1267</v>
      </c>
      <c r="D1388" s="1">
        <v>1</v>
      </c>
      <c r="E1388" s="1">
        <v>0</v>
      </c>
      <c r="F1388" s="1" t="b">
        <v>0</v>
      </c>
      <c r="G1388">
        <f>VLOOKUP(C1388,Products!A:D,4,FALSE)</f>
        <v>3650</v>
      </c>
      <c r="H1388" t="str">
        <f>VLOOKUP(C1388,Products!A:D,3,FALSE)</f>
        <v>Books</v>
      </c>
      <c r="I1388">
        <f t="shared" si="21"/>
        <v>3650</v>
      </c>
      <c r="J1388" s="2">
        <f>VLOOKUP(B1388,Orders!A:C,3,FALSE)</f>
        <v>45855</v>
      </c>
      <c r="K1388" s="1" t="str">
        <f>VLOOKUP(B1388,Orders!A:B,2,FALSE)</f>
        <v>C0106</v>
      </c>
    </row>
    <row r="1389" spans="1:11" x14ac:dyDescent="0.3">
      <c r="A1389" s="1" t="s">
        <v>3380</v>
      </c>
      <c r="B1389" s="1" t="s">
        <v>3379</v>
      </c>
      <c r="C1389" s="1" t="s">
        <v>1191</v>
      </c>
      <c r="D1389" s="1">
        <v>5</v>
      </c>
      <c r="E1389" s="1">
        <v>0.1</v>
      </c>
      <c r="F1389" s="1" t="b">
        <v>0</v>
      </c>
      <c r="G1389">
        <f>VLOOKUP(C1389,Products!A:D,4,FALSE)</f>
        <v>99</v>
      </c>
      <c r="H1389" t="str">
        <f>VLOOKUP(C1389,Products!A:D,3,FALSE)</f>
        <v>Sports</v>
      </c>
      <c r="I1389">
        <f t="shared" si="21"/>
        <v>445.5</v>
      </c>
      <c r="J1389" s="2">
        <f>VLOOKUP(B1389,Orders!A:C,3,FALSE)</f>
        <v>45855</v>
      </c>
      <c r="K1389" s="1" t="str">
        <f>VLOOKUP(B1389,Orders!A:B,2,FALSE)</f>
        <v>C0106</v>
      </c>
    </row>
    <row r="1390" spans="1:11" x14ac:dyDescent="0.3">
      <c r="A1390" s="1" t="s">
        <v>3381</v>
      </c>
      <c r="B1390" s="1" t="s">
        <v>3382</v>
      </c>
      <c r="C1390" s="1" t="s">
        <v>1257</v>
      </c>
      <c r="D1390" s="1">
        <v>5</v>
      </c>
      <c r="E1390" s="1">
        <v>0</v>
      </c>
      <c r="F1390" s="1" t="b">
        <v>0</v>
      </c>
      <c r="G1390">
        <f>VLOOKUP(C1390,Products!A:D,4,FALSE)</f>
        <v>1760</v>
      </c>
      <c r="H1390" t="str">
        <f>VLOOKUP(C1390,Products!A:D,3,FALSE)</f>
        <v>Books</v>
      </c>
      <c r="I1390">
        <f t="shared" si="21"/>
        <v>8800</v>
      </c>
      <c r="J1390" s="2">
        <f>VLOOKUP(B1390,Orders!A:C,3,FALSE)</f>
        <v>46202</v>
      </c>
      <c r="K1390" s="1" t="str">
        <f>VLOOKUP(B1390,Orders!A:B,2,FALSE)</f>
        <v>C0150</v>
      </c>
    </row>
    <row r="1391" spans="1:11" x14ac:dyDescent="0.3">
      <c r="A1391" s="1" t="s">
        <v>3383</v>
      </c>
      <c r="B1391" s="1" t="s">
        <v>3382</v>
      </c>
      <c r="C1391" s="1" t="s">
        <v>1302</v>
      </c>
      <c r="D1391" s="1">
        <v>5</v>
      </c>
      <c r="E1391" s="1">
        <v>0</v>
      </c>
      <c r="F1391" s="1" t="b">
        <v>0</v>
      </c>
      <c r="G1391">
        <f>VLOOKUP(C1391,Products!A:D,4,FALSE)</f>
        <v>1220</v>
      </c>
      <c r="H1391" t="str">
        <f>VLOOKUP(C1391,Products!A:D,3,FALSE)</f>
        <v>Home &amp; Kitchen</v>
      </c>
      <c r="I1391">
        <f t="shared" si="21"/>
        <v>6100</v>
      </c>
      <c r="J1391" s="2">
        <f>VLOOKUP(B1391,Orders!A:C,3,FALSE)</f>
        <v>46202</v>
      </c>
      <c r="K1391" s="1" t="str">
        <f>VLOOKUP(B1391,Orders!A:B,2,FALSE)</f>
        <v>C0150</v>
      </c>
    </row>
    <row r="1392" spans="1:11" x14ac:dyDescent="0.3">
      <c r="A1392" s="1" t="s">
        <v>3384</v>
      </c>
      <c r="B1392" s="1" t="s">
        <v>3385</v>
      </c>
      <c r="C1392" s="1" t="s">
        <v>1143</v>
      </c>
      <c r="D1392" s="1">
        <v>2</v>
      </c>
      <c r="E1392" s="1">
        <v>0</v>
      </c>
      <c r="F1392" s="1" t="b">
        <v>0</v>
      </c>
      <c r="G1392">
        <f>VLOOKUP(C1392,Products!A:D,4,FALSE)</f>
        <v>2230</v>
      </c>
      <c r="H1392" t="str">
        <f>VLOOKUP(C1392,Products!A:D,3,FALSE)</f>
        <v>Home &amp; Kitchen</v>
      </c>
      <c r="I1392">
        <f t="shared" si="21"/>
        <v>4460</v>
      </c>
      <c r="J1392" s="2">
        <f>VLOOKUP(B1392,Orders!A:C,3,FALSE)</f>
        <v>45745</v>
      </c>
      <c r="K1392" s="1" t="str">
        <f>VLOOKUP(B1392,Orders!A:B,2,FALSE)</f>
        <v>C0060</v>
      </c>
    </row>
    <row r="1393" spans="1:11" x14ac:dyDescent="0.3">
      <c r="A1393" s="1" t="s">
        <v>3386</v>
      </c>
      <c r="B1393" s="1" t="s">
        <v>3387</v>
      </c>
      <c r="C1393" s="1" t="s">
        <v>1132</v>
      </c>
      <c r="D1393" s="1">
        <v>2</v>
      </c>
      <c r="E1393" s="1">
        <v>0.2</v>
      </c>
      <c r="F1393" s="1" t="b">
        <v>0</v>
      </c>
      <c r="G1393">
        <f>VLOOKUP(C1393,Products!A:D,4,FALSE)</f>
        <v>420</v>
      </c>
      <c r="H1393" t="str">
        <f>VLOOKUP(C1393,Products!A:D,3,FALSE)</f>
        <v>Beauty</v>
      </c>
      <c r="I1393">
        <f t="shared" si="21"/>
        <v>672</v>
      </c>
      <c r="J1393" s="2">
        <f>VLOOKUP(B1393,Orders!A:C,3,FALSE)</f>
        <v>46184</v>
      </c>
      <c r="K1393" s="1" t="str">
        <f>VLOOKUP(B1393,Orders!A:B,2,FALSE)</f>
        <v>C0242</v>
      </c>
    </row>
    <row r="1394" spans="1:11" x14ac:dyDescent="0.3">
      <c r="A1394" s="1" t="s">
        <v>3388</v>
      </c>
      <c r="B1394" s="1" t="s">
        <v>3389</v>
      </c>
      <c r="C1394" s="1" t="s">
        <v>1109</v>
      </c>
      <c r="D1394" s="1">
        <v>4</v>
      </c>
      <c r="E1394" s="1">
        <v>0</v>
      </c>
      <c r="F1394" s="1" t="b">
        <v>0</v>
      </c>
      <c r="G1394">
        <f>VLOOKUP(C1394,Products!A:D,4,FALSE)</f>
        <v>1475</v>
      </c>
      <c r="H1394" t="str">
        <f>VLOOKUP(C1394,Products!A:D,3,FALSE)</f>
        <v>Books</v>
      </c>
      <c r="I1394">
        <f t="shared" si="21"/>
        <v>5900</v>
      </c>
      <c r="J1394" s="2">
        <f>VLOOKUP(B1394,Orders!A:C,3,FALSE)</f>
        <v>46111</v>
      </c>
      <c r="K1394" s="1" t="str">
        <f>VLOOKUP(B1394,Orders!A:B,2,FALSE)</f>
        <v>C0047</v>
      </c>
    </row>
    <row r="1395" spans="1:11" x14ac:dyDescent="0.3">
      <c r="A1395" s="1" t="s">
        <v>3390</v>
      </c>
      <c r="B1395" s="1" t="s">
        <v>3389</v>
      </c>
      <c r="C1395" s="1" t="s">
        <v>1143</v>
      </c>
      <c r="D1395" s="1">
        <v>5</v>
      </c>
      <c r="E1395" s="1">
        <v>0</v>
      </c>
      <c r="F1395" s="1" t="b">
        <v>0</v>
      </c>
      <c r="G1395">
        <f>VLOOKUP(C1395,Products!A:D,4,FALSE)</f>
        <v>2230</v>
      </c>
      <c r="H1395" t="str">
        <f>VLOOKUP(C1395,Products!A:D,3,FALSE)</f>
        <v>Home &amp; Kitchen</v>
      </c>
      <c r="I1395">
        <f t="shared" si="21"/>
        <v>11150</v>
      </c>
      <c r="J1395" s="2">
        <f>VLOOKUP(B1395,Orders!A:C,3,FALSE)</f>
        <v>46111</v>
      </c>
      <c r="K1395" s="1" t="str">
        <f>VLOOKUP(B1395,Orders!A:B,2,FALSE)</f>
        <v>C0047</v>
      </c>
    </row>
    <row r="1396" spans="1:11" x14ac:dyDescent="0.3">
      <c r="A1396" s="1" t="s">
        <v>3391</v>
      </c>
      <c r="B1396" s="1" t="s">
        <v>3392</v>
      </c>
      <c r="C1396" s="1" t="s">
        <v>1157</v>
      </c>
      <c r="D1396" s="1">
        <v>4</v>
      </c>
      <c r="E1396" s="1">
        <v>0.2</v>
      </c>
      <c r="F1396" s="1" t="b">
        <v>0</v>
      </c>
      <c r="G1396">
        <f>VLOOKUP(C1396,Products!A:D,4,FALSE)</f>
        <v>1520</v>
      </c>
      <c r="H1396" t="str">
        <f>VLOOKUP(C1396,Products!A:D,3,FALSE)</f>
        <v>Books</v>
      </c>
      <c r="I1396">
        <f t="shared" si="21"/>
        <v>4864</v>
      </c>
      <c r="J1396" s="2">
        <f>VLOOKUP(B1396,Orders!A:C,3,FALSE)</f>
        <v>45885</v>
      </c>
      <c r="K1396" s="1" t="str">
        <f>VLOOKUP(B1396,Orders!A:B,2,FALSE)</f>
        <v>C0095</v>
      </c>
    </row>
    <row r="1397" spans="1:11" x14ac:dyDescent="0.3">
      <c r="A1397" s="1" t="s">
        <v>3393</v>
      </c>
      <c r="B1397" s="1" t="s">
        <v>3394</v>
      </c>
      <c r="C1397" s="1" t="s">
        <v>1121</v>
      </c>
      <c r="D1397" s="1">
        <v>4</v>
      </c>
      <c r="E1397" s="1">
        <v>0</v>
      </c>
      <c r="F1397" s="1" t="b">
        <v>0</v>
      </c>
      <c r="G1397">
        <f>VLOOKUP(C1397,Products!A:D,4,FALSE)</f>
        <v>1440</v>
      </c>
      <c r="H1397" t="str">
        <f>VLOOKUP(C1397,Products!A:D,3,FALSE)</f>
        <v>Sports</v>
      </c>
      <c r="I1397">
        <f t="shared" si="21"/>
        <v>5760</v>
      </c>
      <c r="J1397" s="2">
        <f>VLOOKUP(B1397,Orders!A:C,3,FALSE)</f>
        <v>46037</v>
      </c>
      <c r="K1397" s="1" t="str">
        <f>VLOOKUP(B1397,Orders!A:B,2,FALSE)</f>
        <v>C0190</v>
      </c>
    </row>
    <row r="1398" spans="1:11" x14ac:dyDescent="0.3">
      <c r="A1398" s="1" t="s">
        <v>3395</v>
      </c>
      <c r="B1398" s="1" t="s">
        <v>3394</v>
      </c>
      <c r="C1398" s="1" t="s">
        <v>1188</v>
      </c>
      <c r="D1398" s="1">
        <v>1</v>
      </c>
      <c r="E1398" s="1">
        <v>0.2</v>
      </c>
      <c r="F1398" s="1" t="b">
        <v>0</v>
      </c>
      <c r="G1398">
        <f>VLOOKUP(C1398,Products!A:D,4,FALSE)</f>
        <v>2530</v>
      </c>
      <c r="H1398" t="str">
        <f>VLOOKUP(C1398,Products!A:D,3,FALSE)</f>
        <v>Beauty</v>
      </c>
      <c r="I1398">
        <f t="shared" si="21"/>
        <v>2024</v>
      </c>
      <c r="J1398" s="2">
        <f>VLOOKUP(B1398,Orders!A:C,3,FALSE)</f>
        <v>46037</v>
      </c>
      <c r="K1398" s="1" t="str">
        <f>VLOOKUP(B1398,Orders!A:B,2,FALSE)</f>
        <v>C0190</v>
      </c>
    </row>
    <row r="1399" spans="1:11" x14ac:dyDescent="0.3">
      <c r="A1399" s="1" t="s">
        <v>3396</v>
      </c>
      <c r="B1399" s="1" t="s">
        <v>3394</v>
      </c>
      <c r="C1399" s="1" t="s">
        <v>1116</v>
      </c>
      <c r="D1399" s="1">
        <v>3</v>
      </c>
      <c r="E1399" s="1">
        <v>0.05</v>
      </c>
      <c r="F1399" s="1" t="b">
        <v>0</v>
      </c>
      <c r="G1399">
        <f>VLOOKUP(C1399,Products!A:D,4,FALSE)</f>
        <v>3000</v>
      </c>
      <c r="H1399" t="str">
        <f>VLOOKUP(C1399,Products!A:D,3,FALSE)</f>
        <v>Home &amp; Kitchen</v>
      </c>
      <c r="I1399">
        <f t="shared" si="21"/>
        <v>8550</v>
      </c>
      <c r="J1399" s="2">
        <f>VLOOKUP(B1399,Orders!A:C,3,FALSE)</f>
        <v>46037</v>
      </c>
      <c r="K1399" s="1" t="str">
        <f>VLOOKUP(B1399,Orders!A:B,2,FALSE)</f>
        <v>C0190</v>
      </c>
    </row>
    <row r="1400" spans="1:11" x14ac:dyDescent="0.3">
      <c r="A1400" s="1" t="s">
        <v>3397</v>
      </c>
      <c r="B1400" s="1" t="s">
        <v>3398</v>
      </c>
      <c r="C1400" s="1" t="s">
        <v>1213</v>
      </c>
      <c r="D1400" s="1">
        <v>3</v>
      </c>
      <c r="E1400" s="1">
        <v>0.1</v>
      </c>
      <c r="F1400" s="1" t="b">
        <v>1</v>
      </c>
      <c r="G1400">
        <f>VLOOKUP(C1400,Products!A:D,4,FALSE)</f>
        <v>1765</v>
      </c>
      <c r="H1400" t="str">
        <f>VLOOKUP(C1400,Products!A:D,3,FALSE)</f>
        <v>Beauty</v>
      </c>
      <c r="I1400">
        <f t="shared" si="21"/>
        <v>4765.5</v>
      </c>
      <c r="J1400" s="2">
        <f>VLOOKUP(B1400,Orders!A:C,3,FALSE)</f>
        <v>46038</v>
      </c>
      <c r="K1400" s="1" t="str">
        <f>VLOOKUP(B1400,Orders!A:B,2,FALSE)</f>
        <v>C0135</v>
      </c>
    </row>
    <row r="1401" spans="1:11" x14ac:dyDescent="0.3">
      <c r="A1401" s="1" t="s">
        <v>3399</v>
      </c>
      <c r="B1401" s="1" t="s">
        <v>3400</v>
      </c>
      <c r="C1401" s="1" t="s">
        <v>1459</v>
      </c>
      <c r="D1401" s="1">
        <v>2</v>
      </c>
      <c r="E1401" s="1">
        <v>0</v>
      </c>
      <c r="F1401" s="1" t="b">
        <v>0</v>
      </c>
      <c r="G1401">
        <f>VLOOKUP(C1401,Products!A:D,4,FALSE)</f>
        <v>710</v>
      </c>
      <c r="H1401" t="str">
        <f>VLOOKUP(C1401,Products!A:D,3,FALSE)</f>
        <v>Sports</v>
      </c>
      <c r="I1401">
        <f t="shared" si="21"/>
        <v>1420</v>
      </c>
      <c r="J1401" s="2">
        <f>VLOOKUP(B1401,Orders!A:C,3,FALSE)</f>
        <v>46241</v>
      </c>
      <c r="K1401" s="1" t="str">
        <f>VLOOKUP(B1401,Orders!A:B,2,FALSE)</f>
        <v>C0116</v>
      </c>
    </row>
    <row r="1402" spans="1:11" x14ac:dyDescent="0.3">
      <c r="A1402" s="1" t="s">
        <v>3401</v>
      </c>
      <c r="B1402" s="1" t="s">
        <v>3402</v>
      </c>
      <c r="C1402" s="1" t="s">
        <v>1433</v>
      </c>
      <c r="D1402" s="1">
        <v>3</v>
      </c>
      <c r="E1402" s="1">
        <v>0.05</v>
      </c>
      <c r="F1402" s="1" t="b">
        <v>0</v>
      </c>
      <c r="G1402">
        <f>VLOOKUP(C1402,Products!A:D,4,FALSE)</f>
        <v>110</v>
      </c>
      <c r="H1402" t="str">
        <f>VLOOKUP(C1402,Products!A:D,3,FALSE)</f>
        <v>Home &amp; Kitchen</v>
      </c>
      <c r="I1402">
        <f t="shared" si="21"/>
        <v>313.5</v>
      </c>
      <c r="J1402" s="2">
        <f>VLOOKUP(B1402,Orders!A:C,3,FALSE)</f>
        <v>45818</v>
      </c>
      <c r="K1402" s="1" t="str">
        <f>VLOOKUP(B1402,Orders!A:B,2,FALSE)</f>
        <v>C0032</v>
      </c>
    </row>
    <row r="1403" spans="1:11" x14ac:dyDescent="0.3">
      <c r="A1403" s="1" t="s">
        <v>3403</v>
      </c>
      <c r="B1403" s="1" t="s">
        <v>3402</v>
      </c>
      <c r="C1403" s="1" t="s">
        <v>1230</v>
      </c>
      <c r="D1403" s="1">
        <v>1</v>
      </c>
      <c r="E1403" s="1">
        <v>0.1</v>
      </c>
      <c r="F1403" s="1" t="b">
        <v>0</v>
      </c>
      <c r="G1403">
        <f>VLOOKUP(C1403,Products!A:D,4,FALSE)</f>
        <v>1530</v>
      </c>
      <c r="H1403" t="str">
        <f>VLOOKUP(C1403,Products!A:D,3,FALSE)</f>
        <v>Beauty</v>
      </c>
      <c r="I1403">
        <f t="shared" si="21"/>
        <v>1377</v>
      </c>
      <c r="J1403" s="2">
        <f>VLOOKUP(B1403,Orders!A:C,3,FALSE)</f>
        <v>45818</v>
      </c>
      <c r="K1403" s="1" t="str">
        <f>VLOOKUP(B1403,Orders!A:B,2,FALSE)</f>
        <v>C0032</v>
      </c>
    </row>
    <row r="1404" spans="1:11" x14ac:dyDescent="0.3">
      <c r="A1404" s="1" t="s">
        <v>3404</v>
      </c>
      <c r="B1404" s="1" t="s">
        <v>3405</v>
      </c>
      <c r="C1404" s="1" t="s">
        <v>1125</v>
      </c>
      <c r="D1404" s="1">
        <v>1</v>
      </c>
      <c r="E1404" s="1">
        <v>0.15</v>
      </c>
      <c r="F1404" s="1" t="b">
        <v>0</v>
      </c>
      <c r="G1404">
        <f>VLOOKUP(C1404,Products!A:D,4,FALSE)</f>
        <v>99</v>
      </c>
      <c r="H1404" t="str">
        <f>VLOOKUP(C1404,Products!A:D,3,FALSE)</f>
        <v>Electronics</v>
      </c>
      <c r="I1404">
        <f t="shared" si="21"/>
        <v>84.149999999999991</v>
      </c>
      <c r="J1404" s="2">
        <f>VLOOKUP(B1404,Orders!A:C,3,FALSE)</f>
        <v>45754</v>
      </c>
      <c r="K1404" s="1" t="str">
        <f>VLOOKUP(B1404,Orders!A:B,2,FALSE)</f>
        <v>C0044</v>
      </c>
    </row>
    <row r="1405" spans="1:11" x14ac:dyDescent="0.3">
      <c r="A1405" s="1" t="s">
        <v>3406</v>
      </c>
      <c r="B1405" s="1" t="s">
        <v>3405</v>
      </c>
      <c r="C1405" s="1" t="s">
        <v>1242</v>
      </c>
      <c r="D1405" s="1">
        <v>3</v>
      </c>
      <c r="E1405" s="1">
        <v>0.05</v>
      </c>
      <c r="F1405" s="1" t="b">
        <v>0</v>
      </c>
      <c r="G1405">
        <f>VLOOKUP(C1405,Products!A:D,4,FALSE)</f>
        <v>2720</v>
      </c>
      <c r="H1405" t="str">
        <f>VLOOKUP(C1405,Products!A:D,3,FALSE)</f>
        <v>Beauty</v>
      </c>
      <c r="I1405">
        <f t="shared" si="21"/>
        <v>7752</v>
      </c>
      <c r="J1405" s="2">
        <f>VLOOKUP(B1405,Orders!A:C,3,FALSE)</f>
        <v>45754</v>
      </c>
      <c r="K1405" s="1" t="str">
        <f>VLOOKUP(B1405,Orders!A:B,2,FALSE)</f>
        <v>C0044</v>
      </c>
    </row>
    <row r="1406" spans="1:11" x14ac:dyDescent="0.3">
      <c r="A1406" s="1" t="s">
        <v>3407</v>
      </c>
      <c r="B1406" s="1" t="s">
        <v>3405</v>
      </c>
      <c r="C1406" s="1" t="s">
        <v>1219</v>
      </c>
      <c r="D1406" s="1">
        <v>3</v>
      </c>
      <c r="E1406" s="1">
        <v>0</v>
      </c>
      <c r="F1406" s="1" t="b">
        <v>0</v>
      </c>
      <c r="G1406">
        <f>VLOOKUP(C1406,Products!A:D,4,FALSE)</f>
        <v>2090</v>
      </c>
      <c r="H1406" t="str">
        <f>VLOOKUP(C1406,Products!A:D,3,FALSE)</f>
        <v>Beauty</v>
      </c>
      <c r="I1406">
        <f t="shared" si="21"/>
        <v>6270</v>
      </c>
      <c r="J1406" s="2">
        <f>VLOOKUP(B1406,Orders!A:C,3,FALSE)</f>
        <v>45754</v>
      </c>
      <c r="K1406" s="1" t="str">
        <f>VLOOKUP(B1406,Orders!A:B,2,FALSE)</f>
        <v>C0044</v>
      </c>
    </row>
    <row r="1407" spans="1:11" x14ac:dyDescent="0.3">
      <c r="A1407" s="1" t="s">
        <v>3408</v>
      </c>
      <c r="B1407" s="1" t="s">
        <v>3405</v>
      </c>
      <c r="C1407" s="1" t="s">
        <v>1290</v>
      </c>
      <c r="D1407" s="1">
        <v>3</v>
      </c>
      <c r="E1407" s="1">
        <v>0</v>
      </c>
      <c r="F1407" s="1" t="b">
        <v>0</v>
      </c>
      <c r="G1407">
        <f>VLOOKUP(C1407,Products!A:D,4,FALSE)</f>
        <v>990</v>
      </c>
      <c r="H1407" t="str">
        <f>VLOOKUP(C1407,Products!A:D,3,FALSE)</f>
        <v>Books</v>
      </c>
      <c r="I1407">
        <f t="shared" si="21"/>
        <v>2970</v>
      </c>
      <c r="J1407" s="2">
        <f>VLOOKUP(B1407,Orders!A:C,3,FALSE)</f>
        <v>45754</v>
      </c>
      <c r="K1407" s="1" t="str">
        <f>VLOOKUP(B1407,Orders!A:B,2,FALSE)</f>
        <v>C0044</v>
      </c>
    </row>
    <row r="1408" spans="1:11" x14ac:dyDescent="0.3">
      <c r="A1408" s="1" t="s">
        <v>3409</v>
      </c>
      <c r="B1408" s="1" t="s">
        <v>3410</v>
      </c>
      <c r="C1408" s="1" t="s">
        <v>1106</v>
      </c>
      <c r="D1408" s="1">
        <v>1</v>
      </c>
      <c r="E1408" s="1">
        <v>0</v>
      </c>
      <c r="F1408" s="1" t="b">
        <v>0</v>
      </c>
      <c r="G1408">
        <f>VLOOKUP(C1408,Products!A:D,4,FALSE)</f>
        <v>1130</v>
      </c>
      <c r="H1408" t="str">
        <f>VLOOKUP(C1408,Products!A:D,3,FALSE)</f>
        <v>Books</v>
      </c>
      <c r="I1408">
        <f t="shared" ref="I1408:I1471" si="22">G1408*D1408*(1-E1408)</f>
        <v>1130</v>
      </c>
      <c r="J1408" s="2">
        <f>VLOOKUP(B1408,Orders!A:C,3,FALSE)</f>
        <v>45928</v>
      </c>
      <c r="K1408" s="1" t="str">
        <f>VLOOKUP(B1408,Orders!A:B,2,FALSE)</f>
        <v>C0212</v>
      </c>
    </row>
    <row r="1409" spans="1:11" x14ac:dyDescent="0.3">
      <c r="A1409" s="1" t="s">
        <v>3411</v>
      </c>
      <c r="B1409" s="1" t="s">
        <v>3412</v>
      </c>
      <c r="C1409" s="1" t="s">
        <v>1391</v>
      </c>
      <c r="D1409" s="1">
        <v>5</v>
      </c>
      <c r="E1409" s="1">
        <v>0</v>
      </c>
      <c r="F1409" s="1" t="b">
        <v>0</v>
      </c>
      <c r="G1409">
        <f>VLOOKUP(C1409,Products!A:D,4,FALSE)</f>
        <v>1900</v>
      </c>
      <c r="H1409" t="str">
        <f>VLOOKUP(C1409,Products!A:D,3,FALSE)</f>
        <v>Beauty</v>
      </c>
      <c r="I1409">
        <f t="shared" si="22"/>
        <v>9500</v>
      </c>
      <c r="J1409" s="2">
        <f>VLOOKUP(B1409,Orders!A:C,3,FALSE)</f>
        <v>45809</v>
      </c>
      <c r="K1409" s="1" t="str">
        <f>VLOOKUP(B1409,Orders!A:B,2,FALSE)</f>
        <v>C0117</v>
      </c>
    </row>
    <row r="1410" spans="1:11" x14ac:dyDescent="0.3">
      <c r="A1410" s="1" t="s">
        <v>3413</v>
      </c>
      <c r="B1410" s="1" t="s">
        <v>3414</v>
      </c>
      <c r="C1410" s="1" t="s">
        <v>1113</v>
      </c>
      <c r="D1410" s="1">
        <v>4</v>
      </c>
      <c r="E1410" s="1">
        <v>0</v>
      </c>
      <c r="F1410" s="1" t="b">
        <v>0</v>
      </c>
      <c r="G1410">
        <f>VLOOKUP(C1410,Products!A:D,4,FALSE)</f>
        <v>2780</v>
      </c>
      <c r="H1410" t="str">
        <f>VLOOKUP(C1410,Products!A:D,3,FALSE)</f>
        <v>Apparel</v>
      </c>
      <c r="I1410">
        <f t="shared" si="22"/>
        <v>11120</v>
      </c>
      <c r="J1410" s="2">
        <f>VLOOKUP(B1410,Orders!A:C,3,FALSE)</f>
        <v>45935</v>
      </c>
      <c r="K1410" s="1" t="str">
        <f>VLOOKUP(B1410,Orders!A:B,2,FALSE)</f>
        <v>C0268</v>
      </c>
    </row>
    <row r="1411" spans="1:11" x14ac:dyDescent="0.3">
      <c r="A1411" s="1" t="s">
        <v>3415</v>
      </c>
      <c r="B1411" s="1" t="s">
        <v>3416</v>
      </c>
      <c r="C1411" s="1" t="s">
        <v>1225</v>
      </c>
      <c r="D1411" s="1">
        <v>4</v>
      </c>
      <c r="E1411" s="1">
        <v>0.1</v>
      </c>
      <c r="F1411" s="1" t="b">
        <v>0</v>
      </c>
      <c r="G1411">
        <f>VLOOKUP(C1411,Products!A:D,4,FALSE)</f>
        <v>2690</v>
      </c>
      <c r="H1411" t="str">
        <f>VLOOKUP(C1411,Products!A:D,3,FALSE)</f>
        <v>Beauty</v>
      </c>
      <c r="I1411">
        <f t="shared" si="22"/>
        <v>9684</v>
      </c>
      <c r="J1411" s="2">
        <f>VLOOKUP(B1411,Orders!A:C,3,FALSE)</f>
        <v>46053</v>
      </c>
      <c r="K1411" s="1" t="str">
        <f>VLOOKUP(B1411,Orders!A:B,2,FALSE)</f>
        <v>C0244</v>
      </c>
    </row>
    <row r="1412" spans="1:11" x14ac:dyDescent="0.3">
      <c r="A1412" s="1" t="s">
        <v>3417</v>
      </c>
      <c r="B1412" s="1" t="s">
        <v>3418</v>
      </c>
      <c r="C1412" s="1" t="s">
        <v>1209</v>
      </c>
      <c r="D1412" s="1">
        <v>1</v>
      </c>
      <c r="E1412" s="1">
        <v>0.05</v>
      </c>
      <c r="F1412" s="1" t="b">
        <v>0</v>
      </c>
      <c r="G1412">
        <f>VLOOKUP(C1412,Products!A:D,4,FALSE)</f>
        <v>1580</v>
      </c>
      <c r="H1412" t="str">
        <f>VLOOKUP(C1412,Products!A:D,3,FALSE)</f>
        <v>Apparel</v>
      </c>
      <c r="I1412">
        <f t="shared" si="22"/>
        <v>1501</v>
      </c>
      <c r="J1412" s="2">
        <f>VLOOKUP(B1412,Orders!A:C,3,FALSE)</f>
        <v>45861</v>
      </c>
      <c r="K1412" s="1" t="str">
        <f>VLOOKUP(B1412,Orders!A:B,2,FALSE)</f>
        <v>C0244</v>
      </c>
    </row>
    <row r="1413" spans="1:11" x14ac:dyDescent="0.3">
      <c r="A1413" s="1" t="s">
        <v>3419</v>
      </c>
      <c r="B1413" s="1" t="s">
        <v>3420</v>
      </c>
      <c r="C1413" s="1" t="s">
        <v>1288</v>
      </c>
      <c r="D1413" s="1">
        <v>3</v>
      </c>
      <c r="E1413" s="1">
        <v>0.1</v>
      </c>
      <c r="F1413" s="1" t="b">
        <v>0</v>
      </c>
      <c r="G1413">
        <f>VLOOKUP(C1413,Products!A:D,4,FALSE)</f>
        <v>2580</v>
      </c>
      <c r="H1413" t="str">
        <f>VLOOKUP(C1413,Products!A:D,3,FALSE)</f>
        <v>Beauty</v>
      </c>
      <c r="I1413">
        <f t="shared" si="22"/>
        <v>6966</v>
      </c>
      <c r="J1413" s="2">
        <f>VLOOKUP(B1413,Orders!A:C,3,FALSE)</f>
        <v>46178</v>
      </c>
      <c r="K1413" s="1" t="str">
        <f>VLOOKUP(B1413,Orders!A:B,2,FALSE)</f>
        <v>C0018</v>
      </c>
    </row>
    <row r="1414" spans="1:11" x14ac:dyDescent="0.3">
      <c r="A1414" s="1" t="s">
        <v>3421</v>
      </c>
      <c r="B1414" s="1" t="s">
        <v>3420</v>
      </c>
      <c r="C1414" s="1" t="s">
        <v>1320</v>
      </c>
      <c r="D1414" s="1">
        <v>1</v>
      </c>
      <c r="E1414" s="1">
        <v>0</v>
      </c>
      <c r="F1414" s="1" t="b">
        <v>0</v>
      </c>
      <c r="G1414">
        <f>VLOOKUP(C1414,Products!A:D,4,FALSE)</f>
        <v>2790</v>
      </c>
      <c r="H1414" t="str">
        <f>VLOOKUP(C1414,Products!A:D,3,FALSE)</f>
        <v>Electronics</v>
      </c>
      <c r="I1414">
        <f t="shared" si="22"/>
        <v>2790</v>
      </c>
      <c r="J1414" s="2">
        <f>VLOOKUP(B1414,Orders!A:C,3,FALSE)</f>
        <v>46178</v>
      </c>
      <c r="K1414" s="1" t="str">
        <f>VLOOKUP(B1414,Orders!A:B,2,FALSE)</f>
        <v>C0018</v>
      </c>
    </row>
    <row r="1415" spans="1:11" x14ac:dyDescent="0.3">
      <c r="A1415" s="1" t="s">
        <v>3422</v>
      </c>
      <c r="B1415" s="1" t="s">
        <v>3423</v>
      </c>
      <c r="C1415" s="1" t="s">
        <v>1330</v>
      </c>
      <c r="D1415" s="1">
        <v>3</v>
      </c>
      <c r="E1415" s="1">
        <v>0.1</v>
      </c>
      <c r="F1415" s="1" t="b">
        <v>0</v>
      </c>
      <c r="G1415">
        <f>VLOOKUP(C1415,Products!A:D,4,FALSE)</f>
        <v>580</v>
      </c>
      <c r="H1415" t="str">
        <f>VLOOKUP(C1415,Products!A:D,3,FALSE)</f>
        <v>Books</v>
      </c>
      <c r="I1415">
        <f t="shared" si="22"/>
        <v>1566</v>
      </c>
      <c r="J1415" s="2">
        <f>VLOOKUP(B1415,Orders!A:C,3,FALSE)</f>
        <v>45784</v>
      </c>
      <c r="K1415" s="1" t="str">
        <f>VLOOKUP(B1415,Orders!A:B,2,FALSE)</f>
        <v>C0293</v>
      </c>
    </row>
    <row r="1416" spans="1:11" x14ac:dyDescent="0.3">
      <c r="A1416" s="1" t="s">
        <v>3424</v>
      </c>
      <c r="B1416" s="1" t="s">
        <v>3423</v>
      </c>
      <c r="C1416" s="1" t="s">
        <v>1290</v>
      </c>
      <c r="D1416" s="1">
        <v>4</v>
      </c>
      <c r="E1416" s="1">
        <v>0</v>
      </c>
      <c r="F1416" s="1" t="b">
        <v>0</v>
      </c>
      <c r="G1416">
        <f>VLOOKUP(C1416,Products!A:D,4,FALSE)</f>
        <v>990</v>
      </c>
      <c r="H1416" t="str">
        <f>VLOOKUP(C1416,Products!A:D,3,FALSE)</f>
        <v>Books</v>
      </c>
      <c r="I1416">
        <f t="shared" si="22"/>
        <v>3960</v>
      </c>
      <c r="J1416" s="2">
        <f>VLOOKUP(B1416,Orders!A:C,3,FALSE)</f>
        <v>45784</v>
      </c>
      <c r="K1416" s="1" t="str">
        <f>VLOOKUP(B1416,Orders!A:B,2,FALSE)</f>
        <v>C0293</v>
      </c>
    </row>
    <row r="1417" spans="1:11" x14ac:dyDescent="0.3">
      <c r="A1417" s="1" t="s">
        <v>3425</v>
      </c>
      <c r="B1417" s="1" t="s">
        <v>3426</v>
      </c>
      <c r="C1417" s="1" t="s">
        <v>1113</v>
      </c>
      <c r="D1417" s="1">
        <v>2</v>
      </c>
      <c r="E1417" s="1">
        <v>0.2</v>
      </c>
      <c r="F1417" s="1" t="b">
        <v>0</v>
      </c>
      <c r="G1417">
        <f>VLOOKUP(C1417,Products!A:D,4,FALSE)</f>
        <v>2780</v>
      </c>
      <c r="H1417" t="str">
        <f>VLOOKUP(C1417,Products!A:D,3,FALSE)</f>
        <v>Apparel</v>
      </c>
      <c r="I1417">
        <f t="shared" si="22"/>
        <v>4448</v>
      </c>
      <c r="J1417" s="2">
        <f>VLOOKUP(B1417,Orders!A:C,3,FALSE)</f>
        <v>45953</v>
      </c>
      <c r="K1417" s="1" t="str">
        <f>VLOOKUP(B1417,Orders!A:B,2,FALSE)</f>
        <v>C0076</v>
      </c>
    </row>
    <row r="1418" spans="1:11" x14ac:dyDescent="0.3">
      <c r="A1418" s="1" t="s">
        <v>3427</v>
      </c>
      <c r="B1418" s="1" t="s">
        <v>3426</v>
      </c>
      <c r="C1418" s="1" t="s">
        <v>1459</v>
      </c>
      <c r="D1418" s="1">
        <v>3</v>
      </c>
      <c r="E1418" s="1">
        <v>0.1</v>
      </c>
      <c r="F1418" s="1" t="b">
        <v>0</v>
      </c>
      <c r="G1418">
        <f>VLOOKUP(C1418,Products!A:D,4,FALSE)</f>
        <v>710</v>
      </c>
      <c r="H1418" t="str">
        <f>VLOOKUP(C1418,Products!A:D,3,FALSE)</f>
        <v>Sports</v>
      </c>
      <c r="I1418">
        <f t="shared" si="22"/>
        <v>1917</v>
      </c>
      <c r="J1418" s="2">
        <f>VLOOKUP(B1418,Orders!A:C,3,FALSE)</f>
        <v>45953</v>
      </c>
      <c r="K1418" s="1" t="str">
        <f>VLOOKUP(B1418,Orders!A:B,2,FALSE)</f>
        <v>C0076</v>
      </c>
    </row>
    <row r="1419" spans="1:11" x14ac:dyDescent="0.3">
      <c r="A1419" s="1" t="s">
        <v>3428</v>
      </c>
      <c r="B1419" s="1" t="s">
        <v>3426</v>
      </c>
      <c r="C1419" s="1" t="s">
        <v>1230</v>
      </c>
      <c r="D1419" s="1">
        <v>2</v>
      </c>
      <c r="E1419" s="1">
        <v>0.1</v>
      </c>
      <c r="F1419" s="1" t="b">
        <v>0</v>
      </c>
      <c r="G1419">
        <f>VLOOKUP(C1419,Products!A:D,4,FALSE)</f>
        <v>1530</v>
      </c>
      <c r="H1419" t="str">
        <f>VLOOKUP(C1419,Products!A:D,3,FALSE)</f>
        <v>Beauty</v>
      </c>
      <c r="I1419">
        <f t="shared" si="22"/>
        <v>2754</v>
      </c>
      <c r="J1419" s="2">
        <f>VLOOKUP(B1419,Orders!A:C,3,FALSE)</f>
        <v>45953</v>
      </c>
      <c r="K1419" s="1" t="str">
        <f>VLOOKUP(B1419,Orders!A:B,2,FALSE)</f>
        <v>C0076</v>
      </c>
    </row>
    <row r="1420" spans="1:11" x14ac:dyDescent="0.3">
      <c r="A1420" s="1" t="s">
        <v>3429</v>
      </c>
      <c r="B1420" s="1" t="s">
        <v>3430</v>
      </c>
      <c r="C1420" s="1" t="s">
        <v>1267</v>
      </c>
      <c r="D1420" s="1">
        <v>4</v>
      </c>
      <c r="E1420" s="1">
        <v>0</v>
      </c>
      <c r="F1420" s="1" t="b">
        <v>0</v>
      </c>
      <c r="G1420">
        <f>VLOOKUP(C1420,Products!A:D,4,FALSE)</f>
        <v>3650</v>
      </c>
      <c r="H1420" t="str">
        <f>VLOOKUP(C1420,Products!A:D,3,FALSE)</f>
        <v>Books</v>
      </c>
      <c r="I1420">
        <f t="shared" si="22"/>
        <v>14600</v>
      </c>
      <c r="J1420" s="2">
        <f>VLOOKUP(B1420,Orders!A:C,3,FALSE)</f>
        <v>46236</v>
      </c>
      <c r="K1420" s="1" t="str">
        <f>VLOOKUP(B1420,Orders!A:B,2,FALSE)</f>
        <v>C0230</v>
      </c>
    </row>
    <row r="1421" spans="1:11" x14ac:dyDescent="0.3">
      <c r="A1421" s="1" t="s">
        <v>3431</v>
      </c>
      <c r="B1421" s="1" t="s">
        <v>3430</v>
      </c>
      <c r="C1421" s="1" t="s">
        <v>1130</v>
      </c>
      <c r="D1421" s="1">
        <v>4</v>
      </c>
      <c r="E1421" s="1">
        <v>0.2</v>
      </c>
      <c r="F1421" s="1" t="b">
        <v>0</v>
      </c>
      <c r="G1421">
        <f>VLOOKUP(C1421,Products!A:D,4,FALSE)</f>
        <v>2400</v>
      </c>
      <c r="H1421" t="str">
        <f>VLOOKUP(C1421,Products!A:D,3,FALSE)</f>
        <v>Electronics</v>
      </c>
      <c r="I1421">
        <f t="shared" si="22"/>
        <v>7680</v>
      </c>
      <c r="J1421" s="2">
        <f>VLOOKUP(B1421,Orders!A:C,3,FALSE)</f>
        <v>46236</v>
      </c>
      <c r="K1421" s="1" t="str">
        <f>VLOOKUP(B1421,Orders!A:B,2,FALSE)</f>
        <v>C0230</v>
      </c>
    </row>
    <row r="1422" spans="1:11" x14ac:dyDescent="0.3">
      <c r="A1422" s="1" t="s">
        <v>3432</v>
      </c>
      <c r="B1422" s="1" t="s">
        <v>3430</v>
      </c>
      <c r="C1422" s="1" t="s">
        <v>1191</v>
      </c>
      <c r="D1422" s="1">
        <v>3</v>
      </c>
      <c r="E1422" s="1">
        <v>0.15</v>
      </c>
      <c r="F1422" s="1" t="b">
        <v>0</v>
      </c>
      <c r="G1422">
        <f>VLOOKUP(C1422,Products!A:D,4,FALSE)</f>
        <v>99</v>
      </c>
      <c r="H1422" t="str">
        <f>VLOOKUP(C1422,Products!A:D,3,FALSE)</f>
        <v>Sports</v>
      </c>
      <c r="I1422">
        <f t="shared" si="22"/>
        <v>252.45</v>
      </c>
      <c r="J1422" s="2">
        <f>VLOOKUP(B1422,Orders!A:C,3,FALSE)</f>
        <v>46236</v>
      </c>
      <c r="K1422" s="1" t="str">
        <f>VLOOKUP(B1422,Orders!A:B,2,FALSE)</f>
        <v>C0230</v>
      </c>
    </row>
    <row r="1423" spans="1:11" x14ac:dyDescent="0.3">
      <c r="A1423" s="1" t="s">
        <v>3433</v>
      </c>
      <c r="B1423" s="1" t="s">
        <v>3430</v>
      </c>
      <c r="C1423" s="1" t="s">
        <v>1230</v>
      </c>
      <c r="D1423" s="1">
        <v>1</v>
      </c>
      <c r="E1423" s="1">
        <v>0</v>
      </c>
      <c r="F1423" s="1" t="b">
        <v>0</v>
      </c>
      <c r="G1423">
        <f>VLOOKUP(C1423,Products!A:D,4,FALSE)</f>
        <v>1530</v>
      </c>
      <c r="H1423" t="str">
        <f>VLOOKUP(C1423,Products!A:D,3,FALSE)</f>
        <v>Beauty</v>
      </c>
      <c r="I1423">
        <f t="shared" si="22"/>
        <v>1530</v>
      </c>
      <c r="J1423" s="2">
        <f>VLOOKUP(B1423,Orders!A:C,3,FALSE)</f>
        <v>46236</v>
      </c>
      <c r="K1423" s="1" t="str">
        <f>VLOOKUP(B1423,Orders!A:B,2,FALSE)</f>
        <v>C0230</v>
      </c>
    </row>
    <row r="1424" spans="1:11" x14ac:dyDescent="0.3">
      <c r="A1424" s="1" t="s">
        <v>3434</v>
      </c>
      <c r="B1424" s="1" t="s">
        <v>3435</v>
      </c>
      <c r="C1424" s="1" t="s">
        <v>1209</v>
      </c>
      <c r="D1424" s="1">
        <v>3</v>
      </c>
      <c r="E1424" s="1">
        <v>0.1</v>
      </c>
      <c r="F1424" s="1" t="b">
        <v>0</v>
      </c>
      <c r="G1424">
        <f>VLOOKUP(C1424,Products!A:D,4,FALSE)</f>
        <v>1580</v>
      </c>
      <c r="H1424" t="str">
        <f>VLOOKUP(C1424,Products!A:D,3,FALSE)</f>
        <v>Apparel</v>
      </c>
      <c r="I1424">
        <f t="shared" si="22"/>
        <v>4266</v>
      </c>
      <c r="J1424" s="2">
        <f>VLOOKUP(B1424,Orders!A:C,3,FALSE)</f>
        <v>46136</v>
      </c>
      <c r="K1424" s="1" t="str">
        <f>VLOOKUP(B1424,Orders!A:B,2,FALSE)</f>
        <v>C0109</v>
      </c>
    </row>
    <row r="1425" spans="1:11" x14ac:dyDescent="0.3">
      <c r="A1425" s="1" t="s">
        <v>3436</v>
      </c>
      <c r="B1425" s="1" t="s">
        <v>3435</v>
      </c>
      <c r="C1425" s="1" t="s">
        <v>1176</v>
      </c>
      <c r="D1425" s="1">
        <v>4</v>
      </c>
      <c r="E1425" s="1">
        <v>0</v>
      </c>
      <c r="F1425" s="1" t="b">
        <v>0</v>
      </c>
      <c r="G1425">
        <f>VLOOKUP(C1425,Products!A:D,4,FALSE)</f>
        <v>2670</v>
      </c>
      <c r="H1425" t="str">
        <f>VLOOKUP(C1425,Products!A:D,3,FALSE)</f>
        <v>Beauty</v>
      </c>
      <c r="I1425">
        <f t="shared" si="22"/>
        <v>10680</v>
      </c>
      <c r="J1425" s="2">
        <f>VLOOKUP(B1425,Orders!A:C,3,FALSE)</f>
        <v>46136</v>
      </c>
      <c r="K1425" s="1" t="str">
        <f>VLOOKUP(B1425,Orders!A:B,2,FALSE)</f>
        <v>C0109</v>
      </c>
    </row>
    <row r="1426" spans="1:11" x14ac:dyDescent="0.3">
      <c r="A1426" s="1" t="s">
        <v>3437</v>
      </c>
      <c r="B1426" s="1" t="s">
        <v>3435</v>
      </c>
      <c r="C1426" s="1" t="s">
        <v>1393</v>
      </c>
      <c r="D1426" s="1">
        <v>2</v>
      </c>
      <c r="E1426" s="1">
        <v>0.1</v>
      </c>
      <c r="F1426" s="1" t="b">
        <v>0</v>
      </c>
      <c r="G1426">
        <f>VLOOKUP(C1426,Products!A:D,4,FALSE)</f>
        <v>1520</v>
      </c>
      <c r="H1426" t="str">
        <f>VLOOKUP(C1426,Products!A:D,3,FALSE)</f>
        <v>Electronics</v>
      </c>
      <c r="I1426">
        <f t="shared" si="22"/>
        <v>2736</v>
      </c>
      <c r="J1426" s="2">
        <f>VLOOKUP(B1426,Orders!A:C,3,FALSE)</f>
        <v>46136</v>
      </c>
      <c r="K1426" s="1" t="str">
        <f>VLOOKUP(B1426,Orders!A:B,2,FALSE)</f>
        <v>C0109</v>
      </c>
    </row>
    <row r="1427" spans="1:11" x14ac:dyDescent="0.3">
      <c r="A1427" s="1" t="s">
        <v>3438</v>
      </c>
      <c r="B1427" s="1" t="s">
        <v>3439</v>
      </c>
      <c r="C1427" s="1" t="s">
        <v>1197</v>
      </c>
      <c r="D1427" s="1">
        <v>1</v>
      </c>
      <c r="E1427" s="1">
        <v>0</v>
      </c>
      <c r="F1427" s="1" t="b">
        <v>0</v>
      </c>
      <c r="G1427">
        <f>VLOOKUP(C1427,Products!A:D,4,FALSE)</f>
        <v>2050</v>
      </c>
      <c r="H1427" t="str">
        <f>VLOOKUP(C1427,Products!A:D,3,FALSE)</f>
        <v>Apparel</v>
      </c>
      <c r="I1427">
        <f t="shared" si="22"/>
        <v>2050</v>
      </c>
      <c r="J1427" s="2">
        <f>VLOOKUP(B1427,Orders!A:C,3,FALSE)</f>
        <v>46130</v>
      </c>
      <c r="K1427" s="1" t="str">
        <f>VLOOKUP(B1427,Orders!A:B,2,FALSE)</f>
        <v>C0022</v>
      </c>
    </row>
    <row r="1428" spans="1:11" x14ac:dyDescent="0.3">
      <c r="A1428" s="1" t="s">
        <v>3440</v>
      </c>
      <c r="B1428" s="1" t="s">
        <v>3439</v>
      </c>
      <c r="C1428" s="1" t="s">
        <v>1143</v>
      </c>
      <c r="D1428" s="1">
        <v>5</v>
      </c>
      <c r="E1428" s="1">
        <v>0</v>
      </c>
      <c r="F1428" s="1" t="b">
        <v>0</v>
      </c>
      <c r="G1428">
        <f>VLOOKUP(C1428,Products!A:D,4,FALSE)</f>
        <v>2230</v>
      </c>
      <c r="H1428" t="str">
        <f>VLOOKUP(C1428,Products!A:D,3,FALSE)</f>
        <v>Home &amp; Kitchen</v>
      </c>
      <c r="I1428">
        <f t="shared" si="22"/>
        <v>11150</v>
      </c>
      <c r="J1428" s="2">
        <f>VLOOKUP(B1428,Orders!A:C,3,FALSE)</f>
        <v>46130</v>
      </c>
      <c r="K1428" s="1" t="str">
        <f>VLOOKUP(B1428,Orders!A:B,2,FALSE)</f>
        <v>C0022</v>
      </c>
    </row>
    <row r="1429" spans="1:11" x14ac:dyDescent="0.3">
      <c r="A1429" s="1" t="s">
        <v>3441</v>
      </c>
      <c r="B1429" s="1" t="s">
        <v>3439</v>
      </c>
      <c r="C1429" s="1" t="s">
        <v>1294</v>
      </c>
      <c r="D1429" s="1">
        <v>1</v>
      </c>
      <c r="E1429" s="1">
        <v>0.05</v>
      </c>
      <c r="F1429" s="1" t="b">
        <v>0</v>
      </c>
      <c r="G1429">
        <f>VLOOKUP(C1429,Products!A:D,4,FALSE)</f>
        <v>210</v>
      </c>
      <c r="H1429" t="str">
        <f>VLOOKUP(C1429,Products!A:D,3,FALSE)</f>
        <v>Electronics</v>
      </c>
      <c r="I1429">
        <f t="shared" si="22"/>
        <v>199.5</v>
      </c>
      <c r="J1429" s="2">
        <f>VLOOKUP(B1429,Orders!A:C,3,FALSE)</f>
        <v>46130</v>
      </c>
      <c r="K1429" s="1" t="str">
        <f>VLOOKUP(B1429,Orders!A:B,2,FALSE)</f>
        <v>C0022</v>
      </c>
    </row>
    <row r="1430" spans="1:11" x14ac:dyDescent="0.3">
      <c r="A1430" s="1" t="s">
        <v>3442</v>
      </c>
      <c r="B1430" s="1" t="s">
        <v>3443</v>
      </c>
      <c r="C1430" s="1" t="s">
        <v>1163</v>
      </c>
      <c r="D1430" s="1">
        <v>5</v>
      </c>
      <c r="E1430" s="1">
        <v>0</v>
      </c>
      <c r="F1430" s="1" t="b">
        <v>0</v>
      </c>
      <c r="G1430">
        <f>VLOOKUP(C1430,Products!A:D,4,FALSE)</f>
        <v>2180</v>
      </c>
      <c r="H1430" t="str">
        <f>VLOOKUP(C1430,Products!A:D,3,FALSE)</f>
        <v>Electronics</v>
      </c>
      <c r="I1430">
        <f t="shared" si="22"/>
        <v>10900</v>
      </c>
      <c r="J1430" s="2">
        <f>VLOOKUP(B1430,Orders!A:C,3,FALSE)</f>
        <v>46168</v>
      </c>
      <c r="K1430" s="1" t="str">
        <f>VLOOKUP(B1430,Orders!A:B,2,FALSE)</f>
        <v>C0104</v>
      </c>
    </row>
    <row r="1431" spans="1:11" x14ac:dyDescent="0.3">
      <c r="A1431" s="1" t="s">
        <v>3444</v>
      </c>
      <c r="B1431" s="1" t="s">
        <v>3443</v>
      </c>
      <c r="C1431" s="1" t="s">
        <v>1431</v>
      </c>
      <c r="D1431" s="1">
        <v>2</v>
      </c>
      <c r="E1431" s="1">
        <v>0.1</v>
      </c>
      <c r="F1431" s="1" t="b">
        <v>0</v>
      </c>
      <c r="G1431">
        <f>VLOOKUP(C1431,Products!A:D,4,FALSE)</f>
        <v>2920</v>
      </c>
      <c r="H1431" t="str">
        <f>VLOOKUP(C1431,Products!A:D,3,FALSE)</f>
        <v>Home &amp; Kitchen</v>
      </c>
      <c r="I1431">
        <f t="shared" si="22"/>
        <v>5256</v>
      </c>
      <c r="J1431" s="2">
        <f>VLOOKUP(B1431,Orders!A:C,3,FALSE)</f>
        <v>46168</v>
      </c>
      <c r="K1431" s="1" t="str">
        <f>VLOOKUP(B1431,Orders!A:B,2,FALSE)</f>
        <v>C0104</v>
      </c>
    </row>
    <row r="1432" spans="1:11" x14ac:dyDescent="0.3">
      <c r="A1432" s="1" t="s">
        <v>3445</v>
      </c>
      <c r="B1432" s="1" t="s">
        <v>3446</v>
      </c>
      <c r="C1432" s="1" t="s">
        <v>1225</v>
      </c>
      <c r="D1432" s="1">
        <v>3</v>
      </c>
      <c r="E1432" s="1">
        <v>0.15</v>
      </c>
      <c r="F1432" s="1" t="b">
        <v>0</v>
      </c>
      <c r="G1432">
        <f>VLOOKUP(C1432,Products!A:D,4,FALSE)</f>
        <v>2690</v>
      </c>
      <c r="H1432" t="str">
        <f>VLOOKUP(C1432,Products!A:D,3,FALSE)</f>
        <v>Beauty</v>
      </c>
      <c r="I1432">
        <f t="shared" si="22"/>
        <v>6859.5</v>
      </c>
      <c r="J1432" s="2">
        <f>VLOOKUP(B1432,Orders!A:C,3,FALSE)</f>
        <v>45828</v>
      </c>
      <c r="K1432" s="1" t="str">
        <f>VLOOKUP(B1432,Orders!A:B,2,FALSE)</f>
        <v>C0133</v>
      </c>
    </row>
    <row r="1433" spans="1:11" x14ac:dyDescent="0.3">
      <c r="A1433" s="1" t="s">
        <v>3447</v>
      </c>
      <c r="B1433" s="1" t="s">
        <v>3446</v>
      </c>
      <c r="C1433" s="1" t="s">
        <v>1202</v>
      </c>
      <c r="D1433" s="1">
        <v>4</v>
      </c>
      <c r="E1433" s="1">
        <v>0</v>
      </c>
      <c r="F1433" s="1" t="b">
        <v>0</v>
      </c>
      <c r="G1433">
        <f>VLOOKUP(C1433,Products!A:D,4,FALSE)</f>
        <v>530</v>
      </c>
      <c r="H1433" t="str">
        <f>VLOOKUP(C1433,Products!A:D,3,FALSE)</f>
        <v>Beauty</v>
      </c>
      <c r="I1433">
        <f t="shared" si="22"/>
        <v>2120</v>
      </c>
      <c r="J1433" s="2">
        <f>VLOOKUP(B1433,Orders!A:C,3,FALSE)</f>
        <v>45828</v>
      </c>
      <c r="K1433" s="1" t="str">
        <f>VLOOKUP(B1433,Orders!A:B,2,FALSE)</f>
        <v>C0133</v>
      </c>
    </row>
    <row r="1434" spans="1:11" x14ac:dyDescent="0.3">
      <c r="A1434" s="1" t="s">
        <v>3448</v>
      </c>
      <c r="B1434" s="1" t="s">
        <v>3449</v>
      </c>
      <c r="C1434" s="1" t="s">
        <v>1276</v>
      </c>
      <c r="D1434" s="1">
        <v>3</v>
      </c>
      <c r="E1434" s="1">
        <v>0</v>
      </c>
      <c r="F1434" s="1" t="b">
        <v>0</v>
      </c>
      <c r="G1434">
        <f>VLOOKUP(C1434,Products!A:D,4,FALSE)</f>
        <v>2010</v>
      </c>
      <c r="H1434" t="str">
        <f>VLOOKUP(C1434,Products!A:D,3,FALSE)</f>
        <v>Beauty</v>
      </c>
      <c r="I1434">
        <f t="shared" si="22"/>
        <v>6030</v>
      </c>
      <c r="J1434" s="2">
        <f>VLOOKUP(B1434,Orders!A:C,3,FALSE)</f>
        <v>46186</v>
      </c>
      <c r="K1434" s="1" t="str">
        <f>VLOOKUP(B1434,Orders!A:B,2,FALSE)</f>
        <v>C0045</v>
      </c>
    </row>
    <row r="1435" spans="1:11" x14ac:dyDescent="0.3">
      <c r="A1435" s="1" t="s">
        <v>3450</v>
      </c>
      <c r="B1435" s="1" t="s">
        <v>3451</v>
      </c>
      <c r="C1435" s="1" t="s">
        <v>1391</v>
      </c>
      <c r="D1435" s="1">
        <v>3</v>
      </c>
      <c r="E1435" s="1">
        <v>0</v>
      </c>
      <c r="F1435" s="1" t="b">
        <v>0</v>
      </c>
      <c r="G1435">
        <f>VLOOKUP(C1435,Products!A:D,4,FALSE)</f>
        <v>1900</v>
      </c>
      <c r="H1435" t="str">
        <f>VLOOKUP(C1435,Products!A:D,3,FALSE)</f>
        <v>Beauty</v>
      </c>
      <c r="I1435">
        <f t="shared" si="22"/>
        <v>5700</v>
      </c>
      <c r="J1435" s="2">
        <f>VLOOKUP(B1435,Orders!A:C,3,FALSE)</f>
        <v>46111</v>
      </c>
      <c r="K1435" s="1" t="str">
        <f>VLOOKUP(B1435,Orders!A:B,2,FALSE)</f>
        <v>C0283</v>
      </c>
    </row>
    <row r="1436" spans="1:11" x14ac:dyDescent="0.3">
      <c r="A1436" s="1" t="s">
        <v>3452</v>
      </c>
      <c r="B1436" s="1" t="s">
        <v>3453</v>
      </c>
      <c r="C1436" s="1" t="s">
        <v>1163</v>
      </c>
      <c r="D1436" s="1">
        <v>1</v>
      </c>
      <c r="E1436" s="1">
        <v>0.1</v>
      </c>
      <c r="F1436" s="1" t="b">
        <v>0</v>
      </c>
      <c r="G1436">
        <f>VLOOKUP(C1436,Products!A:D,4,FALSE)</f>
        <v>2180</v>
      </c>
      <c r="H1436" t="str">
        <f>VLOOKUP(C1436,Products!A:D,3,FALSE)</f>
        <v>Electronics</v>
      </c>
      <c r="I1436">
        <f t="shared" si="22"/>
        <v>1962</v>
      </c>
      <c r="J1436" s="2">
        <f>VLOOKUP(B1436,Orders!A:C,3,FALSE)</f>
        <v>46049</v>
      </c>
      <c r="K1436" s="1" t="str">
        <f>VLOOKUP(B1436,Orders!A:B,2,FALSE)</f>
        <v>C0267</v>
      </c>
    </row>
    <row r="1437" spans="1:11" x14ac:dyDescent="0.3">
      <c r="A1437" s="1" t="s">
        <v>3454</v>
      </c>
      <c r="B1437" s="1" t="s">
        <v>3453</v>
      </c>
      <c r="C1437" s="1" t="s">
        <v>1302</v>
      </c>
      <c r="D1437" s="1">
        <v>1</v>
      </c>
      <c r="E1437" s="1">
        <v>0</v>
      </c>
      <c r="F1437" s="1" t="b">
        <v>0</v>
      </c>
      <c r="G1437">
        <f>VLOOKUP(C1437,Products!A:D,4,FALSE)</f>
        <v>1220</v>
      </c>
      <c r="H1437" t="str">
        <f>VLOOKUP(C1437,Products!A:D,3,FALSE)</f>
        <v>Home &amp; Kitchen</v>
      </c>
      <c r="I1437">
        <f t="shared" si="22"/>
        <v>1220</v>
      </c>
      <c r="J1437" s="2">
        <f>VLOOKUP(B1437,Orders!A:C,3,FALSE)</f>
        <v>46049</v>
      </c>
      <c r="K1437" s="1" t="str">
        <f>VLOOKUP(B1437,Orders!A:B,2,FALSE)</f>
        <v>C0267</v>
      </c>
    </row>
    <row r="1438" spans="1:11" x14ac:dyDescent="0.3">
      <c r="A1438" s="1" t="s">
        <v>3455</v>
      </c>
      <c r="B1438" s="1" t="s">
        <v>3453</v>
      </c>
      <c r="C1438" s="1" t="s">
        <v>1328</v>
      </c>
      <c r="D1438" s="1">
        <v>4</v>
      </c>
      <c r="E1438" s="1">
        <v>0.1</v>
      </c>
      <c r="F1438" s="1" t="b">
        <v>0</v>
      </c>
      <c r="G1438">
        <f>VLOOKUP(C1438,Products!A:D,4,FALSE)</f>
        <v>1880</v>
      </c>
      <c r="H1438" t="str">
        <f>VLOOKUP(C1438,Products!A:D,3,FALSE)</f>
        <v>Apparel</v>
      </c>
      <c r="I1438">
        <f t="shared" si="22"/>
        <v>6768</v>
      </c>
      <c r="J1438" s="2">
        <f>VLOOKUP(B1438,Orders!A:C,3,FALSE)</f>
        <v>46049</v>
      </c>
      <c r="K1438" s="1" t="str">
        <f>VLOOKUP(B1438,Orders!A:B,2,FALSE)</f>
        <v>C0267</v>
      </c>
    </row>
    <row r="1439" spans="1:11" x14ac:dyDescent="0.3">
      <c r="A1439" s="1" t="s">
        <v>3456</v>
      </c>
      <c r="B1439" s="1" t="s">
        <v>3457</v>
      </c>
      <c r="C1439" s="1" t="s">
        <v>1135</v>
      </c>
      <c r="D1439" s="1">
        <v>4</v>
      </c>
      <c r="E1439" s="1">
        <v>0.1</v>
      </c>
      <c r="F1439" s="1" t="b">
        <v>0</v>
      </c>
      <c r="G1439">
        <f>VLOOKUP(C1439,Products!A:D,4,FALSE)</f>
        <v>470</v>
      </c>
      <c r="H1439" t="str">
        <f>VLOOKUP(C1439,Products!A:D,3,FALSE)</f>
        <v>Apparel</v>
      </c>
      <c r="I1439">
        <f t="shared" si="22"/>
        <v>1692</v>
      </c>
      <c r="J1439" s="2">
        <f>VLOOKUP(B1439,Orders!A:C,3,FALSE)</f>
        <v>46231</v>
      </c>
      <c r="K1439" s="1" t="str">
        <f>VLOOKUP(B1439,Orders!A:B,2,FALSE)</f>
        <v>C0009</v>
      </c>
    </row>
    <row r="1440" spans="1:11" x14ac:dyDescent="0.3">
      <c r="A1440" s="1" t="s">
        <v>3458</v>
      </c>
      <c r="B1440" s="1" t="s">
        <v>3457</v>
      </c>
      <c r="C1440" s="1" t="s">
        <v>1602</v>
      </c>
      <c r="D1440" s="1">
        <v>1</v>
      </c>
      <c r="E1440" s="1">
        <v>0.1</v>
      </c>
      <c r="F1440" s="1" t="b">
        <v>0</v>
      </c>
      <c r="G1440">
        <f>VLOOKUP(C1440,Products!A:D,4,FALSE)</f>
        <v>1240</v>
      </c>
      <c r="H1440" t="str">
        <f>VLOOKUP(C1440,Products!A:D,3,FALSE)</f>
        <v>Apparel</v>
      </c>
      <c r="I1440">
        <f t="shared" si="22"/>
        <v>1116</v>
      </c>
      <c r="J1440" s="2">
        <f>VLOOKUP(B1440,Orders!A:C,3,FALSE)</f>
        <v>46231</v>
      </c>
      <c r="K1440" s="1" t="str">
        <f>VLOOKUP(B1440,Orders!A:B,2,FALSE)</f>
        <v>C0009</v>
      </c>
    </row>
    <row r="1441" spans="1:11" x14ac:dyDescent="0.3">
      <c r="A1441" s="1" t="s">
        <v>3459</v>
      </c>
      <c r="B1441" s="1" t="s">
        <v>3457</v>
      </c>
      <c r="C1441" s="1" t="s">
        <v>1249</v>
      </c>
      <c r="D1441" s="1">
        <v>4</v>
      </c>
      <c r="E1441" s="1">
        <v>0.15</v>
      </c>
      <c r="F1441" s="1" t="b">
        <v>0</v>
      </c>
      <c r="G1441">
        <f>VLOOKUP(C1441,Products!A:D,4,FALSE)</f>
        <v>3630</v>
      </c>
      <c r="H1441" t="str">
        <f>VLOOKUP(C1441,Products!A:D,3,FALSE)</f>
        <v>Electronics</v>
      </c>
      <c r="I1441">
        <f t="shared" si="22"/>
        <v>12342</v>
      </c>
      <c r="J1441" s="2">
        <f>VLOOKUP(B1441,Orders!A:C,3,FALSE)</f>
        <v>46231</v>
      </c>
      <c r="K1441" s="1" t="str">
        <f>VLOOKUP(B1441,Orders!A:B,2,FALSE)</f>
        <v>C0009</v>
      </c>
    </row>
    <row r="1442" spans="1:11" x14ac:dyDescent="0.3">
      <c r="A1442" s="1" t="s">
        <v>3460</v>
      </c>
      <c r="B1442" s="1" t="s">
        <v>3461</v>
      </c>
      <c r="C1442" s="1" t="s">
        <v>1247</v>
      </c>
      <c r="D1442" s="1">
        <v>5</v>
      </c>
      <c r="E1442" s="1">
        <v>0</v>
      </c>
      <c r="F1442" s="1" t="b">
        <v>0</v>
      </c>
      <c r="G1442">
        <f>VLOOKUP(C1442,Products!A:D,4,FALSE)</f>
        <v>2210</v>
      </c>
      <c r="H1442" t="str">
        <f>VLOOKUP(C1442,Products!A:D,3,FALSE)</f>
        <v>Beauty</v>
      </c>
      <c r="I1442">
        <f t="shared" si="22"/>
        <v>11050</v>
      </c>
      <c r="J1442" s="2">
        <f>VLOOKUP(B1442,Orders!A:C,3,FALSE)</f>
        <v>46060</v>
      </c>
      <c r="K1442" s="1" t="str">
        <f>VLOOKUP(B1442,Orders!A:B,2,FALSE)</f>
        <v>C0058</v>
      </c>
    </row>
    <row r="1443" spans="1:11" x14ac:dyDescent="0.3">
      <c r="A1443" s="1" t="s">
        <v>3462</v>
      </c>
      <c r="B1443" s="1" t="s">
        <v>3463</v>
      </c>
      <c r="C1443" s="1" t="s">
        <v>1146</v>
      </c>
      <c r="D1443" s="1">
        <v>1</v>
      </c>
      <c r="E1443" s="1">
        <v>0.05</v>
      </c>
      <c r="F1443" s="1" t="b">
        <v>0</v>
      </c>
      <c r="G1443">
        <f>VLOOKUP(C1443,Products!A:D,4,FALSE)</f>
        <v>1630</v>
      </c>
      <c r="H1443" t="str">
        <f>VLOOKUP(C1443,Products!A:D,3,FALSE)</f>
        <v>Beauty</v>
      </c>
      <c r="I1443">
        <f t="shared" si="22"/>
        <v>1548.5</v>
      </c>
      <c r="J1443" s="2">
        <f>VLOOKUP(B1443,Orders!A:C,3,FALSE)</f>
        <v>45898</v>
      </c>
      <c r="K1443" s="1" t="str">
        <f>VLOOKUP(B1443,Orders!A:B,2,FALSE)</f>
        <v>C0291</v>
      </c>
    </row>
    <row r="1444" spans="1:11" x14ac:dyDescent="0.3">
      <c r="A1444" s="1" t="s">
        <v>3464</v>
      </c>
      <c r="B1444" s="1" t="s">
        <v>3465</v>
      </c>
      <c r="C1444" s="1" t="s">
        <v>1149</v>
      </c>
      <c r="D1444" s="1">
        <v>4</v>
      </c>
      <c r="E1444" s="1">
        <v>0</v>
      </c>
      <c r="F1444" s="1" t="b">
        <v>0</v>
      </c>
      <c r="G1444">
        <f>VLOOKUP(C1444,Products!A:D,4,FALSE)</f>
        <v>1150</v>
      </c>
      <c r="H1444" t="str">
        <f>VLOOKUP(C1444,Products!A:D,3,FALSE)</f>
        <v>Apparel</v>
      </c>
      <c r="I1444">
        <f t="shared" si="22"/>
        <v>4600</v>
      </c>
      <c r="J1444" s="2">
        <f>VLOOKUP(B1444,Orders!A:C,3,FALSE)</f>
        <v>46134</v>
      </c>
      <c r="K1444" s="1" t="str">
        <f>VLOOKUP(B1444,Orders!A:B,2,FALSE)</f>
        <v>C0055</v>
      </c>
    </row>
    <row r="1445" spans="1:11" x14ac:dyDescent="0.3">
      <c r="A1445" s="1" t="s">
        <v>3466</v>
      </c>
      <c r="B1445" s="1" t="s">
        <v>3467</v>
      </c>
      <c r="C1445" s="1" t="s">
        <v>1288</v>
      </c>
      <c r="D1445" s="1">
        <v>3</v>
      </c>
      <c r="E1445" s="1">
        <v>0.15</v>
      </c>
      <c r="F1445" s="1" t="b">
        <v>0</v>
      </c>
      <c r="G1445">
        <f>VLOOKUP(C1445,Products!A:D,4,FALSE)</f>
        <v>2580</v>
      </c>
      <c r="H1445" t="str">
        <f>VLOOKUP(C1445,Products!A:D,3,FALSE)</f>
        <v>Beauty</v>
      </c>
      <c r="I1445">
        <f t="shared" si="22"/>
        <v>6579</v>
      </c>
      <c r="J1445" s="2">
        <f>VLOOKUP(B1445,Orders!A:C,3,FALSE)</f>
        <v>46049</v>
      </c>
      <c r="K1445" s="1" t="str">
        <f>VLOOKUP(B1445,Orders!A:B,2,FALSE)</f>
        <v>C0147</v>
      </c>
    </row>
    <row r="1446" spans="1:11" x14ac:dyDescent="0.3">
      <c r="A1446" s="1" t="s">
        <v>3468</v>
      </c>
      <c r="B1446" s="1" t="s">
        <v>3469</v>
      </c>
      <c r="C1446" s="1" t="s">
        <v>1204</v>
      </c>
      <c r="D1446" s="1">
        <v>2</v>
      </c>
      <c r="E1446" s="1">
        <v>0</v>
      </c>
      <c r="F1446" s="1" t="b">
        <v>0</v>
      </c>
      <c r="G1446">
        <f>VLOOKUP(C1446,Products!A:D,4,FALSE)</f>
        <v>940</v>
      </c>
      <c r="H1446" t="str">
        <f>VLOOKUP(C1446,Products!A:D,3,FALSE)</f>
        <v>Apparel</v>
      </c>
      <c r="I1446">
        <f t="shared" si="22"/>
        <v>1880</v>
      </c>
      <c r="J1446" s="2">
        <f>VLOOKUP(B1446,Orders!A:C,3,FALSE)</f>
        <v>45777</v>
      </c>
      <c r="K1446" s="1" t="str">
        <f>VLOOKUP(B1446,Orders!A:B,2,FALSE)</f>
        <v>C0211</v>
      </c>
    </row>
    <row r="1447" spans="1:11" x14ac:dyDescent="0.3">
      <c r="A1447" s="1" t="s">
        <v>3470</v>
      </c>
      <c r="B1447" s="1" t="s">
        <v>3469</v>
      </c>
      <c r="C1447" s="1" t="s">
        <v>1137</v>
      </c>
      <c r="D1447" s="1">
        <v>3</v>
      </c>
      <c r="E1447" s="1">
        <v>0.2</v>
      </c>
      <c r="F1447" s="1" t="b">
        <v>0</v>
      </c>
      <c r="G1447">
        <f>VLOOKUP(C1447,Products!A:D,4,FALSE)</f>
        <v>1910</v>
      </c>
      <c r="H1447" t="str">
        <f>VLOOKUP(C1447,Products!A:D,3,FALSE)</f>
        <v>Apparel</v>
      </c>
      <c r="I1447">
        <f t="shared" si="22"/>
        <v>4584</v>
      </c>
      <c r="J1447" s="2">
        <f>VLOOKUP(B1447,Orders!A:C,3,FALSE)</f>
        <v>45777</v>
      </c>
      <c r="K1447" s="1" t="str">
        <f>VLOOKUP(B1447,Orders!A:B,2,FALSE)</f>
        <v>C0211</v>
      </c>
    </row>
    <row r="1448" spans="1:11" x14ac:dyDescent="0.3">
      <c r="A1448" s="1" t="s">
        <v>3471</v>
      </c>
      <c r="B1448" s="1" t="s">
        <v>3469</v>
      </c>
      <c r="C1448" s="1" t="s">
        <v>1299</v>
      </c>
      <c r="D1448" s="1">
        <v>2</v>
      </c>
      <c r="E1448" s="1">
        <v>0.05</v>
      </c>
      <c r="F1448" s="1" t="b">
        <v>0</v>
      </c>
      <c r="G1448">
        <f>VLOOKUP(C1448,Products!A:D,4,FALSE)</f>
        <v>1080</v>
      </c>
      <c r="H1448" t="str">
        <f>VLOOKUP(C1448,Products!A:D,3,FALSE)</f>
        <v>Beauty</v>
      </c>
      <c r="I1448">
        <f t="shared" si="22"/>
        <v>2052</v>
      </c>
      <c r="J1448" s="2">
        <f>VLOOKUP(B1448,Orders!A:C,3,FALSE)</f>
        <v>45777</v>
      </c>
      <c r="K1448" s="1" t="str">
        <f>VLOOKUP(B1448,Orders!A:B,2,FALSE)</f>
        <v>C0211</v>
      </c>
    </row>
    <row r="1449" spans="1:11" x14ac:dyDescent="0.3">
      <c r="A1449" s="1" t="s">
        <v>3472</v>
      </c>
      <c r="B1449" s="1" t="s">
        <v>3473</v>
      </c>
      <c r="C1449" s="1" t="s">
        <v>1393</v>
      </c>
      <c r="D1449" s="1">
        <v>3</v>
      </c>
      <c r="E1449" s="1">
        <v>0.05</v>
      </c>
      <c r="F1449" s="1" t="b">
        <v>0</v>
      </c>
      <c r="G1449">
        <f>VLOOKUP(C1449,Products!A:D,4,FALSE)</f>
        <v>1520</v>
      </c>
      <c r="H1449" t="str">
        <f>VLOOKUP(C1449,Products!A:D,3,FALSE)</f>
        <v>Electronics</v>
      </c>
      <c r="I1449">
        <f t="shared" si="22"/>
        <v>4332</v>
      </c>
      <c r="J1449" s="2">
        <f>VLOOKUP(B1449,Orders!A:C,3,FALSE)</f>
        <v>45764</v>
      </c>
      <c r="K1449" s="1" t="str">
        <f>VLOOKUP(B1449,Orders!A:B,2,FALSE)</f>
        <v>C0293</v>
      </c>
    </row>
    <row r="1450" spans="1:11" x14ac:dyDescent="0.3">
      <c r="A1450" s="1" t="s">
        <v>3474</v>
      </c>
      <c r="B1450" s="1" t="s">
        <v>3473</v>
      </c>
      <c r="C1450" s="1" t="s">
        <v>1333</v>
      </c>
      <c r="D1450" s="1">
        <v>3</v>
      </c>
      <c r="E1450" s="1">
        <v>0</v>
      </c>
      <c r="F1450" s="1" t="b">
        <v>1</v>
      </c>
      <c r="G1450">
        <f>VLOOKUP(C1450,Products!A:D,4,FALSE)</f>
        <v>1440</v>
      </c>
      <c r="H1450" t="str">
        <f>VLOOKUP(C1450,Products!A:D,3,FALSE)</f>
        <v>Home &amp; Kitchen</v>
      </c>
      <c r="I1450">
        <f t="shared" si="22"/>
        <v>4320</v>
      </c>
      <c r="J1450" s="2">
        <f>VLOOKUP(B1450,Orders!A:C,3,FALSE)</f>
        <v>45764</v>
      </c>
      <c r="K1450" s="1" t="str">
        <f>VLOOKUP(B1450,Orders!A:B,2,FALSE)</f>
        <v>C0293</v>
      </c>
    </row>
    <row r="1451" spans="1:11" x14ac:dyDescent="0.3">
      <c r="A1451" s="1" t="s">
        <v>3475</v>
      </c>
      <c r="B1451" s="1" t="s">
        <v>3473</v>
      </c>
      <c r="C1451" s="1" t="s">
        <v>1644</v>
      </c>
      <c r="D1451" s="1">
        <v>4</v>
      </c>
      <c r="E1451" s="1">
        <v>0</v>
      </c>
      <c r="F1451" s="1" t="b">
        <v>0</v>
      </c>
      <c r="G1451">
        <f>VLOOKUP(C1451,Products!A:D,4,FALSE)</f>
        <v>1930</v>
      </c>
      <c r="H1451" t="str">
        <f>VLOOKUP(C1451,Products!A:D,3,FALSE)</f>
        <v>Home &amp; Kitchen</v>
      </c>
      <c r="I1451">
        <f t="shared" si="22"/>
        <v>7720</v>
      </c>
      <c r="J1451" s="2">
        <f>VLOOKUP(B1451,Orders!A:C,3,FALSE)</f>
        <v>45764</v>
      </c>
      <c r="K1451" s="1" t="str">
        <f>VLOOKUP(B1451,Orders!A:B,2,FALSE)</f>
        <v>C0293</v>
      </c>
    </row>
    <row r="1452" spans="1:11" x14ac:dyDescent="0.3">
      <c r="A1452" s="1" t="s">
        <v>3476</v>
      </c>
      <c r="B1452" s="1" t="s">
        <v>3473</v>
      </c>
      <c r="C1452" s="1" t="s">
        <v>1278</v>
      </c>
      <c r="D1452" s="1">
        <v>5</v>
      </c>
      <c r="E1452" s="1">
        <v>0.1</v>
      </c>
      <c r="F1452" s="1" t="b">
        <v>0</v>
      </c>
      <c r="G1452">
        <f>VLOOKUP(C1452,Products!A:D,4,FALSE)</f>
        <v>330</v>
      </c>
      <c r="H1452" t="str">
        <f>VLOOKUP(C1452,Products!A:D,3,FALSE)</f>
        <v>Books</v>
      </c>
      <c r="I1452">
        <f t="shared" si="22"/>
        <v>1485</v>
      </c>
      <c r="J1452" s="2">
        <f>VLOOKUP(B1452,Orders!A:C,3,FALSE)</f>
        <v>45764</v>
      </c>
      <c r="K1452" s="1" t="str">
        <f>VLOOKUP(B1452,Orders!A:B,2,FALSE)</f>
        <v>C0293</v>
      </c>
    </row>
    <row r="1453" spans="1:11" x14ac:dyDescent="0.3">
      <c r="A1453" s="1" t="s">
        <v>3477</v>
      </c>
      <c r="B1453" s="1" t="s">
        <v>3478</v>
      </c>
      <c r="C1453" s="1" t="s">
        <v>1184</v>
      </c>
      <c r="D1453" s="1">
        <v>2</v>
      </c>
      <c r="E1453" s="1">
        <v>0.15</v>
      </c>
      <c r="F1453" s="1" t="b">
        <v>0</v>
      </c>
      <c r="G1453">
        <f>VLOOKUP(C1453,Products!A:D,4,FALSE)</f>
        <v>2230</v>
      </c>
      <c r="H1453" t="str">
        <f>VLOOKUP(C1453,Products!A:D,3,FALSE)</f>
        <v>Sports</v>
      </c>
      <c r="I1453">
        <f t="shared" si="22"/>
        <v>3791</v>
      </c>
      <c r="J1453" s="2">
        <f>VLOOKUP(B1453,Orders!A:C,3,FALSE)</f>
        <v>46156</v>
      </c>
      <c r="K1453" s="1" t="str">
        <f>VLOOKUP(B1453,Orders!A:B,2,FALSE)</f>
        <v>C0089</v>
      </c>
    </row>
    <row r="1454" spans="1:11" x14ac:dyDescent="0.3">
      <c r="A1454" s="1" t="s">
        <v>3479</v>
      </c>
      <c r="B1454" s="1" t="s">
        <v>3480</v>
      </c>
      <c r="C1454" s="1" t="s">
        <v>1333</v>
      </c>
      <c r="D1454" s="1">
        <v>5</v>
      </c>
      <c r="E1454" s="1">
        <v>0</v>
      </c>
      <c r="F1454" s="1" t="b">
        <v>0</v>
      </c>
      <c r="G1454">
        <f>VLOOKUP(C1454,Products!A:D,4,FALSE)</f>
        <v>1440</v>
      </c>
      <c r="H1454" t="str">
        <f>VLOOKUP(C1454,Products!A:D,3,FALSE)</f>
        <v>Home &amp; Kitchen</v>
      </c>
      <c r="I1454">
        <f t="shared" si="22"/>
        <v>7200</v>
      </c>
      <c r="J1454" s="2">
        <f>VLOOKUP(B1454,Orders!A:C,3,FALSE)</f>
        <v>45924</v>
      </c>
      <c r="K1454" s="1" t="str">
        <f>VLOOKUP(B1454,Orders!A:B,2,FALSE)</f>
        <v>C0206</v>
      </c>
    </row>
    <row r="1455" spans="1:11" x14ac:dyDescent="0.3">
      <c r="A1455" s="1" t="s">
        <v>3481</v>
      </c>
      <c r="B1455" s="1" t="s">
        <v>3480</v>
      </c>
      <c r="C1455" s="1" t="s">
        <v>1656</v>
      </c>
      <c r="D1455" s="1">
        <v>5</v>
      </c>
      <c r="E1455" s="1">
        <v>0</v>
      </c>
      <c r="F1455" s="1" t="b">
        <v>0</v>
      </c>
      <c r="G1455">
        <f>VLOOKUP(C1455,Products!A:D,4,FALSE)</f>
        <v>1240</v>
      </c>
      <c r="H1455" t="str">
        <f>VLOOKUP(C1455,Products!A:D,3,FALSE)</f>
        <v>Beauty</v>
      </c>
      <c r="I1455">
        <f t="shared" si="22"/>
        <v>6200</v>
      </c>
      <c r="J1455" s="2">
        <f>VLOOKUP(B1455,Orders!A:C,3,FALSE)</f>
        <v>45924</v>
      </c>
      <c r="K1455" s="1" t="str">
        <f>VLOOKUP(B1455,Orders!A:B,2,FALSE)</f>
        <v>C0206</v>
      </c>
    </row>
    <row r="1456" spans="1:11" x14ac:dyDescent="0.3">
      <c r="A1456" s="1" t="s">
        <v>3482</v>
      </c>
      <c r="B1456" s="1" t="s">
        <v>3483</v>
      </c>
      <c r="C1456" s="1" t="s">
        <v>1330</v>
      </c>
      <c r="D1456" s="1">
        <v>3</v>
      </c>
      <c r="E1456" s="1">
        <v>0.1</v>
      </c>
      <c r="F1456" s="1" t="b">
        <v>0</v>
      </c>
      <c r="G1456">
        <f>VLOOKUP(C1456,Products!A:D,4,FALSE)</f>
        <v>580</v>
      </c>
      <c r="H1456" t="str">
        <f>VLOOKUP(C1456,Products!A:D,3,FALSE)</f>
        <v>Books</v>
      </c>
      <c r="I1456">
        <f t="shared" si="22"/>
        <v>1566</v>
      </c>
      <c r="J1456" s="2">
        <f>VLOOKUP(B1456,Orders!A:C,3,FALSE)</f>
        <v>46181</v>
      </c>
      <c r="K1456" s="1" t="str">
        <f>VLOOKUP(B1456,Orders!A:B,2,FALSE)</f>
        <v>C0122</v>
      </c>
    </row>
    <row r="1457" spans="1:11" x14ac:dyDescent="0.3">
      <c r="A1457" s="1" t="s">
        <v>3484</v>
      </c>
      <c r="B1457" s="1" t="s">
        <v>3483</v>
      </c>
      <c r="C1457" s="1" t="s">
        <v>1168</v>
      </c>
      <c r="D1457" s="1">
        <v>5</v>
      </c>
      <c r="E1457" s="1">
        <v>0.15</v>
      </c>
      <c r="F1457" s="1" t="b">
        <v>0</v>
      </c>
      <c r="G1457">
        <f>VLOOKUP(C1457,Products!A:D,4,FALSE)</f>
        <v>1440</v>
      </c>
      <c r="H1457" t="str">
        <f>VLOOKUP(C1457,Products!A:D,3,FALSE)</f>
        <v>Sports</v>
      </c>
      <c r="I1457">
        <f t="shared" si="22"/>
        <v>6120</v>
      </c>
      <c r="J1457" s="2">
        <f>VLOOKUP(B1457,Orders!A:C,3,FALSE)</f>
        <v>46181</v>
      </c>
      <c r="K1457" s="1" t="str">
        <f>VLOOKUP(B1457,Orders!A:B,2,FALSE)</f>
        <v>C0122</v>
      </c>
    </row>
    <row r="1458" spans="1:11" x14ac:dyDescent="0.3">
      <c r="A1458" s="1" t="s">
        <v>3485</v>
      </c>
      <c r="B1458" s="1" t="s">
        <v>3486</v>
      </c>
      <c r="C1458" s="1" t="s">
        <v>1149</v>
      </c>
      <c r="D1458" s="1">
        <v>1</v>
      </c>
      <c r="E1458" s="1">
        <v>0.15</v>
      </c>
      <c r="F1458" s="1" t="b">
        <v>0</v>
      </c>
      <c r="G1458">
        <f>VLOOKUP(C1458,Products!A:D,4,FALSE)</f>
        <v>1150</v>
      </c>
      <c r="H1458" t="str">
        <f>VLOOKUP(C1458,Products!A:D,3,FALSE)</f>
        <v>Apparel</v>
      </c>
      <c r="I1458">
        <f t="shared" si="22"/>
        <v>977.5</v>
      </c>
      <c r="J1458" s="2">
        <f>VLOOKUP(B1458,Orders!A:C,3,FALSE)</f>
        <v>45962</v>
      </c>
      <c r="K1458" s="1" t="str">
        <f>VLOOKUP(B1458,Orders!A:B,2,FALSE)</f>
        <v>C0244</v>
      </c>
    </row>
    <row r="1459" spans="1:11" x14ac:dyDescent="0.3">
      <c r="A1459" s="1" t="s">
        <v>3487</v>
      </c>
      <c r="B1459" s="1" t="s">
        <v>3486</v>
      </c>
      <c r="C1459" s="1" t="s">
        <v>1143</v>
      </c>
      <c r="D1459" s="1">
        <v>5</v>
      </c>
      <c r="E1459" s="1">
        <v>0</v>
      </c>
      <c r="F1459" s="1" t="b">
        <v>0</v>
      </c>
      <c r="G1459">
        <f>VLOOKUP(C1459,Products!A:D,4,FALSE)</f>
        <v>2230</v>
      </c>
      <c r="H1459" t="str">
        <f>VLOOKUP(C1459,Products!A:D,3,FALSE)</f>
        <v>Home &amp; Kitchen</v>
      </c>
      <c r="I1459">
        <f t="shared" si="22"/>
        <v>11150</v>
      </c>
      <c r="J1459" s="2">
        <f>VLOOKUP(B1459,Orders!A:C,3,FALSE)</f>
        <v>45962</v>
      </c>
      <c r="K1459" s="1" t="str">
        <f>VLOOKUP(B1459,Orders!A:B,2,FALSE)</f>
        <v>C0244</v>
      </c>
    </row>
    <row r="1460" spans="1:11" x14ac:dyDescent="0.3">
      <c r="A1460" s="1" t="s">
        <v>3488</v>
      </c>
      <c r="B1460" s="1" t="s">
        <v>3489</v>
      </c>
      <c r="C1460" s="1" t="s">
        <v>1123</v>
      </c>
      <c r="D1460" s="1">
        <v>1</v>
      </c>
      <c r="E1460" s="1">
        <v>0.05</v>
      </c>
      <c r="F1460" s="1" t="b">
        <v>0</v>
      </c>
      <c r="G1460">
        <f>VLOOKUP(C1460,Products!A:D,4,FALSE)</f>
        <v>2200</v>
      </c>
      <c r="H1460" t="str">
        <f>VLOOKUP(C1460,Products!A:D,3,FALSE)</f>
        <v>Electronics</v>
      </c>
      <c r="I1460">
        <f t="shared" si="22"/>
        <v>2090</v>
      </c>
      <c r="J1460" s="2">
        <f>VLOOKUP(B1460,Orders!A:C,3,FALSE)</f>
        <v>46209</v>
      </c>
      <c r="K1460" s="1" t="str">
        <f>VLOOKUP(B1460,Orders!A:B,2,FALSE)</f>
        <v>C0011</v>
      </c>
    </row>
    <row r="1461" spans="1:11" x14ac:dyDescent="0.3">
      <c r="A1461" s="1" t="s">
        <v>3490</v>
      </c>
      <c r="B1461" s="1" t="s">
        <v>3489</v>
      </c>
      <c r="C1461" s="1" t="s">
        <v>1118</v>
      </c>
      <c r="D1461" s="1">
        <v>3</v>
      </c>
      <c r="E1461" s="1">
        <v>0.05</v>
      </c>
      <c r="F1461" s="1" t="b">
        <v>0</v>
      </c>
      <c r="G1461">
        <f>VLOOKUP(C1461,Products!A:D,4,FALSE)</f>
        <v>5550</v>
      </c>
      <c r="H1461" t="str">
        <f>VLOOKUP(C1461,Products!A:D,3,FALSE)</f>
        <v>Home &amp; Kitchen</v>
      </c>
      <c r="I1461">
        <f t="shared" si="22"/>
        <v>15817.5</v>
      </c>
      <c r="J1461" s="2">
        <f>VLOOKUP(B1461,Orders!A:C,3,FALSE)</f>
        <v>46209</v>
      </c>
      <c r="K1461" s="1" t="str">
        <f>VLOOKUP(B1461,Orders!A:B,2,FALSE)</f>
        <v>C0011</v>
      </c>
    </row>
    <row r="1462" spans="1:11" x14ac:dyDescent="0.3">
      <c r="A1462" s="1" t="s">
        <v>3491</v>
      </c>
      <c r="B1462" s="1" t="s">
        <v>3492</v>
      </c>
      <c r="C1462" s="1" t="s">
        <v>1290</v>
      </c>
      <c r="D1462" s="1">
        <v>3</v>
      </c>
      <c r="E1462" s="1">
        <v>0</v>
      </c>
      <c r="F1462" s="1" t="b">
        <v>0</v>
      </c>
      <c r="G1462">
        <f>VLOOKUP(C1462,Products!A:D,4,FALSE)</f>
        <v>990</v>
      </c>
      <c r="H1462" t="str">
        <f>VLOOKUP(C1462,Products!A:D,3,FALSE)</f>
        <v>Books</v>
      </c>
      <c r="I1462">
        <f t="shared" si="22"/>
        <v>2970</v>
      </c>
      <c r="J1462" s="2">
        <f>VLOOKUP(B1462,Orders!A:C,3,FALSE)</f>
        <v>46210</v>
      </c>
      <c r="K1462" s="1" t="str">
        <f>VLOOKUP(B1462,Orders!A:B,2,FALSE)</f>
        <v>C0160</v>
      </c>
    </row>
    <row r="1463" spans="1:11" x14ac:dyDescent="0.3">
      <c r="A1463" s="1" t="s">
        <v>3493</v>
      </c>
      <c r="B1463" s="1" t="s">
        <v>3492</v>
      </c>
      <c r="C1463" s="1" t="s">
        <v>1160</v>
      </c>
      <c r="D1463" s="1">
        <v>4</v>
      </c>
      <c r="E1463" s="1">
        <v>0.05</v>
      </c>
      <c r="F1463" s="1" t="b">
        <v>0</v>
      </c>
      <c r="G1463">
        <f>VLOOKUP(C1463,Products!A:D,4,FALSE)</f>
        <v>1710</v>
      </c>
      <c r="H1463" t="str">
        <f>VLOOKUP(C1463,Products!A:D,3,FALSE)</f>
        <v>Home &amp; Kitchen</v>
      </c>
      <c r="I1463">
        <f t="shared" si="22"/>
        <v>6498</v>
      </c>
      <c r="J1463" s="2">
        <f>VLOOKUP(B1463,Orders!A:C,3,FALSE)</f>
        <v>46210</v>
      </c>
      <c r="K1463" s="1" t="str">
        <f>VLOOKUP(B1463,Orders!A:B,2,FALSE)</f>
        <v>C0160</v>
      </c>
    </row>
    <row r="1464" spans="1:11" x14ac:dyDescent="0.3">
      <c r="A1464" s="1" t="s">
        <v>3494</v>
      </c>
      <c r="B1464" s="1" t="s">
        <v>3492</v>
      </c>
      <c r="C1464" s="1" t="s">
        <v>1174</v>
      </c>
      <c r="D1464" s="1">
        <v>5</v>
      </c>
      <c r="E1464" s="1">
        <v>0.2</v>
      </c>
      <c r="F1464" s="1" t="b">
        <v>0</v>
      </c>
      <c r="G1464">
        <f>VLOOKUP(C1464,Products!A:D,4,FALSE)</f>
        <v>1250</v>
      </c>
      <c r="H1464" t="str">
        <f>VLOOKUP(C1464,Products!A:D,3,FALSE)</f>
        <v>Sports</v>
      </c>
      <c r="I1464">
        <f t="shared" si="22"/>
        <v>5000</v>
      </c>
      <c r="J1464" s="2">
        <f>VLOOKUP(B1464,Orders!A:C,3,FALSE)</f>
        <v>46210</v>
      </c>
      <c r="K1464" s="1" t="str">
        <f>VLOOKUP(B1464,Orders!A:B,2,FALSE)</f>
        <v>C0160</v>
      </c>
    </row>
    <row r="1465" spans="1:11" x14ac:dyDescent="0.3">
      <c r="A1465" s="1" t="s">
        <v>3495</v>
      </c>
      <c r="B1465" s="1" t="s">
        <v>3496</v>
      </c>
      <c r="C1465" s="1" t="s">
        <v>1299</v>
      </c>
      <c r="D1465" s="1">
        <v>1</v>
      </c>
      <c r="E1465" s="1">
        <v>0</v>
      </c>
      <c r="F1465" s="1" t="b">
        <v>0</v>
      </c>
      <c r="G1465">
        <f>VLOOKUP(C1465,Products!A:D,4,FALSE)</f>
        <v>1080</v>
      </c>
      <c r="H1465" t="str">
        <f>VLOOKUP(C1465,Products!A:D,3,FALSE)</f>
        <v>Beauty</v>
      </c>
      <c r="I1465">
        <f t="shared" si="22"/>
        <v>1080</v>
      </c>
      <c r="J1465" s="2">
        <f>VLOOKUP(B1465,Orders!A:C,3,FALSE)</f>
        <v>45858</v>
      </c>
      <c r="K1465" s="1" t="str">
        <f>VLOOKUP(B1465,Orders!A:B,2,FALSE)</f>
        <v>C0051</v>
      </c>
    </row>
    <row r="1466" spans="1:11" x14ac:dyDescent="0.3">
      <c r="A1466" s="1" t="s">
        <v>3497</v>
      </c>
      <c r="B1466" s="1" t="s">
        <v>3498</v>
      </c>
      <c r="C1466" s="1" t="s">
        <v>1143</v>
      </c>
      <c r="D1466" s="1">
        <v>4</v>
      </c>
      <c r="E1466" s="1">
        <v>0</v>
      </c>
      <c r="F1466" s="1" t="b">
        <v>0</v>
      </c>
      <c r="G1466">
        <f>VLOOKUP(C1466,Products!A:D,4,FALSE)</f>
        <v>2230</v>
      </c>
      <c r="H1466" t="str">
        <f>VLOOKUP(C1466,Products!A:D,3,FALSE)</f>
        <v>Home &amp; Kitchen</v>
      </c>
      <c r="I1466">
        <f t="shared" si="22"/>
        <v>8920</v>
      </c>
      <c r="J1466" s="2">
        <f>VLOOKUP(B1466,Orders!A:C,3,FALSE)</f>
        <v>46091</v>
      </c>
      <c r="K1466" s="1" t="str">
        <f>VLOOKUP(B1466,Orders!A:B,2,FALSE)</f>
        <v>C0069</v>
      </c>
    </row>
    <row r="1467" spans="1:11" x14ac:dyDescent="0.3">
      <c r="A1467" s="1" t="s">
        <v>3499</v>
      </c>
      <c r="B1467" s="1" t="s">
        <v>3498</v>
      </c>
      <c r="C1467" s="1" t="s">
        <v>1130</v>
      </c>
      <c r="D1467" s="1">
        <v>4</v>
      </c>
      <c r="E1467" s="1">
        <v>0</v>
      </c>
      <c r="F1467" s="1" t="b">
        <v>0</v>
      </c>
      <c r="G1467">
        <f>VLOOKUP(C1467,Products!A:D,4,FALSE)</f>
        <v>2400</v>
      </c>
      <c r="H1467" t="str">
        <f>VLOOKUP(C1467,Products!A:D,3,FALSE)</f>
        <v>Electronics</v>
      </c>
      <c r="I1467">
        <f t="shared" si="22"/>
        <v>9600</v>
      </c>
      <c r="J1467" s="2">
        <f>VLOOKUP(B1467,Orders!A:C,3,FALSE)</f>
        <v>46091</v>
      </c>
      <c r="K1467" s="1" t="str">
        <f>VLOOKUP(B1467,Orders!A:B,2,FALSE)</f>
        <v>C0069</v>
      </c>
    </row>
    <row r="1468" spans="1:11" x14ac:dyDescent="0.3">
      <c r="A1468" s="1" t="s">
        <v>3500</v>
      </c>
      <c r="B1468" s="1" t="s">
        <v>3498</v>
      </c>
      <c r="C1468" s="1" t="s">
        <v>1127</v>
      </c>
      <c r="D1468" s="1">
        <v>1</v>
      </c>
      <c r="E1468" s="1">
        <v>0.1</v>
      </c>
      <c r="F1468" s="1" t="b">
        <v>0</v>
      </c>
      <c r="G1468">
        <f>VLOOKUP(C1468,Products!A:D,4,FALSE)</f>
        <v>1660</v>
      </c>
      <c r="H1468" t="str">
        <f>VLOOKUP(C1468,Products!A:D,3,FALSE)</f>
        <v>Apparel</v>
      </c>
      <c r="I1468">
        <f t="shared" si="22"/>
        <v>1494</v>
      </c>
      <c r="J1468" s="2">
        <f>VLOOKUP(B1468,Orders!A:C,3,FALSE)</f>
        <v>46091</v>
      </c>
      <c r="K1468" s="1" t="str">
        <f>VLOOKUP(B1468,Orders!A:B,2,FALSE)</f>
        <v>C0069</v>
      </c>
    </row>
    <row r="1469" spans="1:11" x14ac:dyDescent="0.3">
      <c r="A1469" s="1" t="s">
        <v>3501</v>
      </c>
      <c r="B1469" s="1" t="s">
        <v>3502</v>
      </c>
      <c r="C1469" s="1" t="s">
        <v>1299</v>
      </c>
      <c r="D1469" s="1">
        <v>4</v>
      </c>
      <c r="E1469" s="1">
        <v>0</v>
      </c>
      <c r="F1469" s="1" t="b">
        <v>0</v>
      </c>
      <c r="G1469">
        <f>VLOOKUP(C1469,Products!A:D,4,FALSE)</f>
        <v>1080</v>
      </c>
      <c r="H1469" t="str">
        <f>VLOOKUP(C1469,Products!A:D,3,FALSE)</f>
        <v>Beauty</v>
      </c>
      <c r="I1469">
        <f t="shared" si="22"/>
        <v>4320</v>
      </c>
      <c r="J1469" s="2">
        <f>VLOOKUP(B1469,Orders!A:C,3,FALSE)</f>
        <v>46064</v>
      </c>
      <c r="K1469" s="1" t="str">
        <f>VLOOKUP(B1469,Orders!A:B,2,FALSE)</f>
        <v>C0165</v>
      </c>
    </row>
    <row r="1470" spans="1:11" x14ac:dyDescent="0.3">
      <c r="A1470" s="1" t="s">
        <v>3503</v>
      </c>
      <c r="B1470" s="1" t="s">
        <v>3502</v>
      </c>
      <c r="C1470" s="1" t="s">
        <v>1262</v>
      </c>
      <c r="D1470" s="1">
        <v>2</v>
      </c>
      <c r="E1470" s="1">
        <v>0</v>
      </c>
      <c r="F1470" s="1" t="b">
        <v>0</v>
      </c>
      <c r="G1470">
        <f>VLOOKUP(C1470,Products!A:D,4,FALSE)</f>
        <v>4020</v>
      </c>
      <c r="H1470" t="str">
        <f>VLOOKUP(C1470,Products!A:D,3,FALSE)</f>
        <v>Sports</v>
      </c>
      <c r="I1470">
        <f t="shared" si="22"/>
        <v>8040</v>
      </c>
      <c r="J1470" s="2">
        <f>VLOOKUP(B1470,Orders!A:C,3,FALSE)</f>
        <v>46064</v>
      </c>
      <c r="K1470" s="1" t="str">
        <f>VLOOKUP(B1470,Orders!A:B,2,FALSE)</f>
        <v>C0165</v>
      </c>
    </row>
    <row r="1471" spans="1:11" x14ac:dyDescent="0.3">
      <c r="A1471" s="1" t="s">
        <v>3504</v>
      </c>
      <c r="B1471" s="1" t="s">
        <v>3502</v>
      </c>
      <c r="C1471" s="1" t="s">
        <v>1127</v>
      </c>
      <c r="D1471" s="1">
        <v>3</v>
      </c>
      <c r="E1471" s="1">
        <v>0</v>
      </c>
      <c r="F1471" s="1" t="b">
        <v>0</v>
      </c>
      <c r="G1471">
        <f>VLOOKUP(C1471,Products!A:D,4,FALSE)</f>
        <v>1660</v>
      </c>
      <c r="H1471" t="str">
        <f>VLOOKUP(C1471,Products!A:D,3,FALSE)</f>
        <v>Apparel</v>
      </c>
      <c r="I1471">
        <f t="shared" si="22"/>
        <v>4980</v>
      </c>
      <c r="J1471" s="2">
        <f>VLOOKUP(B1471,Orders!A:C,3,FALSE)</f>
        <v>46064</v>
      </c>
      <c r="K1471" s="1" t="str">
        <f>VLOOKUP(B1471,Orders!A:B,2,FALSE)</f>
        <v>C0165</v>
      </c>
    </row>
    <row r="1472" spans="1:11" x14ac:dyDescent="0.3">
      <c r="A1472" s="1" t="s">
        <v>3505</v>
      </c>
      <c r="B1472" s="1" t="s">
        <v>3506</v>
      </c>
      <c r="C1472" s="1" t="s">
        <v>1219</v>
      </c>
      <c r="D1472" s="1">
        <v>1</v>
      </c>
      <c r="E1472" s="1">
        <v>0.05</v>
      </c>
      <c r="F1472" s="1" t="b">
        <v>0</v>
      </c>
      <c r="G1472">
        <f>VLOOKUP(C1472,Products!A:D,4,FALSE)</f>
        <v>2090</v>
      </c>
      <c r="H1472" t="str">
        <f>VLOOKUP(C1472,Products!A:D,3,FALSE)</f>
        <v>Beauty</v>
      </c>
      <c r="I1472">
        <f t="shared" ref="I1472:I1535" si="23">G1472*D1472*(1-E1472)</f>
        <v>1985.5</v>
      </c>
      <c r="J1472" s="2">
        <f>VLOOKUP(B1472,Orders!A:C,3,FALSE)</f>
        <v>45740</v>
      </c>
      <c r="K1472" s="1" t="str">
        <f>VLOOKUP(B1472,Orders!A:B,2,FALSE)</f>
        <v>C0046</v>
      </c>
    </row>
    <row r="1473" spans="1:11" x14ac:dyDescent="0.3">
      <c r="A1473" s="1" t="s">
        <v>3507</v>
      </c>
      <c r="B1473" s="1" t="s">
        <v>3506</v>
      </c>
      <c r="C1473" s="1" t="s">
        <v>1431</v>
      </c>
      <c r="D1473" s="1">
        <v>1</v>
      </c>
      <c r="E1473" s="1">
        <v>0.1</v>
      </c>
      <c r="F1473" s="1" t="b">
        <v>0</v>
      </c>
      <c r="G1473">
        <f>VLOOKUP(C1473,Products!A:D,4,FALSE)</f>
        <v>2920</v>
      </c>
      <c r="H1473" t="str">
        <f>VLOOKUP(C1473,Products!A:D,3,FALSE)</f>
        <v>Home &amp; Kitchen</v>
      </c>
      <c r="I1473">
        <f t="shared" si="23"/>
        <v>2628</v>
      </c>
      <c r="J1473" s="2">
        <f>VLOOKUP(B1473,Orders!A:C,3,FALSE)</f>
        <v>45740</v>
      </c>
      <c r="K1473" s="1" t="str">
        <f>VLOOKUP(B1473,Orders!A:B,2,FALSE)</f>
        <v>C0046</v>
      </c>
    </row>
    <row r="1474" spans="1:11" x14ac:dyDescent="0.3">
      <c r="A1474" s="1" t="s">
        <v>3508</v>
      </c>
      <c r="B1474" s="1" t="s">
        <v>3509</v>
      </c>
      <c r="C1474" s="1" t="s">
        <v>1127</v>
      </c>
      <c r="D1474" s="1">
        <v>3</v>
      </c>
      <c r="E1474" s="1">
        <v>0</v>
      </c>
      <c r="F1474" s="1" t="b">
        <v>0</v>
      </c>
      <c r="G1474">
        <f>VLOOKUP(C1474,Products!A:D,4,FALSE)</f>
        <v>1660</v>
      </c>
      <c r="H1474" t="str">
        <f>VLOOKUP(C1474,Products!A:D,3,FALSE)</f>
        <v>Apparel</v>
      </c>
      <c r="I1474">
        <f t="shared" si="23"/>
        <v>4980</v>
      </c>
      <c r="J1474" s="2">
        <f>VLOOKUP(B1474,Orders!A:C,3,FALSE)</f>
        <v>46160</v>
      </c>
      <c r="K1474" s="1" t="str">
        <f>VLOOKUP(B1474,Orders!A:B,2,FALSE)</f>
        <v>C0209</v>
      </c>
    </row>
    <row r="1475" spans="1:11" x14ac:dyDescent="0.3">
      <c r="A1475" s="1" t="s">
        <v>3510</v>
      </c>
      <c r="B1475" s="1" t="s">
        <v>3509</v>
      </c>
      <c r="C1475" s="1" t="s">
        <v>1199</v>
      </c>
      <c r="D1475" s="1">
        <v>4</v>
      </c>
      <c r="E1475" s="1">
        <v>0</v>
      </c>
      <c r="F1475" s="1" t="b">
        <v>0</v>
      </c>
      <c r="G1475">
        <f>VLOOKUP(C1475,Products!A:D,4,FALSE)</f>
        <v>99</v>
      </c>
      <c r="H1475" t="str">
        <f>VLOOKUP(C1475,Products!A:D,3,FALSE)</f>
        <v>Electronics</v>
      </c>
      <c r="I1475">
        <f t="shared" si="23"/>
        <v>396</v>
      </c>
      <c r="J1475" s="2">
        <f>VLOOKUP(B1475,Orders!A:C,3,FALSE)</f>
        <v>46160</v>
      </c>
      <c r="K1475" s="1" t="str">
        <f>VLOOKUP(B1475,Orders!A:B,2,FALSE)</f>
        <v>C0209</v>
      </c>
    </row>
    <row r="1476" spans="1:11" x14ac:dyDescent="0.3">
      <c r="A1476" s="1" t="s">
        <v>3511</v>
      </c>
      <c r="B1476" s="1" t="s">
        <v>3512</v>
      </c>
      <c r="C1476" s="1" t="s">
        <v>1118</v>
      </c>
      <c r="D1476" s="1">
        <v>3</v>
      </c>
      <c r="E1476" s="1">
        <v>0.1</v>
      </c>
      <c r="F1476" s="1" t="b">
        <v>0</v>
      </c>
      <c r="G1476">
        <f>VLOOKUP(C1476,Products!A:D,4,FALSE)</f>
        <v>5550</v>
      </c>
      <c r="H1476" t="str">
        <f>VLOOKUP(C1476,Products!A:D,3,FALSE)</f>
        <v>Home &amp; Kitchen</v>
      </c>
      <c r="I1476">
        <f t="shared" si="23"/>
        <v>14985</v>
      </c>
      <c r="J1476" s="2">
        <f>VLOOKUP(B1476,Orders!A:C,3,FALSE)</f>
        <v>45943</v>
      </c>
      <c r="K1476" s="1" t="str">
        <f>VLOOKUP(B1476,Orders!A:B,2,FALSE)</f>
        <v>C0192</v>
      </c>
    </row>
    <row r="1477" spans="1:11" x14ac:dyDescent="0.3">
      <c r="A1477" s="1" t="s">
        <v>3513</v>
      </c>
      <c r="B1477" s="1" t="s">
        <v>3512</v>
      </c>
      <c r="C1477" s="1" t="s">
        <v>1484</v>
      </c>
      <c r="D1477" s="1">
        <v>1</v>
      </c>
      <c r="E1477" s="1">
        <v>0.2</v>
      </c>
      <c r="F1477" s="1" t="b">
        <v>0</v>
      </c>
      <c r="G1477">
        <f>VLOOKUP(C1477,Products!A:D,4,FALSE)</f>
        <v>1080</v>
      </c>
      <c r="H1477" t="str">
        <f>VLOOKUP(C1477,Products!A:D,3,FALSE)</f>
        <v>Home &amp; Kitchen</v>
      </c>
      <c r="I1477">
        <f t="shared" si="23"/>
        <v>864</v>
      </c>
      <c r="J1477" s="2">
        <f>VLOOKUP(B1477,Orders!A:C,3,FALSE)</f>
        <v>45943</v>
      </c>
      <c r="K1477" s="1" t="str">
        <f>VLOOKUP(B1477,Orders!A:B,2,FALSE)</f>
        <v>C0192</v>
      </c>
    </row>
    <row r="1478" spans="1:11" x14ac:dyDescent="0.3">
      <c r="A1478" s="1" t="s">
        <v>3514</v>
      </c>
      <c r="B1478" s="1" t="s">
        <v>3512</v>
      </c>
      <c r="C1478" s="1" t="s">
        <v>1391</v>
      </c>
      <c r="D1478" s="1">
        <v>5</v>
      </c>
      <c r="E1478" s="1">
        <v>0.05</v>
      </c>
      <c r="F1478" s="1" t="b">
        <v>0</v>
      </c>
      <c r="G1478">
        <f>VLOOKUP(C1478,Products!A:D,4,FALSE)</f>
        <v>1900</v>
      </c>
      <c r="H1478" t="str">
        <f>VLOOKUP(C1478,Products!A:D,3,FALSE)</f>
        <v>Beauty</v>
      </c>
      <c r="I1478">
        <f t="shared" si="23"/>
        <v>9025</v>
      </c>
      <c r="J1478" s="2">
        <f>VLOOKUP(B1478,Orders!A:C,3,FALSE)</f>
        <v>45943</v>
      </c>
      <c r="K1478" s="1" t="str">
        <f>VLOOKUP(B1478,Orders!A:B,2,FALSE)</f>
        <v>C0192</v>
      </c>
    </row>
    <row r="1479" spans="1:11" x14ac:dyDescent="0.3">
      <c r="A1479" s="1" t="s">
        <v>3515</v>
      </c>
      <c r="B1479" s="1" t="s">
        <v>3512</v>
      </c>
      <c r="C1479" s="1" t="s">
        <v>1219</v>
      </c>
      <c r="D1479" s="1">
        <v>4</v>
      </c>
      <c r="E1479" s="1">
        <v>0.1</v>
      </c>
      <c r="F1479" s="1" t="b">
        <v>0</v>
      </c>
      <c r="G1479">
        <f>VLOOKUP(C1479,Products!A:D,4,FALSE)</f>
        <v>2090</v>
      </c>
      <c r="H1479" t="str">
        <f>VLOOKUP(C1479,Products!A:D,3,FALSE)</f>
        <v>Beauty</v>
      </c>
      <c r="I1479">
        <f t="shared" si="23"/>
        <v>7524</v>
      </c>
      <c r="J1479" s="2">
        <f>VLOOKUP(B1479,Orders!A:C,3,FALSE)</f>
        <v>45943</v>
      </c>
      <c r="K1479" s="1" t="str">
        <f>VLOOKUP(B1479,Orders!A:B,2,FALSE)</f>
        <v>C0192</v>
      </c>
    </row>
    <row r="1480" spans="1:11" x14ac:dyDescent="0.3">
      <c r="A1480" s="1" t="s">
        <v>3516</v>
      </c>
      <c r="B1480" s="1" t="s">
        <v>3517</v>
      </c>
      <c r="C1480" s="1" t="s">
        <v>1242</v>
      </c>
      <c r="D1480" s="1">
        <v>1</v>
      </c>
      <c r="E1480" s="1">
        <v>0.05</v>
      </c>
      <c r="F1480" s="1" t="b">
        <v>0</v>
      </c>
      <c r="G1480">
        <f>VLOOKUP(C1480,Products!A:D,4,FALSE)</f>
        <v>2720</v>
      </c>
      <c r="H1480" t="str">
        <f>VLOOKUP(C1480,Products!A:D,3,FALSE)</f>
        <v>Beauty</v>
      </c>
      <c r="I1480">
        <f t="shared" si="23"/>
        <v>2584</v>
      </c>
      <c r="J1480" s="2">
        <f>VLOOKUP(B1480,Orders!A:C,3,FALSE)</f>
        <v>45901</v>
      </c>
      <c r="K1480" s="1" t="str">
        <f>VLOOKUP(B1480,Orders!A:B,2,FALSE)</f>
        <v>C0082</v>
      </c>
    </row>
    <row r="1481" spans="1:11" x14ac:dyDescent="0.3">
      <c r="A1481" s="1" t="s">
        <v>3518</v>
      </c>
      <c r="B1481" s="1" t="s">
        <v>3519</v>
      </c>
      <c r="C1481" s="1" t="s">
        <v>1656</v>
      </c>
      <c r="D1481" s="1">
        <v>2</v>
      </c>
      <c r="E1481" s="1">
        <v>0</v>
      </c>
      <c r="F1481" s="1" t="b">
        <v>0</v>
      </c>
      <c r="G1481">
        <f>VLOOKUP(C1481,Products!A:D,4,FALSE)</f>
        <v>1240</v>
      </c>
      <c r="H1481" t="str">
        <f>VLOOKUP(C1481,Products!A:D,3,FALSE)</f>
        <v>Beauty</v>
      </c>
      <c r="I1481">
        <f t="shared" si="23"/>
        <v>2480</v>
      </c>
      <c r="J1481" s="2">
        <f>VLOOKUP(B1481,Orders!A:C,3,FALSE)</f>
        <v>45756</v>
      </c>
      <c r="K1481" s="1" t="str">
        <f>VLOOKUP(B1481,Orders!A:B,2,FALSE)</f>
        <v>C0207</v>
      </c>
    </row>
    <row r="1482" spans="1:11" x14ac:dyDescent="0.3">
      <c r="A1482" s="1" t="s">
        <v>3520</v>
      </c>
      <c r="B1482" s="1" t="s">
        <v>3521</v>
      </c>
      <c r="C1482" s="1" t="s">
        <v>1182</v>
      </c>
      <c r="D1482" s="1">
        <v>1</v>
      </c>
      <c r="E1482" s="1">
        <v>0</v>
      </c>
      <c r="F1482" s="1" t="b">
        <v>0</v>
      </c>
      <c r="G1482">
        <f>VLOOKUP(C1482,Products!A:D,4,FALSE)</f>
        <v>790</v>
      </c>
      <c r="H1482" t="str">
        <f>VLOOKUP(C1482,Products!A:D,3,FALSE)</f>
        <v>Sports</v>
      </c>
      <c r="I1482">
        <f t="shared" si="23"/>
        <v>790</v>
      </c>
      <c r="J1482" s="2">
        <f>VLOOKUP(B1482,Orders!A:C,3,FALSE)</f>
        <v>46029</v>
      </c>
      <c r="K1482" s="1" t="str">
        <f>VLOOKUP(B1482,Orders!A:B,2,FALSE)</f>
        <v>C0292</v>
      </c>
    </row>
    <row r="1483" spans="1:11" x14ac:dyDescent="0.3">
      <c r="A1483" s="1" t="s">
        <v>3522</v>
      </c>
      <c r="B1483" s="1" t="s">
        <v>3521</v>
      </c>
      <c r="C1483" s="1" t="s">
        <v>1137</v>
      </c>
      <c r="D1483" s="1">
        <v>4</v>
      </c>
      <c r="E1483" s="1">
        <v>0</v>
      </c>
      <c r="F1483" s="1" t="b">
        <v>0</v>
      </c>
      <c r="G1483">
        <f>VLOOKUP(C1483,Products!A:D,4,FALSE)</f>
        <v>1910</v>
      </c>
      <c r="H1483" t="str">
        <f>VLOOKUP(C1483,Products!A:D,3,FALSE)</f>
        <v>Apparel</v>
      </c>
      <c r="I1483">
        <f t="shared" si="23"/>
        <v>7640</v>
      </c>
      <c r="J1483" s="2">
        <f>VLOOKUP(B1483,Orders!A:C,3,FALSE)</f>
        <v>46029</v>
      </c>
      <c r="K1483" s="1" t="str">
        <f>VLOOKUP(B1483,Orders!A:B,2,FALSE)</f>
        <v>C0292</v>
      </c>
    </row>
    <row r="1484" spans="1:11" x14ac:dyDescent="0.3">
      <c r="A1484" s="1" t="s">
        <v>3523</v>
      </c>
      <c r="B1484" s="1" t="s">
        <v>3521</v>
      </c>
      <c r="C1484" s="1" t="s">
        <v>1199</v>
      </c>
      <c r="D1484" s="1">
        <v>1</v>
      </c>
      <c r="E1484" s="1">
        <v>0.1</v>
      </c>
      <c r="F1484" s="1" t="b">
        <v>0</v>
      </c>
      <c r="G1484">
        <f>VLOOKUP(C1484,Products!A:D,4,FALSE)</f>
        <v>99</v>
      </c>
      <c r="H1484" t="str">
        <f>VLOOKUP(C1484,Products!A:D,3,FALSE)</f>
        <v>Electronics</v>
      </c>
      <c r="I1484">
        <f t="shared" si="23"/>
        <v>89.100000000000009</v>
      </c>
      <c r="J1484" s="2">
        <f>VLOOKUP(B1484,Orders!A:C,3,FALSE)</f>
        <v>46029</v>
      </c>
      <c r="K1484" s="1" t="str">
        <f>VLOOKUP(B1484,Orders!A:B,2,FALSE)</f>
        <v>C0292</v>
      </c>
    </row>
    <row r="1485" spans="1:11" x14ac:dyDescent="0.3">
      <c r="A1485" s="1" t="s">
        <v>3524</v>
      </c>
      <c r="B1485" s="1" t="s">
        <v>3525</v>
      </c>
      <c r="C1485" s="1" t="s">
        <v>1247</v>
      </c>
      <c r="D1485" s="1">
        <v>4</v>
      </c>
      <c r="E1485" s="1">
        <v>0</v>
      </c>
      <c r="F1485" s="1" t="b">
        <v>0</v>
      </c>
      <c r="G1485">
        <f>VLOOKUP(C1485,Products!A:D,4,FALSE)</f>
        <v>2210</v>
      </c>
      <c r="H1485" t="str">
        <f>VLOOKUP(C1485,Products!A:D,3,FALSE)</f>
        <v>Beauty</v>
      </c>
      <c r="I1485">
        <f t="shared" si="23"/>
        <v>8840</v>
      </c>
      <c r="J1485" s="2">
        <f>VLOOKUP(B1485,Orders!A:C,3,FALSE)</f>
        <v>45815</v>
      </c>
      <c r="K1485" s="1" t="str">
        <f>VLOOKUP(B1485,Orders!A:B,2,FALSE)</f>
        <v>C0103</v>
      </c>
    </row>
    <row r="1486" spans="1:11" x14ac:dyDescent="0.3">
      <c r="A1486" s="1" t="s">
        <v>3526</v>
      </c>
      <c r="B1486" s="1" t="s">
        <v>3527</v>
      </c>
      <c r="C1486" s="1" t="s">
        <v>1290</v>
      </c>
      <c r="D1486" s="1">
        <v>2</v>
      </c>
      <c r="E1486" s="1">
        <v>0.2</v>
      </c>
      <c r="F1486" s="1" t="b">
        <v>0</v>
      </c>
      <c r="G1486">
        <f>VLOOKUP(C1486,Products!A:D,4,FALSE)</f>
        <v>990</v>
      </c>
      <c r="H1486" t="str">
        <f>VLOOKUP(C1486,Products!A:D,3,FALSE)</f>
        <v>Books</v>
      </c>
      <c r="I1486">
        <f t="shared" si="23"/>
        <v>1584</v>
      </c>
      <c r="J1486" s="2">
        <f>VLOOKUP(B1486,Orders!A:C,3,FALSE)</f>
        <v>46009</v>
      </c>
      <c r="K1486" s="1" t="str">
        <f>VLOOKUP(B1486,Orders!A:B,2,FALSE)</f>
        <v>C0017</v>
      </c>
    </row>
    <row r="1487" spans="1:11" x14ac:dyDescent="0.3">
      <c r="A1487" s="1" t="s">
        <v>3528</v>
      </c>
      <c r="B1487" s="1" t="s">
        <v>3527</v>
      </c>
      <c r="C1487" s="1" t="s">
        <v>1391</v>
      </c>
      <c r="D1487" s="1">
        <v>5</v>
      </c>
      <c r="E1487" s="1">
        <v>0</v>
      </c>
      <c r="F1487" s="1" t="b">
        <v>0</v>
      </c>
      <c r="G1487">
        <f>VLOOKUP(C1487,Products!A:D,4,FALSE)</f>
        <v>1900</v>
      </c>
      <c r="H1487" t="str">
        <f>VLOOKUP(C1487,Products!A:D,3,FALSE)</f>
        <v>Beauty</v>
      </c>
      <c r="I1487">
        <f t="shared" si="23"/>
        <v>9500</v>
      </c>
      <c r="J1487" s="2">
        <f>VLOOKUP(B1487,Orders!A:C,3,FALSE)</f>
        <v>46009</v>
      </c>
      <c r="K1487" s="1" t="str">
        <f>VLOOKUP(B1487,Orders!A:B,2,FALSE)</f>
        <v>C0017</v>
      </c>
    </row>
    <row r="1488" spans="1:11" x14ac:dyDescent="0.3">
      <c r="A1488" s="1" t="s">
        <v>3529</v>
      </c>
      <c r="B1488" s="1" t="s">
        <v>3530</v>
      </c>
      <c r="C1488" s="1" t="s">
        <v>1498</v>
      </c>
      <c r="D1488" s="1">
        <v>4</v>
      </c>
      <c r="E1488" s="1">
        <v>0.1</v>
      </c>
      <c r="F1488" s="1" t="b">
        <v>0</v>
      </c>
      <c r="G1488">
        <f>VLOOKUP(C1488,Products!A:D,4,FALSE)</f>
        <v>1910</v>
      </c>
      <c r="H1488" t="str">
        <f>VLOOKUP(C1488,Products!A:D,3,FALSE)</f>
        <v>Apparel</v>
      </c>
      <c r="I1488">
        <f t="shared" si="23"/>
        <v>6876</v>
      </c>
      <c r="J1488" s="2">
        <f>VLOOKUP(B1488,Orders!A:C,3,FALSE)</f>
        <v>45854</v>
      </c>
      <c r="K1488" s="1" t="str">
        <f>VLOOKUP(B1488,Orders!A:B,2,FALSE)</f>
        <v>C0102</v>
      </c>
    </row>
    <row r="1489" spans="1:11" x14ac:dyDescent="0.3">
      <c r="A1489" s="1" t="s">
        <v>3531</v>
      </c>
      <c r="B1489" s="1" t="s">
        <v>3532</v>
      </c>
      <c r="C1489" s="1" t="s">
        <v>1121</v>
      </c>
      <c r="D1489" s="1">
        <v>1</v>
      </c>
      <c r="E1489" s="1">
        <v>0.05</v>
      </c>
      <c r="F1489" s="1" t="b">
        <v>0</v>
      </c>
      <c r="G1489">
        <f>VLOOKUP(C1489,Products!A:D,4,FALSE)</f>
        <v>1440</v>
      </c>
      <c r="H1489" t="str">
        <f>VLOOKUP(C1489,Products!A:D,3,FALSE)</f>
        <v>Sports</v>
      </c>
      <c r="I1489">
        <f t="shared" si="23"/>
        <v>1368</v>
      </c>
      <c r="J1489" s="2">
        <f>VLOOKUP(B1489,Orders!A:C,3,FALSE)</f>
        <v>45761</v>
      </c>
      <c r="K1489" s="1" t="str">
        <f>VLOOKUP(B1489,Orders!A:B,2,FALSE)</f>
        <v>C0259</v>
      </c>
    </row>
    <row r="1490" spans="1:11" x14ac:dyDescent="0.3">
      <c r="A1490" s="1" t="s">
        <v>3533</v>
      </c>
      <c r="B1490" s="1" t="s">
        <v>3532</v>
      </c>
      <c r="C1490" s="1" t="s">
        <v>1160</v>
      </c>
      <c r="D1490" s="1">
        <v>3</v>
      </c>
      <c r="E1490" s="1">
        <v>0.1</v>
      </c>
      <c r="F1490" s="1" t="b">
        <v>0</v>
      </c>
      <c r="G1490">
        <f>VLOOKUP(C1490,Products!A:D,4,FALSE)</f>
        <v>1710</v>
      </c>
      <c r="H1490" t="str">
        <f>VLOOKUP(C1490,Products!A:D,3,FALSE)</f>
        <v>Home &amp; Kitchen</v>
      </c>
      <c r="I1490">
        <f t="shared" si="23"/>
        <v>4617</v>
      </c>
      <c r="J1490" s="2">
        <f>VLOOKUP(B1490,Orders!A:C,3,FALSE)</f>
        <v>45761</v>
      </c>
      <c r="K1490" s="1" t="str">
        <f>VLOOKUP(B1490,Orders!A:B,2,FALSE)</f>
        <v>C0259</v>
      </c>
    </row>
    <row r="1491" spans="1:11" x14ac:dyDescent="0.3">
      <c r="A1491" s="1" t="s">
        <v>3534</v>
      </c>
      <c r="B1491" s="1" t="s">
        <v>3535</v>
      </c>
      <c r="C1491" s="1" t="s">
        <v>1199</v>
      </c>
      <c r="D1491" s="1">
        <v>1</v>
      </c>
      <c r="E1491" s="1">
        <v>0.1</v>
      </c>
      <c r="F1491" s="1" t="b">
        <v>0</v>
      </c>
      <c r="G1491">
        <f>VLOOKUP(C1491,Products!A:D,4,FALSE)</f>
        <v>99</v>
      </c>
      <c r="H1491" t="str">
        <f>VLOOKUP(C1491,Products!A:D,3,FALSE)</f>
        <v>Electronics</v>
      </c>
      <c r="I1491">
        <f t="shared" si="23"/>
        <v>89.100000000000009</v>
      </c>
      <c r="J1491" s="2">
        <f>VLOOKUP(B1491,Orders!A:C,3,FALSE)</f>
        <v>46134</v>
      </c>
      <c r="K1491" s="1" t="str">
        <f>VLOOKUP(B1491,Orders!A:B,2,FALSE)</f>
        <v>C0016</v>
      </c>
    </row>
    <row r="1492" spans="1:11" x14ac:dyDescent="0.3">
      <c r="A1492" s="1" t="s">
        <v>3536</v>
      </c>
      <c r="B1492" s="1" t="s">
        <v>3537</v>
      </c>
      <c r="C1492" s="1" t="s">
        <v>1320</v>
      </c>
      <c r="D1492" s="1">
        <v>2</v>
      </c>
      <c r="E1492" s="1">
        <v>0.1</v>
      </c>
      <c r="F1492" s="1" t="b">
        <v>0</v>
      </c>
      <c r="G1492">
        <f>VLOOKUP(C1492,Products!A:D,4,FALSE)</f>
        <v>2790</v>
      </c>
      <c r="H1492" t="str">
        <f>VLOOKUP(C1492,Products!A:D,3,FALSE)</f>
        <v>Electronics</v>
      </c>
      <c r="I1492">
        <f t="shared" si="23"/>
        <v>5022</v>
      </c>
      <c r="J1492" s="2">
        <f>VLOOKUP(B1492,Orders!A:C,3,FALSE)</f>
        <v>45949</v>
      </c>
      <c r="K1492" s="1" t="str">
        <f>VLOOKUP(B1492,Orders!A:B,2,FALSE)</f>
        <v>C0229</v>
      </c>
    </row>
    <row r="1493" spans="1:11" x14ac:dyDescent="0.3">
      <c r="A1493" s="1" t="s">
        <v>3538</v>
      </c>
      <c r="B1493" s="1" t="s">
        <v>3537</v>
      </c>
      <c r="C1493" s="1" t="s">
        <v>1330</v>
      </c>
      <c r="D1493" s="1">
        <v>5</v>
      </c>
      <c r="E1493" s="1">
        <v>0</v>
      </c>
      <c r="F1493" s="1" t="b">
        <v>0</v>
      </c>
      <c r="G1493">
        <f>VLOOKUP(C1493,Products!A:D,4,FALSE)</f>
        <v>580</v>
      </c>
      <c r="H1493" t="str">
        <f>VLOOKUP(C1493,Products!A:D,3,FALSE)</f>
        <v>Books</v>
      </c>
      <c r="I1493">
        <f t="shared" si="23"/>
        <v>2900</v>
      </c>
      <c r="J1493" s="2">
        <f>VLOOKUP(B1493,Orders!A:C,3,FALSE)</f>
        <v>45949</v>
      </c>
      <c r="K1493" s="1" t="str">
        <f>VLOOKUP(B1493,Orders!A:B,2,FALSE)</f>
        <v>C0229</v>
      </c>
    </row>
    <row r="1494" spans="1:11" x14ac:dyDescent="0.3">
      <c r="A1494" s="1" t="s">
        <v>3539</v>
      </c>
      <c r="B1494" s="1" t="s">
        <v>3540</v>
      </c>
      <c r="C1494" s="1" t="s">
        <v>1209</v>
      </c>
      <c r="D1494" s="1">
        <v>5</v>
      </c>
      <c r="E1494" s="1">
        <v>0.05</v>
      </c>
      <c r="F1494" s="1" t="b">
        <v>0</v>
      </c>
      <c r="G1494">
        <f>VLOOKUP(C1494,Products!A:D,4,FALSE)</f>
        <v>1580</v>
      </c>
      <c r="H1494" t="str">
        <f>VLOOKUP(C1494,Products!A:D,3,FALSE)</f>
        <v>Apparel</v>
      </c>
      <c r="I1494">
        <f t="shared" si="23"/>
        <v>7505</v>
      </c>
      <c r="J1494" s="2">
        <f>VLOOKUP(B1494,Orders!A:C,3,FALSE)</f>
        <v>45978</v>
      </c>
      <c r="K1494" s="1" t="str">
        <f>VLOOKUP(B1494,Orders!A:B,2,FALSE)</f>
        <v>C0243</v>
      </c>
    </row>
    <row r="1495" spans="1:11" x14ac:dyDescent="0.3">
      <c r="A1495" s="1" t="s">
        <v>3541</v>
      </c>
      <c r="B1495" s="1" t="s">
        <v>3542</v>
      </c>
      <c r="C1495" s="1" t="s">
        <v>1163</v>
      </c>
      <c r="D1495" s="1">
        <v>1</v>
      </c>
      <c r="E1495" s="1">
        <v>0</v>
      </c>
      <c r="F1495" s="1" t="b">
        <v>0</v>
      </c>
      <c r="G1495">
        <f>VLOOKUP(C1495,Products!A:D,4,FALSE)</f>
        <v>2180</v>
      </c>
      <c r="H1495" t="str">
        <f>VLOOKUP(C1495,Products!A:D,3,FALSE)</f>
        <v>Electronics</v>
      </c>
      <c r="I1495">
        <f t="shared" si="23"/>
        <v>2180</v>
      </c>
      <c r="J1495" s="2">
        <f>VLOOKUP(B1495,Orders!A:C,3,FALSE)</f>
        <v>46060</v>
      </c>
      <c r="K1495" s="1" t="str">
        <f>VLOOKUP(B1495,Orders!A:B,2,FALSE)</f>
        <v>C0177</v>
      </c>
    </row>
    <row r="1496" spans="1:11" x14ac:dyDescent="0.3">
      <c r="A1496" s="1" t="s">
        <v>3543</v>
      </c>
      <c r="B1496" s="1" t="s">
        <v>3544</v>
      </c>
      <c r="C1496" s="1" t="s">
        <v>1109</v>
      </c>
      <c r="D1496" s="1">
        <v>4</v>
      </c>
      <c r="E1496" s="1">
        <v>0.1</v>
      </c>
      <c r="F1496" s="1" t="b">
        <v>0</v>
      </c>
      <c r="G1496">
        <f>VLOOKUP(C1496,Products!A:D,4,FALSE)</f>
        <v>1475</v>
      </c>
      <c r="H1496" t="str">
        <f>VLOOKUP(C1496,Products!A:D,3,FALSE)</f>
        <v>Books</v>
      </c>
      <c r="I1496">
        <f t="shared" si="23"/>
        <v>5310</v>
      </c>
      <c r="J1496" s="2">
        <f>VLOOKUP(B1496,Orders!A:C,3,FALSE)</f>
        <v>46010</v>
      </c>
      <c r="K1496" s="1" t="str">
        <f>VLOOKUP(B1496,Orders!A:B,2,FALSE)</f>
        <v>C0047</v>
      </c>
    </row>
    <row r="1497" spans="1:11" x14ac:dyDescent="0.3">
      <c r="A1497" s="1" t="s">
        <v>3545</v>
      </c>
      <c r="B1497" s="1" t="s">
        <v>3546</v>
      </c>
      <c r="C1497" s="1" t="s">
        <v>1204</v>
      </c>
      <c r="D1497" s="1">
        <v>3</v>
      </c>
      <c r="E1497" s="1">
        <v>0.1</v>
      </c>
      <c r="F1497" s="1" t="b">
        <v>0</v>
      </c>
      <c r="G1497">
        <f>VLOOKUP(C1497,Products!A:D,4,FALSE)</f>
        <v>940</v>
      </c>
      <c r="H1497" t="str">
        <f>VLOOKUP(C1497,Products!A:D,3,FALSE)</f>
        <v>Apparel</v>
      </c>
      <c r="I1497">
        <f t="shared" si="23"/>
        <v>2538</v>
      </c>
      <c r="J1497" s="2">
        <f>VLOOKUP(B1497,Orders!A:C,3,FALSE)</f>
        <v>45855</v>
      </c>
      <c r="K1497" s="1" t="str">
        <f>VLOOKUP(B1497,Orders!A:B,2,FALSE)</f>
        <v>C0026</v>
      </c>
    </row>
    <row r="1498" spans="1:11" x14ac:dyDescent="0.3">
      <c r="A1498" s="1" t="s">
        <v>3547</v>
      </c>
      <c r="B1498" s="1" t="s">
        <v>3546</v>
      </c>
      <c r="C1498" s="1" t="s">
        <v>1418</v>
      </c>
      <c r="D1498" s="1">
        <v>2</v>
      </c>
      <c r="E1498" s="1">
        <v>0</v>
      </c>
      <c r="F1498" s="1" t="b">
        <v>0</v>
      </c>
      <c r="G1498">
        <f>VLOOKUP(C1498,Products!A:D,4,FALSE)</f>
        <v>1030</v>
      </c>
      <c r="H1498" t="str">
        <f>VLOOKUP(C1498,Products!A:D,3,FALSE)</f>
        <v>Beauty</v>
      </c>
      <c r="I1498">
        <f t="shared" si="23"/>
        <v>2060</v>
      </c>
      <c r="J1498" s="2">
        <f>VLOOKUP(B1498,Orders!A:C,3,FALSE)</f>
        <v>45855</v>
      </c>
      <c r="K1498" s="1" t="str">
        <f>VLOOKUP(B1498,Orders!A:B,2,FALSE)</f>
        <v>C0026</v>
      </c>
    </row>
    <row r="1499" spans="1:11" x14ac:dyDescent="0.3">
      <c r="A1499" s="1" t="s">
        <v>3548</v>
      </c>
      <c r="B1499" s="1" t="s">
        <v>3546</v>
      </c>
      <c r="C1499" s="1" t="s">
        <v>1302</v>
      </c>
      <c r="D1499" s="1">
        <v>3</v>
      </c>
      <c r="E1499" s="1">
        <v>0.1</v>
      </c>
      <c r="F1499" s="1" t="b">
        <v>0</v>
      </c>
      <c r="G1499">
        <f>VLOOKUP(C1499,Products!A:D,4,FALSE)</f>
        <v>1220</v>
      </c>
      <c r="H1499" t="str">
        <f>VLOOKUP(C1499,Products!A:D,3,FALSE)</f>
        <v>Home &amp; Kitchen</v>
      </c>
      <c r="I1499">
        <f t="shared" si="23"/>
        <v>3294</v>
      </c>
      <c r="J1499" s="2">
        <f>VLOOKUP(B1499,Orders!A:C,3,FALSE)</f>
        <v>45855</v>
      </c>
      <c r="K1499" s="1" t="str">
        <f>VLOOKUP(B1499,Orders!A:B,2,FALSE)</f>
        <v>C0026</v>
      </c>
    </row>
    <row r="1500" spans="1:11" x14ac:dyDescent="0.3">
      <c r="A1500" s="1" t="s">
        <v>3549</v>
      </c>
      <c r="B1500" s="1" t="s">
        <v>3546</v>
      </c>
      <c r="C1500" s="1" t="s">
        <v>1121</v>
      </c>
      <c r="D1500" s="1">
        <v>3</v>
      </c>
      <c r="E1500" s="1">
        <v>0</v>
      </c>
      <c r="F1500" s="1" t="b">
        <v>1</v>
      </c>
      <c r="G1500">
        <f>VLOOKUP(C1500,Products!A:D,4,FALSE)</f>
        <v>1440</v>
      </c>
      <c r="H1500" t="str">
        <f>VLOOKUP(C1500,Products!A:D,3,FALSE)</f>
        <v>Sports</v>
      </c>
      <c r="I1500">
        <f t="shared" si="23"/>
        <v>4320</v>
      </c>
      <c r="J1500" s="2">
        <f>VLOOKUP(B1500,Orders!A:C,3,FALSE)</f>
        <v>45855</v>
      </c>
      <c r="K1500" s="1" t="str">
        <f>VLOOKUP(B1500,Orders!A:B,2,FALSE)</f>
        <v>C0026</v>
      </c>
    </row>
    <row r="1501" spans="1:11" x14ac:dyDescent="0.3">
      <c r="A1501" s="1" t="s">
        <v>3550</v>
      </c>
      <c r="B1501" s="1" t="s">
        <v>3551</v>
      </c>
      <c r="C1501" s="1" t="s">
        <v>1160</v>
      </c>
      <c r="D1501" s="1">
        <v>5</v>
      </c>
      <c r="E1501" s="1">
        <v>0.15</v>
      </c>
      <c r="F1501" s="1" t="b">
        <v>0</v>
      </c>
      <c r="G1501">
        <f>VLOOKUP(C1501,Products!A:D,4,FALSE)</f>
        <v>1710</v>
      </c>
      <c r="H1501" t="str">
        <f>VLOOKUP(C1501,Products!A:D,3,FALSE)</f>
        <v>Home &amp; Kitchen</v>
      </c>
      <c r="I1501">
        <f t="shared" si="23"/>
        <v>7267.5</v>
      </c>
      <c r="J1501" s="2">
        <f>VLOOKUP(B1501,Orders!A:C,3,FALSE)</f>
        <v>45892</v>
      </c>
      <c r="K1501" s="1" t="str">
        <f>VLOOKUP(B1501,Orders!A:B,2,FALSE)</f>
        <v>C0110</v>
      </c>
    </row>
    <row r="1502" spans="1:11" x14ac:dyDescent="0.3">
      <c r="A1502" s="1" t="s">
        <v>3552</v>
      </c>
      <c r="B1502" s="1" t="s">
        <v>3551</v>
      </c>
      <c r="C1502" s="1" t="s">
        <v>1459</v>
      </c>
      <c r="D1502" s="1">
        <v>1</v>
      </c>
      <c r="E1502" s="1">
        <v>0</v>
      </c>
      <c r="F1502" s="1" t="b">
        <v>0</v>
      </c>
      <c r="G1502">
        <f>VLOOKUP(C1502,Products!A:D,4,FALSE)</f>
        <v>710</v>
      </c>
      <c r="H1502" t="str">
        <f>VLOOKUP(C1502,Products!A:D,3,FALSE)</f>
        <v>Sports</v>
      </c>
      <c r="I1502">
        <f t="shared" si="23"/>
        <v>710</v>
      </c>
      <c r="J1502" s="2">
        <f>VLOOKUP(B1502,Orders!A:C,3,FALSE)</f>
        <v>45892</v>
      </c>
      <c r="K1502" s="1" t="str">
        <f>VLOOKUP(B1502,Orders!A:B,2,FALSE)</f>
        <v>C0110</v>
      </c>
    </row>
    <row r="1503" spans="1:11" x14ac:dyDescent="0.3">
      <c r="A1503" s="1" t="s">
        <v>3553</v>
      </c>
      <c r="B1503" s="1" t="s">
        <v>3551</v>
      </c>
      <c r="C1503" s="1" t="s">
        <v>1113</v>
      </c>
      <c r="D1503" s="1">
        <v>5</v>
      </c>
      <c r="E1503" s="1">
        <v>0.2</v>
      </c>
      <c r="F1503" s="1" t="b">
        <v>0</v>
      </c>
      <c r="G1503">
        <f>VLOOKUP(C1503,Products!A:D,4,FALSE)</f>
        <v>2780</v>
      </c>
      <c r="H1503" t="str">
        <f>VLOOKUP(C1503,Products!A:D,3,FALSE)</f>
        <v>Apparel</v>
      </c>
      <c r="I1503">
        <f t="shared" si="23"/>
        <v>11120</v>
      </c>
      <c r="J1503" s="2">
        <f>VLOOKUP(B1503,Orders!A:C,3,FALSE)</f>
        <v>45892</v>
      </c>
      <c r="K1503" s="1" t="str">
        <f>VLOOKUP(B1503,Orders!A:B,2,FALSE)</f>
        <v>C0110</v>
      </c>
    </row>
    <row r="1504" spans="1:11" x14ac:dyDescent="0.3">
      <c r="A1504" s="1" t="s">
        <v>3554</v>
      </c>
      <c r="B1504" s="1" t="s">
        <v>3551</v>
      </c>
      <c r="C1504" s="1" t="s">
        <v>1118</v>
      </c>
      <c r="D1504" s="1">
        <v>4</v>
      </c>
      <c r="E1504" s="1">
        <v>0</v>
      </c>
      <c r="F1504" s="1" t="b">
        <v>0</v>
      </c>
      <c r="G1504">
        <f>VLOOKUP(C1504,Products!A:D,4,FALSE)</f>
        <v>5550</v>
      </c>
      <c r="H1504" t="str">
        <f>VLOOKUP(C1504,Products!A:D,3,FALSE)</f>
        <v>Home &amp; Kitchen</v>
      </c>
      <c r="I1504">
        <f t="shared" si="23"/>
        <v>22200</v>
      </c>
      <c r="J1504" s="2">
        <f>VLOOKUP(B1504,Orders!A:C,3,FALSE)</f>
        <v>45892</v>
      </c>
      <c r="K1504" s="1" t="str">
        <f>VLOOKUP(B1504,Orders!A:B,2,FALSE)</f>
        <v>C0110</v>
      </c>
    </row>
    <row r="1505" spans="1:11" x14ac:dyDescent="0.3">
      <c r="A1505" s="1" t="s">
        <v>3555</v>
      </c>
      <c r="B1505" s="1" t="s">
        <v>3556</v>
      </c>
      <c r="C1505" s="1" t="s">
        <v>1644</v>
      </c>
      <c r="D1505" s="1">
        <v>2</v>
      </c>
      <c r="E1505" s="1">
        <v>0.2</v>
      </c>
      <c r="F1505" s="1" t="b">
        <v>0</v>
      </c>
      <c r="G1505">
        <f>VLOOKUP(C1505,Products!A:D,4,FALSE)</f>
        <v>1930</v>
      </c>
      <c r="H1505" t="str">
        <f>VLOOKUP(C1505,Products!A:D,3,FALSE)</f>
        <v>Home &amp; Kitchen</v>
      </c>
      <c r="I1505">
        <f t="shared" si="23"/>
        <v>3088</v>
      </c>
      <c r="J1505" s="2">
        <f>VLOOKUP(B1505,Orders!A:C,3,FALSE)</f>
        <v>45950</v>
      </c>
      <c r="K1505" s="1" t="str">
        <f>VLOOKUP(B1505,Orders!A:B,2,FALSE)</f>
        <v>C0106</v>
      </c>
    </row>
    <row r="1506" spans="1:11" x14ac:dyDescent="0.3">
      <c r="A1506" s="1" t="s">
        <v>3557</v>
      </c>
      <c r="B1506" s="1" t="s">
        <v>3558</v>
      </c>
      <c r="C1506" s="1" t="s">
        <v>1149</v>
      </c>
      <c r="D1506" s="1">
        <v>4</v>
      </c>
      <c r="E1506" s="1">
        <v>0.15</v>
      </c>
      <c r="F1506" s="1" t="b">
        <v>0</v>
      </c>
      <c r="G1506">
        <f>VLOOKUP(C1506,Products!A:D,4,FALSE)</f>
        <v>1150</v>
      </c>
      <c r="H1506" t="str">
        <f>VLOOKUP(C1506,Products!A:D,3,FALSE)</f>
        <v>Apparel</v>
      </c>
      <c r="I1506">
        <f t="shared" si="23"/>
        <v>3910</v>
      </c>
      <c r="J1506" s="2">
        <f>VLOOKUP(B1506,Orders!A:C,3,FALSE)</f>
        <v>45806</v>
      </c>
      <c r="K1506" s="1" t="str">
        <f>VLOOKUP(B1506,Orders!A:B,2,FALSE)</f>
        <v>C0263</v>
      </c>
    </row>
    <row r="1507" spans="1:11" x14ac:dyDescent="0.3">
      <c r="A1507" s="1" t="s">
        <v>3559</v>
      </c>
      <c r="B1507" s="1" t="s">
        <v>3560</v>
      </c>
      <c r="C1507" s="1" t="s">
        <v>1498</v>
      </c>
      <c r="D1507" s="1">
        <v>5</v>
      </c>
      <c r="E1507" s="1">
        <v>0.15</v>
      </c>
      <c r="F1507" s="1" t="b">
        <v>0</v>
      </c>
      <c r="G1507">
        <f>VLOOKUP(C1507,Products!A:D,4,FALSE)</f>
        <v>1910</v>
      </c>
      <c r="H1507" t="str">
        <f>VLOOKUP(C1507,Products!A:D,3,FALSE)</f>
        <v>Apparel</v>
      </c>
      <c r="I1507">
        <f t="shared" si="23"/>
        <v>8117.5</v>
      </c>
      <c r="J1507" s="2">
        <f>VLOOKUP(B1507,Orders!A:C,3,FALSE)</f>
        <v>45779</v>
      </c>
      <c r="K1507" s="1" t="str">
        <f>VLOOKUP(B1507,Orders!A:B,2,FALSE)</f>
        <v>C0243</v>
      </c>
    </row>
    <row r="1508" spans="1:11" x14ac:dyDescent="0.3">
      <c r="A1508" s="1" t="s">
        <v>3561</v>
      </c>
      <c r="B1508" s="1" t="s">
        <v>3560</v>
      </c>
      <c r="C1508" s="1" t="s">
        <v>1127</v>
      </c>
      <c r="D1508" s="1">
        <v>5</v>
      </c>
      <c r="E1508" s="1">
        <v>0.1</v>
      </c>
      <c r="F1508" s="1" t="b">
        <v>0</v>
      </c>
      <c r="G1508">
        <f>VLOOKUP(C1508,Products!A:D,4,FALSE)</f>
        <v>1660</v>
      </c>
      <c r="H1508" t="str">
        <f>VLOOKUP(C1508,Products!A:D,3,FALSE)</f>
        <v>Apparel</v>
      </c>
      <c r="I1508">
        <f t="shared" si="23"/>
        <v>7470</v>
      </c>
      <c r="J1508" s="2">
        <f>VLOOKUP(B1508,Orders!A:C,3,FALSE)</f>
        <v>45779</v>
      </c>
      <c r="K1508" s="1" t="str">
        <f>VLOOKUP(B1508,Orders!A:B,2,FALSE)</f>
        <v>C0243</v>
      </c>
    </row>
    <row r="1509" spans="1:11" x14ac:dyDescent="0.3">
      <c r="A1509" s="1" t="s">
        <v>3562</v>
      </c>
      <c r="B1509" s="1" t="s">
        <v>3563</v>
      </c>
      <c r="C1509" s="1" t="s">
        <v>1137</v>
      </c>
      <c r="D1509" s="1">
        <v>3</v>
      </c>
      <c r="E1509" s="1">
        <v>0.05</v>
      </c>
      <c r="F1509" s="1" t="b">
        <v>0</v>
      </c>
      <c r="G1509">
        <f>VLOOKUP(C1509,Products!A:D,4,FALSE)</f>
        <v>1910</v>
      </c>
      <c r="H1509" t="str">
        <f>VLOOKUP(C1509,Products!A:D,3,FALSE)</f>
        <v>Apparel</v>
      </c>
      <c r="I1509">
        <f t="shared" si="23"/>
        <v>5443.5</v>
      </c>
      <c r="J1509" s="2">
        <f>VLOOKUP(B1509,Orders!A:C,3,FALSE)</f>
        <v>46047</v>
      </c>
      <c r="K1509" s="1" t="str">
        <f>VLOOKUP(B1509,Orders!A:B,2,FALSE)</f>
        <v>C0005</v>
      </c>
    </row>
    <row r="1510" spans="1:11" x14ac:dyDescent="0.3">
      <c r="A1510" s="1" t="s">
        <v>3564</v>
      </c>
      <c r="B1510" s="1" t="s">
        <v>3563</v>
      </c>
      <c r="C1510" s="1" t="s">
        <v>1127</v>
      </c>
      <c r="D1510" s="1">
        <v>2</v>
      </c>
      <c r="E1510" s="1">
        <v>0</v>
      </c>
      <c r="F1510" s="1" t="b">
        <v>0</v>
      </c>
      <c r="G1510">
        <f>VLOOKUP(C1510,Products!A:D,4,FALSE)</f>
        <v>1660</v>
      </c>
      <c r="H1510" t="str">
        <f>VLOOKUP(C1510,Products!A:D,3,FALSE)</f>
        <v>Apparel</v>
      </c>
      <c r="I1510">
        <f t="shared" si="23"/>
        <v>3320</v>
      </c>
      <c r="J1510" s="2">
        <f>VLOOKUP(B1510,Orders!A:C,3,FALSE)</f>
        <v>46047</v>
      </c>
      <c r="K1510" s="1" t="str">
        <f>VLOOKUP(B1510,Orders!A:B,2,FALSE)</f>
        <v>C0005</v>
      </c>
    </row>
    <row r="1511" spans="1:11" x14ac:dyDescent="0.3">
      <c r="A1511" s="1" t="s">
        <v>3565</v>
      </c>
      <c r="B1511" s="1" t="s">
        <v>3563</v>
      </c>
      <c r="C1511" s="1" t="s">
        <v>1123</v>
      </c>
      <c r="D1511" s="1">
        <v>1</v>
      </c>
      <c r="E1511" s="1">
        <v>0.05</v>
      </c>
      <c r="F1511" s="1" t="b">
        <v>0</v>
      </c>
      <c r="G1511">
        <f>VLOOKUP(C1511,Products!A:D,4,FALSE)</f>
        <v>2200</v>
      </c>
      <c r="H1511" t="str">
        <f>VLOOKUP(C1511,Products!A:D,3,FALSE)</f>
        <v>Electronics</v>
      </c>
      <c r="I1511">
        <f t="shared" si="23"/>
        <v>2090</v>
      </c>
      <c r="J1511" s="2">
        <f>VLOOKUP(B1511,Orders!A:C,3,FALSE)</f>
        <v>46047</v>
      </c>
      <c r="K1511" s="1" t="str">
        <f>VLOOKUP(B1511,Orders!A:B,2,FALSE)</f>
        <v>C0005</v>
      </c>
    </row>
    <row r="1512" spans="1:11" x14ac:dyDescent="0.3">
      <c r="A1512" s="1" t="s">
        <v>3566</v>
      </c>
      <c r="B1512" s="1" t="s">
        <v>3563</v>
      </c>
      <c r="C1512" s="1" t="s">
        <v>1299</v>
      </c>
      <c r="D1512" s="1">
        <v>1</v>
      </c>
      <c r="E1512" s="1">
        <v>0.15</v>
      </c>
      <c r="F1512" s="1" t="b">
        <v>0</v>
      </c>
      <c r="G1512">
        <f>VLOOKUP(C1512,Products!A:D,4,FALSE)</f>
        <v>1080</v>
      </c>
      <c r="H1512" t="str">
        <f>VLOOKUP(C1512,Products!A:D,3,FALSE)</f>
        <v>Beauty</v>
      </c>
      <c r="I1512">
        <f t="shared" si="23"/>
        <v>918</v>
      </c>
      <c r="J1512" s="2">
        <f>VLOOKUP(B1512,Orders!A:C,3,FALSE)</f>
        <v>46047</v>
      </c>
      <c r="K1512" s="1" t="str">
        <f>VLOOKUP(B1512,Orders!A:B,2,FALSE)</f>
        <v>C0005</v>
      </c>
    </row>
    <row r="1513" spans="1:11" x14ac:dyDescent="0.3">
      <c r="A1513" s="1" t="s">
        <v>3567</v>
      </c>
      <c r="B1513" s="1" t="s">
        <v>3568</v>
      </c>
      <c r="C1513" s="1" t="s">
        <v>1168</v>
      </c>
      <c r="D1513" s="1">
        <v>4</v>
      </c>
      <c r="E1513" s="1">
        <v>0.1</v>
      </c>
      <c r="F1513" s="1" t="b">
        <v>0</v>
      </c>
      <c r="G1513">
        <f>VLOOKUP(C1513,Products!A:D,4,FALSE)</f>
        <v>1440</v>
      </c>
      <c r="H1513" t="str">
        <f>VLOOKUP(C1513,Products!A:D,3,FALSE)</f>
        <v>Sports</v>
      </c>
      <c r="I1513">
        <f t="shared" si="23"/>
        <v>5184</v>
      </c>
      <c r="J1513" s="2">
        <f>VLOOKUP(B1513,Orders!A:C,3,FALSE)</f>
        <v>45761</v>
      </c>
      <c r="K1513" s="1" t="str">
        <f>VLOOKUP(B1513,Orders!A:B,2,FALSE)</f>
        <v>C0157</v>
      </c>
    </row>
    <row r="1514" spans="1:11" x14ac:dyDescent="0.3">
      <c r="A1514" s="1" t="s">
        <v>3569</v>
      </c>
      <c r="B1514" s="1" t="s">
        <v>3570</v>
      </c>
      <c r="C1514" s="1" t="s">
        <v>1209</v>
      </c>
      <c r="D1514" s="1">
        <v>3</v>
      </c>
      <c r="E1514" s="1">
        <v>0.2</v>
      </c>
      <c r="F1514" s="1" t="b">
        <v>0</v>
      </c>
      <c r="G1514">
        <f>VLOOKUP(C1514,Products!A:D,4,FALSE)</f>
        <v>1580</v>
      </c>
      <c r="H1514" t="str">
        <f>VLOOKUP(C1514,Products!A:D,3,FALSE)</f>
        <v>Apparel</v>
      </c>
      <c r="I1514">
        <f t="shared" si="23"/>
        <v>3792</v>
      </c>
      <c r="J1514" s="2">
        <f>VLOOKUP(B1514,Orders!A:C,3,FALSE)</f>
        <v>45952</v>
      </c>
      <c r="K1514" s="1" t="str">
        <f>VLOOKUP(B1514,Orders!A:B,2,FALSE)</f>
        <v>C0217</v>
      </c>
    </row>
    <row r="1515" spans="1:11" x14ac:dyDescent="0.3">
      <c r="A1515" s="1" t="s">
        <v>3571</v>
      </c>
      <c r="B1515" s="1" t="s">
        <v>3572</v>
      </c>
      <c r="C1515" s="1" t="s">
        <v>1132</v>
      </c>
      <c r="D1515" s="1">
        <v>4</v>
      </c>
      <c r="E1515" s="1">
        <v>0</v>
      </c>
      <c r="F1515" s="1" t="b">
        <v>0</v>
      </c>
      <c r="G1515">
        <f>VLOOKUP(C1515,Products!A:D,4,FALSE)</f>
        <v>420</v>
      </c>
      <c r="H1515" t="str">
        <f>VLOOKUP(C1515,Products!A:D,3,FALSE)</f>
        <v>Beauty</v>
      </c>
      <c r="I1515">
        <f t="shared" si="23"/>
        <v>1680</v>
      </c>
      <c r="J1515" s="2">
        <f>VLOOKUP(B1515,Orders!A:C,3,FALSE)</f>
        <v>45780</v>
      </c>
      <c r="K1515" s="1" t="str">
        <f>VLOOKUP(B1515,Orders!A:B,2,FALSE)</f>
        <v>C0236</v>
      </c>
    </row>
    <row r="1516" spans="1:11" x14ac:dyDescent="0.3">
      <c r="A1516" s="1" t="s">
        <v>3573</v>
      </c>
      <c r="B1516" s="1" t="s">
        <v>3572</v>
      </c>
      <c r="C1516" s="1" t="s">
        <v>1130</v>
      </c>
      <c r="D1516" s="1">
        <v>3</v>
      </c>
      <c r="E1516" s="1">
        <v>0</v>
      </c>
      <c r="F1516" s="1" t="b">
        <v>0</v>
      </c>
      <c r="G1516">
        <f>VLOOKUP(C1516,Products!A:D,4,FALSE)</f>
        <v>2400</v>
      </c>
      <c r="H1516" t="str">
        <f>VLOOKUP(C1516,Products!A:D,3,FALSE)</f>
        <v>Electronics</v>
      </c>
      <c r="I1516">
        <f t="shared" si="23"/>
        <v>7200</v>
      </c>
      <c r="J1516" s="2">
        <f>VLOOKUP(B1516,Orders!A:C,3,FALSE)</f>
        <v>45780</v>
      </c>
      <c r="K1516" s="1" t="str">
        <f>VLOOKUP(B1516,Orders!A:B,2,FALSE)</f>
        <v>C0236</v>
      </c>
    </row>
    <row r="1517" spans="1:11" x14ac:dyDescent="0.3">
      <c r="A1517" s="1" t="s">
        <v>3574</v>
      </c>
      <c r="B1517" s="1" t="s">
        <v>3575</v>
      </c>
      <c r="C1517" s="1" t="s">
        <v>1249</v>
      </c>
      <c r="D1517" s="1">
        <v>5</v>
      </c>
      <c r="E1517" s="1">
        <v>0</v>
      </c>
      <c r="F1517" s="1" t="b">
        <v>0</v>
      </c>
      <c r="G1517">
        <f>VLOOKUP(C1517,Products!A:D,4,FALSE)</f>
        <v>3630</v>
      </c>
      <c r="H1517" t="str">
        <f>VLOOKUP(C1517,Products!A:D,3,FALSE)</f>
        <v>Electronics</v>
      </c>
      <c r="I1517">
        <f t="shared" si="23"/>
        <v>18150</v>
      </c>
      <c r="J1517" s="2">
        <f>VLOOKUP(B1517,Orders!A:C,3,FALSE)</f>
        <v>46008</v>
      </c>
      <c r="K1517" s="1" t="str">
        <f>VLOOKUP(B1517,Orders!A:B,2,FALSE)</f>
        <v>C0155</v>
      </c>
    </row>
    <row r="1518" spans="1:11" x14ac:dyDescent="0.3">
      <c r="A1518" s="1" t="s">
        <v>3576</v>
      </c>
      <c r="B1518" s="1" t="s">
        <v>3577</v>
      </c>
      <c r="C1518" s="1" t="s">
        <v>1182</v>
      </c>
      <c r="D1518" s="1">
        <v>2</v>
      </c>
      <c r="E1518" s="1">
        <v>0.15</v>
      </c>
      <c r="F1518" s="1" t="b">
        <v>0</v>
      </c>
      <c r="G1518">
        <f>VLOOKUP(C1518,Products!A:D,4,FALSE)</f>
        <v>790</v>
      </c>
      <c r="H1518" t="str">
        <f>VLOOKUP(C1518,Products!A:D,3,FALSE)</f>
        <v>Sports</v>
      </c>
      <c r="I1518">
        <f t="shared" si="23"/>
        <v>1343</v>
      </c>
      <c r="J1518" s="2">
        <f>VLOOKUP(B1518,Orders!A:C,3,FALSE)</f>
        <v>46158</v>
      </c>
      <c r="K1518" s="1" t="str">
        <f>VLOOKUP(B1518,Orders!A:B,2,FALSE)</f>
        <v>C0204</v>
      </c>
    </row>
    <row r="1519" spans="1:11" x14ac:dyDescent="0.3">
      <c r="A1519" s="1" t="s">
        <v>3578</v>
      </c>
      <c r="B1519" s="1" t="s">
        <v>3579</v>
      </c>
      <c r="C1519" s="1" t="s">
        <v>1174</v>
      </c>
      <c r="D1519" s="1">
        <v>1</v>
      </c>
      <c r="E1519" s="1">
        <v>0</v>
      </c>
      <c r="F1519" s="1" t="b">
        <v>0</v>
      </c>
      <c r="G1519">
        <f>VLOOKUP(C1519,Products!A:D,4,FALSE)</f>
        <v>1250</v>
      </c>
      <c r="H1519" t="str">
        <f>VLOOKUP(C1519,Products!A:D,3,FALSE)</f>
        <v>Sports</v>
      </c>
      <c r="I1519">
        <f t="shared" si="23"/>
        <v>1250</v>
      </c>
      <c r="J1519" s="2">
        <f>VLOOKUP(B1519,Orders!A:C,3,FALSE)</f>
        <v>45805</v>
      </c>
      <c r="K1519" s="1" t="str">
        <f>VLOOKUP(B1519,Orders!A:B,2,FALSE)</f>
        <v>C0262</v>
      </c>
    </row>
    <row r="1520" spans="1:11" x14ac:dyDescent="0.3">
      <c r="A1520" s="1" t="s">
        <v>3580</v>
      </c>
      <c r="B1520" s="1" t="s">
        <v>3579</v>
      </c>
      <c r="C1520" s="1" t="s">
        <v>1644</v>
      </c>
      <c r="D1520" s="1">
        <v>2</v>
      </c>
      <c r="E1520" s="1">
        <v>0</v>
      </c>
      <c r="F1520" s="1" t="b">
        <v>0</v>
      </c>
      <c r="G1520">
        <f>VLOOKUP(C1520,Products!A:D,4,FALSE)</f>
        <v>1930</v>
      </c>
      <c r="H1520" t="str">
        <f>VLOOKUP(C1520,Products!A:D,3,FALSE)</f>
        <v>Home &amp; Kitchen</v>
      </c>
      <c r="I1520">
        <f t="shared" si="23"/>
        <v>3860</v>
      </c>
      <c r="J1520" s="2">
        <f>VLOOKUP(B1520,Orders!A:C,3,FALSE)</f>
        <v>45805</v>
      </c>
      <c r="K1520" s="1" t="str">
        <f>VLOOKUP(B1520,Orders!A:B,2,FALSE)</f>
        <v>C0262</v>
      </c>
    </row>
    <row r="1521" spans="1:11" x14ac:dyDescent="0.3">
      <c r="A1521" s="1" t="s">
        <v>3581</v>
      </c>
      <c r="B1521" s="1" t="s">
        <v>3582</v>
      </c>
      <c r="C1521" s="1" t="s">
        <v>1202</v>
      </c>
      <c r="D1521" s="1">
        <v>2</v>
      </c>
      <c r="E1521" s="1">
        <v>0</v>
      </c>
      <c r="F1521" s="1" t="b">
        <v>0</v>
      </c>
      <c r="G1521">
        <f>VLOOKUP(C1521,Products!A:D,4,FALSE)</f>
        <v>530</v>
      </c>
      <c r="H1521" t="str">
        <f>VLOOKUP(C1521,Products!A:D,3,FALSE)</f>
        <v>Beauty</v>
      </c>
      <c r="I1521">
        <f t="shared" si="23"/>
        <v>1060</v>
      </c>
      <c r="J1521" s="2">
        <f>VLOOKUP(B1521,Orders!A:C,3,FALSE)</f>
        <v>45807</v>
      </c>
      <c r="K1521" s="1" t="str">
        <f>VLOOKUP(B1521,Orders!A:B,2,FALSE)</f>
        <v>C0288</v>
      </c>
    </row>
    <row r="1522" spans="1:11" x14ac:dyDescent="0.3">
      <c r="A1522" s="1" t="s">
        <v>3583</v>
      </c>
      <c r="B1522" s="1" t="s">
        <v>3584</v>
      </c>
      <c r="C1522" s="1" t="s">
        <v>1262</v>
      </c>
      <c r="D1522" s="1">
        <v>2</v>
      </c>
      <c r="E1522" s="1">
        <v>0</v>
      </c>
      <c r="F1522" s="1" t="b">
        <v>0</v>
      </c>
      <c r="G1522">
        <f>VLOOKUP(C1522,Products!A:D,4,FALSE)</f>
        <v>4020</v>
      </c>
      <c r="H1522" t="str">
        <f>VLOOKUP(C1522,Products!A:D,3,FALSE)</f>
        <v>Sports</v>
      </c>
      <c r="I1522">
        <f t="shared" si="23"/>
        <v>8040</v>
      </c>
      <c r="J1522" s="2">
        <f>VLOOKUP(B1522,Orders!A:C,3,FALSE)</f>
        <v>46040</v>
      </c>
      <c r="K1522" s="1" t="str">
        <f>VLOOKUP(B1522,Orders!A:B,2,FALSE)</f>
        <v>C0145</v>
      </c>
    </row>
    <row r="1523" spans="1:11" x14ac:dyDescent="0.3">
      <c r="A1523" s="1" t="s">
        <v>3585</v>
      </c>
      <c r="B1523" s="1" t="s">
        <v>3584</v>
      </c>
      <c r="C1523" s="1" t="s">
        <v>1288</v>
      </c>
      <c r="D1523" s="1">
        <v>2</v>
      </c>
      <c r="E1523" s="1">
        <v>0.2</v>
      </c>
      <c r="F1523" s="1" t="b">
        <v>0</v>
      </c>
      <c r="G1523">
        <f>VLOOKUP(C1523,Products!A:D,4,FALSE)</f>
        <v>2580</v>
      </c>
      <c r="H1523" t="str">
        <f>VLOOKUP(C1523,Products!A:D,3,FALSE)</f>
        <v>Beauty</v>
      </c>
      <c r="I1523">
        <f t="shared" si="23"/>
        <v>4128</v>
      </c>
      <c r="J1523" s="2">
        <f>VLOOKUP(B1523,Orders!A:C,3,FALSE)</f>
        <v>46040</v>
      </c>
      <c r="K1523" s="1" t="str">
        <f>VLOOKUP(B1523,Orders!A:B,2,FALSE)</f>
        <v>C0145</v>
      </c>
    </row>
    <row r="1524" spans="1:11" x14ac:dyDescent="0.3">
      <c r="A1524" s="1" t="s">
        <v>3586</v>
      </c>
      <c r="B1524" s="1" t="s">
        <v>3584</v>
      </c>
      <c r="C1524" s="1" t="s">
        <v>1202</v>
      </c>
      <c r="D1524" s="1">
        <v>1</v>
      </c>
      <c r="E1524" s="1">
        <v>0</v>
      </c>
      <c r="F1524" s="1" t="b">
        <v>0</v>
      </c>
      <c r="G1524">
        <f>VLOOKUP(C1524,Products!A:D,4,FALSE)</f>
        <v>530</v>
      </c>
      <c r="H1524" t="str">
        <f>VLOOKUP(C1524,Products!A:D,3,FALSE)</f>
        <v>Beauty</v>
      </c>
      <c r="I1524">
        <f t="shared" si="23"/>
        <v>530</v>
      </c>
      <c r="J1524" s="2">
        <f>VLOOKUP(B1524,Orders!A:C,3,FALSE)</f>
        <v>46040</v>
      </c>
      <c r="K1524" s="1" t="str">
        <f>VLOOKUP(B1524,Orders!A:B,2,FALSE)</f>
        <v>C0145</v>
      </c>
    </row>
    <row r="1525" spans="1:11" x14ac:dyDescent="0.3">
      <c r="A1525" s="1" t="s">
        <v>3587</v>
      </c>
      <c r="B1525" s="1" t="s">
        <v>3588</v>
      </c>
      <c r="C1525" s="1" t="s">
        <v>1163</v>
      </c>
      <c r="D1525" s="1">
        <v>4</v>
      </c>
      <c r="E1525" s="1">
        <v>0.15</v>
      </c>
      <c r="F1525" s="1" t="b">
        <v>0</v>
      </c>
      <c r="G1525">
        <f>VLOOKUP(C1525,Products!A:D,4,FALSE)</f>
        <v>2180</v>
      </c>
      <c r="H1525" t="str">
        <f>VLOOKUP(C1525,Products!A:D,3,FALSE)</f>
        <v>Electronics</v>
      </c>
      <c r="I1525">
        <f t="shared" si="23"/>
        <v>7412</v>
      </c>
      <c r="J1525" s="2">
        <f>VLOOKUP(B1525,Orders!A:C,3,FALSE)</f>
        <v>46001</v>
      </c>
      <c r="K1525" s="1" t="str">
        <f>VLOOKUP(B1525,Orders!A:B,2,FALSE)</f>
        <v>C0247</v>
      </c>
    </row>
    <row r="1526" spans="1:11" x14ac:dyDescent="0.3">
      <c r="A1526" s="1" t="s">
        <v>3589</v>
      </c>
      <c r="B1526" s="1" t="s">
        <v>3588</v>
      </c>
      <c r="C1526" s="1" t="s">
        <v>1213</v>
      </c>
      <c r="D1526" s="1">
        <v>3</v>
      </c>
      <c r="E1526" s="1">
        <v>0</v>
      </c>
      <c r="F1526" s="1" t="b">
        <v>0</v>
      </c>
      <c r="G1526">
        <f>VLOOKUP(C1526,Products!A:D,4,FALSE)</f>
        <v>1765</v>
      </c>
      <c r="H1526" t="str">
        <f>VLOOKUP(C1526,Products!A:D,3,FALSE)</f>
        <v>Beauty</v>
      </c>
      <c r="I1526">
        <f t="shared" si="23"/>
        <v>5295</v>
      </c>
      <c r="J1526" s="2">
        <f>VLOOKUP(B1526,Orders!A:C,3,FALSE)</f>
        <v>46001</v>
      </c>
      <c r="K1526" s="1" t="str">
        <f>VLOOKUP(B1526,Orders!A:B,2,FALSE)</f>
        <v>C0247</v>
      </c>
    </row>
    <row r="1527" spans="1:11" x14ac:dyDescent="0.3">
      <c r="A1527" s="1" t="s">
        <v>3590</v>
      </c>
      <c r="B1527" s="1" t="s">
        <v>3588</v>
      </c>
      <c r="C1527" s="1" t="s">
        <v>1468</v>
      </c>
      <c r="D1527" s="1">
        <v>4</v>
      </c>
      <c r="E1527" s="1">
        <v>0</v>
      </c>
      <c r="F1527" s="1" t="b">
        <v>0</v>
      </c>
      <c r="G1527">
        <f>VLOOKUP(C1527,Products!A:D,4,FALSE)</f>
        <v>2040</v>
      </c>
      <c r="H1527" t="str">
        <f>VLOOKUP(C1527,Products!A:D,3,FALSE)</f>
        <v>Books</v>
      </c>
      <c r="I1527">
        <f t="shared" si="23"/>
        <v>8160</v>
      </c>
      <c r="J1527" s="2">
        <f>VLOOKUP(B1527,Orders!A:C,3,FALSE)</f>
        <v>46001</v>
      </c>
      <c r="K1527" s="1" t="str">
        <f>VLOOKUP(B1527,Orders!A:B,2,FALSE)</f>
        <v>C0247</v>
      </c>
    </row>
    <row r="1528" spans="1:11" x14ac:dyDescent="0.3">
      <c r="A1528" s="1" t="s">
        <v>3591</v>
      </c>
      <c r="B1528" s="1" t="s">
        <v>3592</v>
      </c>
      <c r="C1528" s="1" t="s">
        <v>1462</v>
      </c>
      <c r="D1528" s="1">
        <v>2</v>
      </c>
      <c r="E1528" s="1">
        <v>0.1</v>
      </c>
      <c r="F1528" s="1" t="b">
        <v>0</v>
      </c>
      <c r="G1528">
        <f>VLOOKUP(C1528,Products!A:D,4,FALSE)</f>
        <v>3070</v>
      </c>
      <c r="H1528" t="str">
        <f>VLOOKUP(C1528,Products!A:D,3,FALSE)</f>
        <v>Apparel</v>
      </c>
      <c r="I1528">
        <f t="shared" si="23"/>
        <v>5526</v>
      </c>
      <c r="J1528" s="2">
        <f>VLOOKUP(B1528,Orders!A:C,3,FALSE)</f>
        <v>46091</v>
      </c>
      <c r="K1528" s="1" t="str">
        <f>VLOOKUP(B1528,Orders!A:B,2,FALSE)</f>
        <v>C0142</v>
      </c>
    </row>
    <row r="1529" spans="1:11" x14ac:dyDescent="0.3">
      <c r="A1529" s="1" t="s">
        <v>3593</v>
      </c>
      <c r="B1529" s="1" t="s">
        <v>3594</v>
      </c>
      <c r="C1529" s="1" t="s">
        <v>1191</v>
      </c>
      <c r="D1529" s="1">
        <v>4</v>
      </c>
      <c r="E1529" s="1">
        <v>0.15</v>
      </c>
      <c r="F1529" s="1" t="b">
        <v>0</v>
      </c>
      <c r="G1529">
        <f>VLOOKUP(C1529,Products!A:D,4,FALSE)</f>
        <v>99</v>
      </c>
      <c r="H1529" t="str">
        <f>VLOOKUP(C1529,Products!A:D,3,FALSE)</f>
        <v>Sports</v>
      </c>
      <c r="I1529">
        <f t="shared" si="23"/>
        <v>336.59999999999997</v>
      </c>
      <c r="J1529" s="2">
        <f>VLOOKUP(B1529,Orders!A:C,3,FALSE)</f>
        <v>45841</v>
      </c>
      <c r="K1529" s="1" t="str">
        <f>VLOOKUP(B1529,Orders!A:B,2,FALSE)</f>
        <v>C0134</v>
      </c>
    </row>
    <row r="1530" spans="1:11" x14ac:dyDescent="0.3">
      <c r="A1530" s="1" t="s">
        <v>3595</v>
      </c>
      <c r="B1530" s="1" t="s">
        <v>3594</v>
      </c>
      <c r="C1530" s="1" t="s">
        <v>1656</v>
      </c>
      <c r="D1530" s="1">
        <v>1</v>
      </c>
      <c r="E1530" s="1">
        <v>0</v>
      </c>
      <c r="F1530" s="1" t="b">
        <v>0</v>
      </c>
      <c r="G1530">
        <f>VLOOKUP(C1530,Products!A:D,4,FALSE)</f>
        <v>1240</v>
      </c>
      <c r="H1530" t="str">
        <f>VLOOKUP(C1530,Products!A:D,3,FALSE)</f>
        <v>Beauty</v>
      </c>
      <c r="I1530">
        <f t="shared" si="23"/>
        <v>1240</v>
      </c>
      <c r="J1530" s="2">
        <f>VLOOKUP(B1530,Orders!A:C,3,FALSE)</f>
        <v>45841</v>
      </c>
      <c r="K1530" s="1" t="str">
        <f>VLOOKUP(B1530,Orders!A:B,2,FALSE)</f>
        <v>C0134</v>
      </c>
    </row>
    <row r="1531" spans="1:11" x14ac:dyDescent="0.3">
      <c r="A1531" s="1" t="s">
        <v>3596</v>
      </c>
      <c r="B1531" s="1" t="s">
        <v>3594</v>
      </c>
      <c r="C1531" s="1" t="s">
        <v>1330</v>
      </c>
      <c r="D1531" s="1">
        <v>2</v>
      </c>
      <c r="E1531" s="1">
        <v>0</v>
      </c>
      <c r="F1531" s="1" t="b">
        <v>0</v>
      </c>
      <c r="G1531">
        <f>VLOOKUP(C1531,Products!A:D,4,FALSE)</f>
        <v>580</v>
      </c>
      <c r="H1531" t="str">
        <f>VLOOKUP(C1531,Products!A:D,3,FALSE)</f>
        <v>Books</v>
      </c>
      <c r="I1531">
        <f t="shared" si="23"/>
        <v>1160</v>
      </c>
      <c r="J1531" s="2">
        <f>VLOOKUP(B1531,Orders!A:C,3,FALSE)</f>
        <v>45841</v>
      </c>
      <c r="K1531" s="1" t="str">
        <f>VLOOKUP(B1531,Orders!A:B,2,FALSE)</f>
        <v>C0134</v>
      </c>
    </row>
    <row r="1532" spans="1:11" x14ac:dyDescent="0.3">
      <c r="A1532" s="1" t="s">
        <v>3597</v>
      </c>
      <c r="B1532" s="1" t="s">
        <v>3594</v>
      </c>
      <c r="C1532" s="1" t="s">
        <v>1143</v>
      </c>
      <c r="D1532" s="1">
        <v>4</v>
      </c>
      <c r="E1532" s="1">
        <v>0.15</v>
      </c>
      <c r="F1532" s="1" t="b">
        <v>0</v>
      </c>
      <c r="G1532">
        <f>VLOOKUP(C1532,Products!A:D,4,FALSE)</f>
        <v>2230</v>
      </c>
      <c r="H1532" t="str">
        <f>VLOOKUP(C1532,Products!A:D,3,FALSE)</f>
        <v>Home &amp; Kitchen</v>
      </c>
      <c r="I1532">
        <f t="shared" si="23"/>
        <v>7582</v>
      </c>
      <c r="J1532" s="2">
        <f>VLOOKUP(B1532,Orders!A:C,3,FALSE)</f>
        <v>45841</v>
      </c>
      <c r="K1532" s="1" t="str">
        <f>VLOOKUP(B1532,Orders!A:B,2,FALSE)</f>
        <v>C0134</v>
      </c>
    </row>
    <row r="1533" spans="1:11" x14ac:dyDescent="0.3">
      <c r="A1533" s="1" t="s">
        <v>3598</v>
      </c>
      <c r="B1533" s="1" t="s">
        <v>3599</v>
      </c>
      <c r="C1533" s="1" t="s">
        <v>1391</v>
      </c>
      <c r="D1533" s="1">
        <v>4</v>
      </c>
      <c r="E1533" s="1">
        <v>0.15</v>
      </c>
      <c r="F1533" s="1" t="b">
        <v>0</v>
      </c>
      <c r="G1533">
        <f>VLOOKUP(C1533,Products!A:D,4,FALSE)</f>
        <v>1900</v>
      </c>
      <c r="H1533" t="str">
        <f>VLOOKUP(C1533,Products!A:D,3,FALSE)</f>
        <v>Beauty</v>
      </c>
      <c r="I1533">
        <f t="shared" si="23"/>
        <v>6460</v>
      </c>
      <c r="J1533" s="2">
        <f>VLOOKUP(B1533,Orders!A:C,3,FALSE)</f>
        <v>46071</v>
      </c>
      <c r="K1533" s="1" t="str">
        <f>VLOOKUP(B1533,Orders!A:B,2,FALSE)</f>
        <v>C0097</v>
      </c>
    </row>
    <row r="1534" spans="1:11" x14ac:dyDescent="0.3">
      <c r="A1534" s="1" t="s">
        <v>3600</v>
      </c>
      <c r="B1534" s="1" t="s">
        <v>3601</v>
      </c>
      <c r="C1534" s="1" t="s">
        <v>1157</v>
      </c>
      <c r="D1534" s="1">
        <v>5</v>
      </c>
      <c r="E1534" s="1">
        <v>0.1</v>
      </c>
      <c r="F1534" s="1" t="b">
        <v>0</v>
      </c>
      <c r="G1534">
        <f>VLOOKUP(C1534,Products!A:D,4,FALSE)</f>
        <v>1520</v>
      </c>
      <c r="H1534" t="str">
        <f>VLOOKUP(C1534,Products!A:D,3,FALSE)</f>
        <v>Books</v>
      </c>
      <c r="I1534">
        <f t="shared" si="23"/>
        <v>6840</v>
      </c>
      <c r="J1534" s="2">
        <f>VLOOKUP(B1534,Orders!A:C,3,FALSE)</f>
        <v>46137</v>
      </c>
      <c r="K1534" s="1" t="str">
        <f>VLOOKUP(B1534,Orders!A:B,2,FALSE)</f>
        <v>C0030</v>
      </c>
    </row>
    <row r="1535" spans="1:11" x14ac:dyDescent="0.3">
      <c r="A1535" s="1" t="s">
        <v>3602</v>
      </c>
      <c r="B1535" s="1" t="s">
        <v>3603</v>
      </c>
      <c r="C1535" s="1" t="s">
        <v>1143</v>
      </c>
      <c r="D1535" s="1">
        <v>3</v>
      </c>
      <c r="E1535" s="1">
        <v>0.2</v>
      </c>
      <c r="F1535" s="1" t="b">
        <v>0</v>
      </c>
      <c r="G1535">
        <f>VLOOKUP(C1535,Products!A:D,4,FALSE)</f>
        <v>2230</v>
      </c>
      <c r="H1535" t="str">
        <f>VLOOKUP(C1535,Products!A:D,3,FALSE)</f>
        <v>Home &amp; Kitchen</v>
      </c>
      <c r="I1535">
        <f t="shared" si="23"/>
        <v>5352</v>
      </c>
      <c r="J1535" s="2">
        <f>VLOOKUP(B1535,Orders!A:C,3,FALSE)</f>
        <v>45868</v>
      </c>
      <c r="K1535" s="1" t="str">
        <f>VLOOKUP(B1535,Orders!A:B,2,FALSE)</f>
        <v>C0207</v>
      </c>
    </row>
    <row r="1536" spans="1:11" x14ac:dyDescent="0.3">
      <c r="A1536" s="1" t="s">
        <v>3604</v>
      </c>
      <c r="B1536" s="1" t="s">
        <v>3605</v>
      </c>
      <c r="C1536" s="1" t="s">
        <v>1262</v>
      </c>
      <c r="D1536" s="1">
        <v>1</v>
      </c>
      <c r="E1536" s="1">
        <v>0.15</v>
      </c>
      <c r="F1536" s="1" t="b">
        <v>0</v>
      </c>
      <c r="G1536">
        <f>VLOOKUP(C1536,Products!A:D,4,FALSE)</f>
        <v>4020</v>
      </c>
      <c r="H1536" t="str">
        <f>VLOOKUP(C1536,Products!A:D,3,FALSE)</f>
        <v>Sports</v>
      </c>
      <c r="I1536">
        <f t="shared" ref="I1536:I1559" si="24">G1536*D1536*(1-E1536)</f>
        <v>3417</v>
      </c>
      <c r="J1536" s="2">
        <f>VLOOKUP(B1536,Orders!A:C,3,FALSE)</f>
        <v>45773</v>
      </c>
      <c r="K1536" s="1" t="str">
        <f>VLOOKUP(B1536,Orders!A:B,2,FALSE)</f>
        <v>C0014</v>
      </c>
    </row>
    <row r="1537" spans="1:11" x14ac:dyDescent="0.3">
      <c r="A1537" s="1" t="s">
        <v>3606</v>
      </c>
      <c r="B1537" s="1" t="s">
        <v>3607</v>
      </c>
      <c r="C1537" s="1" t="s">
        <v>1330</v>
      </c>
      <c r="D1537" s="1">
        <v>5</v>
      </c>
      <c r="E1537" s="1">
        <v>0.1</v>
      </c>
      <c r="F1537" s="1" t="b">
        <v>0</v>
      </c>
      <c r="G1537">
        <f>VLOOKUP(C1537,Products!A:D,4,FALSE)</f>
        <v>580</v>
      </c>
      <c r="H1537" t="str">
        <f>VLOOKUP(C1537,Products!A:D,3,FALSE)</f>
        <v>Books</v>
      </c>
      <c r="I1537">
        <f t="shared" si="24"/>
        <v>2610</v>
      </c>
      <c r="J1537" s="2">
        <f>VLOOKUP(B1537,Orders!A:C,3,FALSE)</f>
        <v>46159</v>
      </c>
      <c r="K1537" s="1" t="str">
        <f>VLOOKUP(B1537,Orders!A:B,2,FALSE)</f>
        <v>C0133</v>
      </c>
    </row>
    <row r="1538" spans="1:11" x14ac:dyDescent="0.3">
      <c r="A1538" s="1" t="s">
        <v>3608</v>
      </c>
      <c r="B1538" s="1" t="s">
        <v>3607</v>
      </c>
      <c r="C1538" s="1" t="s">
        <v>1135</v>
      </c>
      <c r="D1538" s="1">
        <v>2</v>
      </c>
      <c r="E1538" s="1">
        <v>0.15</v>
      </c>
      <c r="F1538" s="1" t="b">
        <v>0</v>
      </c>
      <c r="G1538">
        <f>VLOOKUP(C1538,Products!A:D,4,FALSE)</f>
        <v>470</v>
      </c>
      <c r="H1538" t="str">
        <f>VLOOKUP(C1538,Products!A:D,3,FALSE)</f>
        <v>Apparel</v>
      </c>
      <c r="I1538">
        <f t="shared" si="24"/>
        <v>799</v>
      </c>
      <c r="J1538" s="2">
        <f>VLOOKUP(B1538,Orders!A:C,3,FALSE)</f>
        <v>46159</v>
      </c>
      <c r="K1538" s="1" t="str">
        <f>VLOOKUP(B1538,Orders!A:B,2,FALSE)</f>
        <v>C0133</v>
      </c>
    </row>
    <row r="1539" spans="1:11" x14ac:dyDescent="0.3">
      <c r="A1539" s="1" t="s">
        <v>3609</v>
      </c>
      <c r="B1539" s="1" t="s">
        <v>3610</v>
      </c>
      <c r="C1539" s="1" t="s">
        <v>1302</v>
      </c>
      <c r="D1539" s="1">
        <v>5</v>
      </c>
      <c r="E1539" s="1">
        <v>0</v>
      </c>
      <c r="F1539" s="1" t="b">
        <v>0</v>
      </c>
      <c r="G1539">
        <f>VLOOKUP(C1539,Products!A:D,4,FALSE)</f>
        <v>1220</v>
      </c>
      <c r="H1539" t="str">
        <f>VLOOKUP(C1539,Products!A:D,3,FALSE)</f>
        <v>Home &amp; Kitchen</v>
      </c>
      <c r="I1539">
        <f t="shared" si="24"/>
        <v>6100</v>
      </c>
      <c r="J1539" s="2">
        <f>VLOOKUP(B1539,Orders!A:C,3,FALSE)</f>
        <v>45911</v>
      </c>
      <c r="K1539" s="1" t="str">
        <f>VLOOKUP(B1539,Orders!A:B,2,FALSE)</f>
        <v>C0199</v>
      </c>
    </row>
    <row r="1540" spans="1:11" x14ac:dyDescent="0.3">
      <c r="A1540" s="1" t="s">
        <v>3611</v>
      </c>
      <c r="B1540" s="1" t="s">
        <v>3612</v>
      </c>
      <c r="C1540" s="1" t="s">
        <v>1265</v>
      </c>
      <c r="D1540" s="1">
        <v>5</v>
      </c>
      <c r="E1540" s="1">
        <v>0</v>
      </c>
      <c r="F1540" s="1" t="b">
        <v>0</v>
      </c>
      <c r="G1540">
        <f>VLOOKUP(C1540,Products!A:D,4,FALSE)</f>
        <v>99</v>
      </c>
      <c r="H1540" t="str">
        <f>VLOOKUP(C1540,Products!A:D,3,FALSE)</f>
        <v>Beauty</v>
      </c>
      <c r="I1540">
        <f t="shared" si="24"/>
        <v>495</v>
      </c>
      <c r="J1540" s="2">
        <f>VLOOKUP(B1540,Orders!A:C,3,FALSE)</f>
        <v>46240</v>
      </c>
      <c r="K1540" s="1" t="str">
        <f>VLOOKUP(B1540,Orders!A:B,2,FALSE)</f>
        <v>C0293</v>
      </c>
    </row>
    <row r="1541" spans="1:11" x14ac:dyDescent="0.3">
      <c r="A1541" s="1" t="s">
        <v>3613</v>
      </c>
      <c r="B1541" s="1" t="s">
        <v>3614</v>
      </c>
      <c r="C1541" s="1" t="s">
        <v>1498</v>
      </c>
      <c r="D1541" s="1">
        <v>2</v>
      </c>
      <c r="E1541" s="1">
        <v>0</v>
      </c>
      <c r="F1541" s="1" t="b">
        <v>0</v>
      </c>
      <c r="G1541">
        <f>VLOOKUP(C1541,Products!A:D,4,FALSE)</f>
        <v>1910</v>
      </c>
      <c r="H1541" t="str">
        <f>VLOOKUP(C1541,Products!A:D,3,FALSE)</f>
        <v>Apparel</v>
      </c>
      <c r="I1541">
        <f t="shared" si="24"/>
        <v>3820</v>
      </c>
      <c r="J1541" s="2">
        <f>VLOOKUP(B1541,Orders!A:C,3,FALSE)</f>
        <v>45783</v>
      </c>
      <c r="K1541" s="1" t="str">
        <f>VLOOKUP(B1541,Orders!A:B,2,FALSE)</f>
        <v>C0114</v>
      </c>
    </row>
    <row r="1542" spans="1:11" x14ac:dyDescent="0.3">
      <c r="A1542" s="1" t="s">
        <v>3615</v>
      </c>
      <c r="B1542" s="1" t="s">
        <v>3616</v>
      </c>
      <c r="C1542" s="1" t="s">
        <v>1116</v>
      </c>
      <c r="D1542" s="1">
        <v>4</v>
      </c>
      <c r="E1542" s="1">
        <v>0.15</v>
      </c>
      <c r="F1542" s="1" t="b">
        <v>0</v>
      </c>
      <c r="G1542">
        <f>VLOOKUP(C1542,Products!A:D,4,FALSE)</f>
        <v>3000</v>
      </c>
      <c r="H1542" t="str">
        <f>VLOOKUP(C1542,Products!A:D,3,FALSE)</f>
        <v>Home &amp; Kitchen</v>
      </c>
      <c r="I1542">
        <f t="shared" si="24"/>
        <v>10200</v>
      </c>
      <c r="J1542" s="2">
        <f>VLOOKUP(B1542,Orders!A:C,3,FALSE)</f>
        <v>46102</v>
      </c>
      <c r="K1542" s="1" t="str">
        <f>VLOOKUP(B1542,Orders!A:B,2,FALSE)</f>
        <v>C0184</v>
      </c>
    </row>
    <row r="1543" spans="1:11" x14ac:dyDescent="0.3">
      <c r="A1543" s="1" t="s">
        <v>3617</v>
      </c>
      <c r="B1543" s="1" t="s">
        <v>3616</v>
      </c>
      <c r="C1543" s="1" t="s">
        <v>1273</v>
      </c>
      <c r="D1543" s="1">
        <v>4</v>
      </c>
      <c r="E1543" s="1">
        <v>0</v>
      </c>
      <c r="F1543" s="1" t="b">
        <v>0</v>
      </c>
      <c r="G1543">
        <f>VLOOKUP(C1543,Products!A:D,4,FALSE)</f>
        <v>360</v>
      </c>
      <c r="H1543" t="str">
        <f>VLOOKUP(C1543,Products!A:D,3,FALSE)</f>
        <v>Beauty</v>
      </c>
      <c r="I1543">
        <f t="shared" si="24"/>
        <v>1440</v>
      </c>
      <c r="J1543" s="2">
        <f>VLOOKUP(B1543,Orders!A:C,3,FALSE)</f>
        <v>46102</v>
      </c>
      <c r="K1543" s="1" t="str">
        <f>VLOOKUP(B1543,Orders!A:B,2,FALSE)</f>
        <v>C0184</v>
      </c>
    </row>
    <row r="1544" spans="1:11" x14ac:dyDescent="0.3">
      <c r="A1544" s="1" t="s">
        <v>3618</v>
      </c>
      <c r="B1544" s="1" t="s">
        <v>3619</v>
      </c>
      <c r="C1544" s="1" t="s">
        <v>1109</v>
      </c>
      <c r="D1544" s="1">
        <v>1</v>
      </c>
      <c r="E1544" s="1">
        <v>0</v>
      </c>
      <c r="F1544" s="1" t="b">
        <v>0</v>
      </c>
      <c r="G1544">
        <f>VLOOKUP(C1544,Products!A:D,4,FALSE)</f>
        <v>1475</v>
      </c>
      <c r="H1544" t="str">
        <f>VLOOKUP(C1544,Products!A:D,3,FALSE)</f>
        <v>Books</v>
      </c>
      <c r="I1544">
        <f t="shared" si="24"/>
        <v>1475</v>
      </c>
      <c r="J1544" s="2">
        <f>VLOOKUP(B1544,Orders!A:C,3,FALSE)</f>
        <v>45966</v>
      </c>
      <c r="K1544" s="1" t="str">
        <f>VLOOKUP(B1544,Orders!A:B,2,FALSE)</f>
        <v>C0286</v>
      </c>
    </row>
    <row r="1545" spans="1:11" x14ac:dyDescent="0.3">
      <c r="A1545" s="1" t="s">
        <v>3620</v>
      </c>
      <c r="B1545" s="1" t="s">
        <v>3619</v>
      </c>
      <c r="C1545" s="1" t="s">
        <v>1299</v>
      </c>
      <c r="D1545" s="1">
        <v>2</v>
      </c>
      <c r="E1545" s="1">
        <v>0.05</v>
      </c>
      <c r="F1545" s="1" t="b">
        <v>0</v>
      </c>
      <c r="G1545">
        <f>VLOOKUP(C1545,Products!A:D,4,FALSE)</f>
        <v>1080</v>
      </c>
      <c r="H1545" t="str">
        <f>VLOOKUP(C1545,Products!A:D,3,FALSE)</f>
        <v>Beauty</v>
      </c>
      <c r="I1545">
        <f t="shared" si="24"/>
        <v>2052</v>
      </c>
      <c r="J1545" s="2">
        <f>VLOOKUP(B1545,Orders!A:C,3,FALSE)</f>
        <v>45966</v>
      </c>
      <c r="K1545" s="1" t="str">
        <f>VLOOKUP(B1545,Orders!A:B,2,FALSE)</f>
        <v>C0286</v>
      </c>
    </row>
    <row r="1546" spans="1:11" x14ac:dyDescent="0.3">
      <c r="A1546" s="1" t="s">
        <v>3621</v>
      </c>
      <c r="B1546" s="1" t="s">
        <v>3622</v>
      </c>
      <c r="C1546" s="1" t="s">
        <v>1315</v>
      </c>
      <c r="D1546" s="1">
        <v>2</v>
      </c>
      <c r="E1546" s="1">
        <v>0</v>
      </c>
      <c r="F1546" s="1" t="b">
        <v>0</v>
      </c>
      <c r="G1546">
        <f>VLOOKUP(C1546,Products!A:D,4,FALSE)</f>
        <v>2190</v>
      </c>
      <c r="H1546" t="str">
        <f>VLOOKUP(C1546,Products!A:D,3,FALSE)</f>
        <v>Electronics</v>
      </c>
      <c r="I1546">
        <f t="shared" si="24"/>
        <v>4380</v>
      </c>
      <c r="J1546" s="2">
        <f>VLOOKUP(B1546,Orders!A:C,3,FALSE)</f>
        <v>45924</v>
      </c>
      <c r="K1546" s="1" t="str">
        <f>VLOOKUP(B1546,Orders!A:B,2,FALSE)</f>
        <v>C0242</v>
      </c>
    </row>
    <row r="1547" spans="1:11" x14ac:dyDescent="0.3">
      <c r="A1547" s="1" t="s">
        <v>3623</v>
      </c>
      <c r="B1547" s="1" t="s">
        <v>3622</v>
      </c>
      <c r="C1547" s="1" t="s">
        <v>1140</v>
      </c>
      <c r="D1547" s="1">
        <v>4</v>
      </c>
      <c r="E1547" s="1">
        <v>0.1</v>
      </c>
      <c r="F1547" s="1" t="b">
        <v>0</v>
      </c>
      <c r="G1547">
        <f>VLOOKUP(C1547,Products!A:D,4,FALSE)</f>
        <v>3040</v>
      </c>
      <c r="H1547" t="str">
        <f>VLOOKUP(C1547,Products!A:D,3,FALSE)</f>
        <v>Electronics</v>
      </c>
      <c r="I1547">
        <f t="shared" si="24"/>
        <v>10944</v>
      </c>
      <c r="J1547" s="2">
        <f>VLOOKUP(B1547,Orders!A:C,3,FALSE)</f>
        <v>45924</v>
      </c>
      <c r="K1547" s="1" t="str">
        <f>VLOOKUP(B1547,Orders!A:B,2,FALSE)</f>
        <v>C0242</v>
      </c>
    </row>
    <row r="1548" spans="1:11" x14ac:dyDescent="0.3">
      <c r="A1548" s="1" t="s">
        <v>3624</v>
      </c>
      <c r="B1548" s="1" t="s">
        <v>3622</v>
      </c>
      <c r="C1548" s="1" t="s">
        <v>1270</v>
      </c>
      <c r="D1548" s="1">
        <v>3</v>
      </c>
      <c r="E1548" s="1">
        <v>0</v>
      </c>
      <c r="F1548" s="1" t="b">
        <v>0</v>
      </c>
      <c r="G1548">
        <f>VLOOKUP(C1548,Products!A:D,4,FALSE)</f>
        <v>3560</v>
      </c>
      <c r="H1548" t="str">
        <f>VLOOKUP(C1548,Products!A:D,3,FALSE)</f>
        <v>Sports</v>
      </c>
      <c r="I1548">
        <f t="shared" si="24"/>
        <v>10680</v>
      </c>
      <c r="J1548" s="2">
        <f>VLOOKUP(B1548,Orders!A:C,3,FALSE)</f>
        <v>45924</v>
      </c>
      <c r="K1548" s="1" t="str">
        <f>VLOOKUP(B1548,Orders!A:B,2,FALSE)</f>
        <v>C0242</v>
      </c>
    </row>
    <row r="1549" spans="1:11" x14ac:dyDescent="0.3">
      <c r="A1549" s="1" t="s">
        <v>3625</v>
      </c>
      <c r="B1549" s="1" t="s">
        <v>3626</v>
      </c>
      <c r="C1549" s="1" t="s">
        <v>1163</v>
      </c>
      <c r="D1549" s="1">
        <v>1</v>
      </c>
      <c r="E1549" s="1">
        <v>0</v>
      </c>
      <c r="F1549" s="1" t="b">
        <v>0</v>
      </c>
      <c r="G1549">
        <f>VLOOKUP(C1549,Products!A:D,4,FALSE)</f>
        <v>2180</v>
      </c>
      <c r="H1549" t="str">
        <f>VLOOKUP(C1549,Products!A:D,3,FALSE)</f>
        <v>Electronics</v>
      </c>
      <c r="I1549">
        <f t="shared" si="24"/>
        <v>2180</v>
      </c>
      <c r="J1549" s="2">
        <f>VLOOKUP(B1549,Orders!A:C,3,FALSE)</f>
        <v>45909</v>
      </c>
      <c r="K1549" s="1" t="str">
        <f>VLOOKUP(B1549,Orders!A:B,2,FALSE)</f>
        <v>C0287</v>
      </c>
    </row>
    <row r="1550" spans="1:11" x14ac:dyDescent="0.3">
      <c r="A1550" s="1" t="s">
        <v>3627</v>
      </c>
      <c r="B1550" s="1" t="s">
        <v>3626</v>
      </c>
      <c r="C1550" s="1" t="s">
        <v>1182</v>
      </c>
      <c r="D1550" s="1">
        <v>3</v>
      </c>
      <c r="E1550" s="1">
        <v>0</v>
      </c>
      <c r="F1550" s="1" t="b">
        <v>1</v>
      </c>
      <c r="G1550">
        <f>VLOOKUP(C1550,Products!A:D,4,FALSE)</f>
        <v>790</v>
      </c>
      <c r="H1550" t="str">
        <f>VLOOKUP(C1550,Products!A:D,3,FALSE)</f>
        <v>Sports</v>
      </c>
      <c r="I1550">
        <f t="shared" si="24"/>
        <v>2370</v>
      </c>
      <c r="J1550" s="2">
        <f>VLOOKUP(B1550,Orders!A:C,3,FALSE)</f>
        <v>45909</v>
      </c>
      <c r="K1550" s="1" t="str">
        <f>VLOOKUP(B1550,Orders!A:B,2,FALSE)</f>
        <v>C0287</v>
      </c>
    </row>
    <row r="1551" spans="1:11" x14ac:dyDescent="0.3">
      <c r="A1551" s="1" t="s">
        <v>3628</v>
      </c>
      <c r="B1551" s="1" t="s">
        <v>3629</v>
      </c>
      <c r="C1551" s="1" t="s">
        <v>1157</v>
      </c>
      <c r="D1551" s="1">
        <v>4</v>
      </c>
      <c r="E1551" s="1">
        <v>0.1</v>
      </c>
      <c r="F1551" s="1" t="b">
        <v>0</v>
      </c>
      <c r="G1551">
        <f>VLOOKUP(C1551,Products!A:D,4,FALSE)</f>
        <v>1520</v>
      </c>
      <c r="H1551" t="str">
        <f>VLOOKUP(C1551,Products!A:D,3,FALSE)</f>
        <v>Books</v>
      </c>
      <c r="I1551">
        <f t="shared" si="24"/>
        <v>5472</v>
      </c>
      <c r="J1551" s="2">
        <f>VLOOKUP(B1551,Orders!A:C,3,FALSE)</f>
        <v>46059</v>
      </c>
      <c r="K1551" s="1" t="str">
        <f>VLOOKUP(B1551,Orders!A:B,2,FALSE)</f>
        <v>C0172</v>
      </c>
    </row>
    <row r="1552" spans="1:11" x14ac:dyDescent="0.3">
      <c r="A1552" s="1" t="s">
        <v>3630</v>
      </c>
      <c r="B1552" s="1" t="s">
        <v>3631</v>
      </c>
      <c r="C1552" s="1" t="s">
        <v>1140</v>
      </c>
      <c r="D1552" s="1">
        <v>4</v>
      </c>
      <c r="E1552" s="1">
        <v>0.05</v>
      </c>
      <c r="F1552" s="1" t="b">
        <v>0</v>
      </c>
      <c r="G1552">
        <f>VLOOKUP(C1552,Products!A:D,4,FALSE)</f>
        <v>3040</v>
      </c>
      <c r="H1552" t="str">
        <f>VLOOKUP(C1552,Products!A:D,3,FALSE)</f>
        <v>Electronics</v>
      </c>
      <c r="I1552">
        <f t="shared" si="24"/>
        <v>11552</v>
      </c>
      <c r="J1552" s="2">
        <f>VLOOKUP(B1552,Orders!A:C,3,FALSE)</f>
        <v>45747</v>
      </c>
      <c r="K1552" s="1" t="str">
        <f>VLOOKUP(B1552,Orders!A:B,2,FALSE)</f>
        <v>C0182</v>
      </c>
    </row>
    <row r="1553" spans="1:11" x14ac:dyDescent="0.3">
      <c r="A1553" s="1" t="s">
        <v>3632</v>
      </c>
      <c r="B1553" s="1" t="s">
        <v>3631</v>
      </c>
      <c r="C1553" s="1" t="s">
        <v>1431</v>
      </c>
      <c r="D1553" s="1">
        <v>4</v>
      </c>
      <c r="E1553" s="1">
        <v>0</v>
      </c>
      <c r="F1553" s="1" t="b">
        <v>0</v>
      </c>
      <c r="G1553">
        <f>VLOOKUP(C1553,Products!A:D,4,FALSE)</f>
        <v>2920</v>
      </c>
      <c r="H1553" t="str">
        <f>VLOOKUP(C1553,Products!A:D,3,FALSE)</f>
        <v>Home &amp; Kitchen</v>
      </c>
      <c r="I1553">
        <f t="shared" si="24"/>
        <v>11680</v>
      </c>
      <c r="J1553" s="2">
        <f>VLOOKUP(B1553,Orders!A:C,3,FALSE)</f>
        <v>45747</v>
      </c>
      <c r="K1553" s="1" t="str">
        <f>VLOOKUP(B1553,Orders!A:B,2,FALSE)</f>
        <v>C0182</v>
      </c>
    </row>
    <row r="1554" spans="1:11" x14ac:dyDescent="0.3">
      <c r="A1554" s="1" t="s">
        <v>3633</v>
      </c>
      <c r="B1554" s="1" t="s">
        <v>3634</v>
      </c>
      <c r="C1554" s="1" t="s">
        <v>1225</v>
      </c>
      <c r="D1554" s="1">
        <v>3</v>
      </c>
      <c r="E1554" s="1">
        <v>0.05</v>
      </c>
      <c r="F1554" s="1" t="b">
        <v>0</v>
      </c>
      <c r="G1554">
        <f>VLOOKUP(C1554,Products!A:D,4,FALSE)</f>
        <v>2690</v>
      </c>
      <c r="H1554" t="str">
        <f>VLOOKUP(C1554,Products!A:D,3,FALSE)</f>
        <v>Beauty</v>
      </c>
      <c r="I1554">
        <f t="shared" si="24"/>
        <v>7666.5</v>
      </c>
      <c r="J1554" s="2">
        <f>VLOOKUP(B1554,Orders!A:C,3,FALSE)</f>
        <v>45901</v>
      </c>
      <c r="K1554" s="1" t="str">
        <f>VLOOKUP(B1554,Orders!A:B,2,FALSE)</f>
        <v>C0216</v>
      </c>
    </row>
    <row r="1555" spans="1:11" x14ac:dyDescent="0.3">
      <c r="A1555" s="1" t="s">
        <v>3635</v>
      </c>
      <c r="B1555" s="1" t="s">
        <v>3634</v>
      </c>
      <c r="C1555" s="1" t="s">
        <v>1249</v>
      </c>
      <c r="D1555" s="1">
        <v>2</v>
      </c>
      <c r="E1555" s="1">
        <v>0.05</v>
      </c>
      <c r="F1555" s="1" t="b">
        <v>0</v>
      </c>
      <c r="G1555">
        <f>VLOOKUP(C1555,Products!A:D,4,FALSE)</f>
        <v>3630</v>
      </c>
      <c r="H1555" t="str">
        <f>VLOOKUP(C1555,Products!A:D,3,FALSE)</f>
        <v>Electronics</v>
      </c>
      <c r="I1555">
        <f t="shared" si="24"/>
        <v>6897</v>
      </c>
      <c r="J1555" s="2">
        <f>VLOOKUP(B1555,Orders!A:C,3,FALSE)</f>
        <v>45901</v>
      </c>
      <c r="K1555" s="1" t="str">
        <f>VLOOKUP(B1555,Orders!A:B,2,FALSE)</f>
        <v>C0216</v>
      </c>
    </row>
    <row r="1556" spans="1:11" x14ac:dyDescent="0.3">
      <c r="A1556" s="1" t="s">
        <v>3636</v>
      </c>
      <c r="B1556" s="1" t="s">
        <v>3634</v>
      </c>
      <c r="C1556" s="1" t="s">
        <v>1168</v>
      </c>
      <c r="D1556" s="1">
        <v>3</v>
      </c>
      <c r="E1556" s="1">
        <v>0.15</v>
      </c>
      <c r="F1556" s="1" t="b">
        <v>0</v>
      </c>
      <c r="G1556">
        <f>VLOOKUP(C1556,Products!A:D,4,FALSE)</f>
        <v>1440</v>
      </c>
      <c r="H1556" t="str">
        <f>VLOOKUP(C1556,Products!A:D,3,FALSE)</f>
        <v>Sports</v>
      </c>
      <c r="I1556">
        <f t="shared" si="24"/>
        <v>3672</v>
      </c>
      <c r="J1556" s="2">
        <f>VLOOKUP(B1556,Orders!A:C,3,FALSE)</f>
        <v>45901</v>
      </c>
      <c r="K1556" s="1" t="str">
        <f>VLOOKUP(B1556,Orders!A:B,2,FALSE)</f>
        <v>C0216</v>
      </c>
    </row>
    <row r="1557" spans="1:11" x14ac:dyDescent="0.3">
      <c r="A1557" s="1" t="s">
        <v>3637</v>
      </c>
      <c r="B1557" s="1" t="s">
        <v>3638</v>
      </c>
      <c r="C1557" s="1" t="s">
        <v>1602</v>
      </c>
      <c r="D1557" s="1">
        <v>3</v>
      </c>
      <c r="E1557" s="1">
        <v>0.2</v>
      </c>
      <c r="F1557" s="1" t="b">
        <v>0</v>
      </c>
      <c r="J1557" s="2"/>
      <c r="K1557" s="1"/>
    </row>
    <row r="1558" spans="1:11" x14ac:dyDescent="0.3">
      <c r="A1558" s="1" t="s">
        <v>3639</v>
      </c>
      <c r="B1558" s="1" t="s">
        <v>1167</v>
      </c>
      <c r="C1558" s="1" t="s">
        <v>1418</v>
      </c>
      <c r="D1558" s="1">
        <v>1</v>
      </c>
      <c r="E1558" s="1">
        <v>0.2</v>
      </c>
      <c r="F1558" s="1" t="b">
        <v>0</v>
      </c>
      <c r="J1558" s="2"/>
    </row>
    <row r="1559" spans="1:11" x14ac:dyDescent="0.3">
      <c r="A1559" s="1" t="s">
        <v>3640</v>
      </c>
      <c r="B1559" s="1" t="s">
        <v>1167</v>
      </c>
      <c r="C1559" s="1" t="s">
        <v>1278</v>
      </c>
      <c r="D1559" s="1">
        <v>2</v>
      </c>
      <c r="E1559" s="1">
        <v>0</v>
      </c>
      <c r="F1559" s="1" t="b">
        <v>0</v>
      </c>
      <c r="G1559">
        <f>VLOOKUP(C1559,Products!A:D,4,FALSE)</f>
        <v>330</v>
      </c>
      <c r="H1559" t="str">
        <f>VLOOKUP(C1559,Products!A:D,3,FALSE)</f>
        <v>Books</v>
      </c>
      <c r="I1559">
        <f t="shared" si="24"/>
        <v>660</v>
      </c>
      <c r="J1559" s="2">
        <f>VLOOKUP(B1559,Orders!A:C,3,FALSE)</f>
        <v>45900</v>
      </c>
      <c r="K1559" t="str">
        <f>VLOOKUP(B1559,Orders!A:B,2,FALSE)</f>
        <v>C0050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00"/>
  <sheetViews>
    <sheetView workbookViewId="0">
      <selection sqref="A1:E900"/>
    </sheetView>
  </sheetViews>
  <sheetFormatPr defaultRowHeight="14.4" x14ac:dyDescent="0.3"/>
  <cols>
    <col min="1" max="1" width="10.33203125" bestFit="1" customWidth="1"/>
    <col min="2" max="2" width="13.6640625" bestFit="1" customWidth="1"/>
    <col min="3" max="3" width="12.5546875" bestFit="1" customWidth="1"/>
    <col min="4" max="4" width="9.5546875" bestFit="1" customWidth="1"/>
    <col min="5" max="5" width="18.5546875" bestFit="1" customWidth="1"/>
  </cols>
  <sheetData>
    <row r="1" spans="1:5" x14ac:dyDescent="0.3">
      <c r="A1" s="1" t="s">
        <v>1099</v>
      </c>
      <c r="B1" s="1" t="s">
        <v>0</v>
      </c>
      <c r="C1" s="1" t="s">
        <v>3641</v>
      </c>
      <c r="D1" s="1" t="s">
        <v>3642</v>
      </c>
      <c r="E1" s="1" t="s">
        <v>3643</v>
      </c>
    </row>
    <row r="2" spans="1:5" x14ac:dyDescent="0.3">
      <c r="A2" s="1" t="s">
        <v>1105</v>
      </c>
      <c r="B2" s="1" t="s">
        <v>905</v>
      </c>
      <c r="C2" s="2">
        <v>46260</v>
      </c>
      <c r="D2" s="1" t="s">
        <v>3644</v>
      </c>
      <c r="E2" s="1" t="s">
        <v>3645</v>
      </c>
    </row>
    <row r="3" spans="1:5" x14ac:dyDescent="0.3">
      <c r="A3" s="1" t="s">
        <v>1108</v>
      </c>
      <c r="B3" s="1" t="s">
        <v>646</v>
      </c>
      <c r="C3" s="2">
        <v>45812</v>
      </c>
      <c r="D3" s="1" t="s">
        <v>3646</v>
      </c>
      <c r="E3" s="1" t="s">
        <v>3647</v>
      </c>
    </row>
    <row r="4" spans="1:5" x14ac:dyDescent="0.3">
      <c r="A4" s="1" t="s">
        <v>1115</v>
      </c>
      <c r="B4" s="1" t="s">
        <v>162</v>
      </c>
      <c r="C4" s="2">
        <v>46105</v>
      </c>
      <c r="D4" s="1" t="s">
        <v>3648</v>
      </c>
      <c r="E4" s="1" t="s">
        <v>3649</v>
      </c>
    </row>
    <row r="5" spans="1:5" x14ac:dyDescent="0.3">
      <c r="A5" s="1" t="s">
        <v>1120</v>
      </c>
      <c r="B5" s="1" t="s">
        <v>754</v>
      </c>
      <c r="C5" s="2">
        <v>46234</v>
      </c>
      <c r="D5" s="1" t="s">
        <v>3644</v>
      </c>
      <c r="E5" s="1" t="s">
        <v>3650</v>
      </c>
    </row>
    <row r="6" spans="1:5" x14ac:dyDescent="0.3">
      <c r="A6" s="1" t="s">
        <v>1129</v>
      </c>
      <c r="B6" s="1" t="s">
        <v>696</v>
      </c>
      <c r="C6" s="2">
        <v>46169</v>
      </c>
      <c r="D6" s="1" t="s">
        <v>3648</v>
      </c>
      <c r="E6" s="1" t="s">
        <v>3647</v>
      </c>
    </row>
    <row r="7" spans="1:5" x14ac:dyDescent="0.3">
      <c r="A7" s="1" t="s">
        <v>1134</v>
      </c>
      <c r="B7" s="1" t="s">
        <v>46</v>
      </c>
      <c r="C7" s="2">
        <v>46133</v>
      </c>
      <c r="D7" s="1" t="s">
        <v>3648</v>
      </c>
      <c r="E7" s="1" t="s">
        <v>3651</v>
      </c>
    </row>
    <row r="8" spans="1:5" x14ac:dyDescent="0.3">
      <c r="A8" s="1" t="s">
        <v>1139</v>
      </c>
      <c r="B8" s="1" t="s">
        <v>857</v>
      </c>
      <c r="C8" s="2">
        <v>45938</v>
      </c>
      <c r="D8" s="1" t="s">
        <v>3648</v>
      </c>
      <c r="E8" s="1" t="s">
        <v>3645</v>
      </c>
    </row>
    <row r="9" spans="1:5" x14ac:dyDescent="0.3">
      <c r="A9" s="1" t="s">
        <v>1142</v>
      </c>
      <c r="B9" s="1" t="s">
        <v>1096</v>
      </c>
      <c r="C9" s="2">
        <v>46254</v>
      </c>
      <c r="D9" s="1" t="s">
        <v>3648</v>
      </c>
      <c r="E9" s="1" t="s">
        <v>3645</v>
      </c>
    </row>
    <row r="10" spans="1:5" x14ac:dyDescent="0.3">
      <c r="A10" s="1" t="s">
        <v>1145</v>
      </c>
      <c r="B10" s="1" t="s">
        <v>223</v>
      </c>
      <c r="C10" s="2">
        <v>46037</v>
      </c>
      <c r="D10" s="1" t="s">
        <v>3652</v>
      </c>
      <c r="E10" s="1" t="s">
        <v>3647</v>
      </c>
    </row>
    <row r="11" spans="1:5" x14ac:dyDescent="0.3">
      <c r="A11" s="1" t="s">
        <v>1148</v>
      </c>
      <c r="B11" s="1" t="s">
        <v>65</v>
      </c>
      <c r="C11" s="2">
        <v>46038</v>
      </c>
      <c r="D11" s="1" t="s">
        <v>3652</v>
      </c>
      <c r="E11" s="1" t="s">
        <v>3650</v>
      </c>
    </row>
    <row r="12" spans="1:5" x14ac:dyDescent="0.3">
      <c r="A12" s="1" t="s">
        <v>1154</v>
      </c>
      <c r="B12" s="1" t="s">
        <v>625</v>
      </c>
      <c r="C12" s="2">
        <v>45801</v>
      </c>
      <c r="D12" s="1" t="s">
        <v>3646</v>
      </c>
      <c r="E12" s="1" t="s">
        <v>3649</v>
      </c>
    </row>
    <row r="13" spans="1:5" x14ac:dyDescent="0.3">
      <c r="A13" s="1" t="s">
        <v>1156</v>
      </c>
      <c r="B13" s="1" t="s">
        <v>140</v>
      </c>
      <c r="C13" s="2">
        <v>45736</v>
      </c>
      <c r="D13" s="1" t="s">
        <v>3652</v>
      </c>
      <c r="E13" s="1" t="s">
        <v>3647</v>
      </c>
    </row>
    <row r="14" spans="1:5" x14ac:dyDescent="0.3">
      <c r="A14" s="1" t="s">
        <v>1159</v>
      </c>
      <c r="B14" s="1" t="s">
        <v>578</v>
      </c>
      <c r="C14" s="2">
        <v>46060</v>
      </c>
      <c r="D14" s="1" t="s">
        <v>3652</v>
      </c>
      <c r="E14" s="1" t="s">
        <v>3651</v>
      </c>
    </row>
    <row r="15" spans="1:5" x14ac:dyDescent="0.3">
      <c r="A15" s="1" t="s">
        <v>1162</v>
      </c>
      <c r="B15" s="1" t="s">
        <v>281</v>
      </c>
      <c r="C15" s="2">
        <v>46028</v>
      </c>
      <c r="D15" s="1" t="s">
        <v>3648</v>
      </c>
      <c r="E15" s="1" t="s">
        <v>3651</v>
      </c>
    </row>
    <row r="16" spans="1:5" x14ac:dyDescent="0.3">
      <c r="A16" s="1" t="s">
        <v>1165</v>
      </c>
      <c r="B16" s="1" t="s">
        <v>582</v>
      </c>
      <c r="C16" s="2">
        <v>46252</v>
      </c>
      <c r="D16" s="1" t="s">
        <v>3644</v>
      </c>
      <c r="E16" s="1" t="s">
        <v>3651</v>
      </c>
    </row>
    <row r="17" spans="1:5" x14ac:dyDescent="0.3">
      <c r="A17" s="1" t="s">
        <v>1167</v>
      </c>
      <c r="B17" s="1" t="s">
        <v>201</v>
      </c>
      <c r="C17" s="2">
        <v>45900</v>
      </c>
      <c r="D17" s="1" t="s">
        <v>3648</v>
      </c>
      <c r="E17" s="1" t="s">
        <v>3650</v>
      </c>
    </row>
    <row r="18" spans="1:5" x14ac:dyDescent="0.3">
      <c r="A18" s="1" t="s">
        <v>1170</v>
      </c>
      <c r="B18" s="1" t="s">
        <v>273</v>
      </c>
      <c r="C18" s="2">
        <v>46144</v>
      </c>
      <c r="D18" s="1" t="s">
        <v>3648</v>
      </c>
      <c r="E18" s="1" t="s">
        <v>3645</v>
      </c>
    </row>
    <row r="19" spans="1:5" x14ac:dyDescent="0.3">
      <c r="A19" s="1" t="s">
        <v>1178</v>
      </c>
      <c r="B19" s="1" t="s">
        <v>1012</v>
      </c>
      <c r="C19" s="2">
        <v>46229</v>
      </c>
      <c r="D19" s="1" t="s">
        <v>3648</v>
      </c>
      <c r="E19" s="1" t="s">
        <v>3653</v>
      </c>
    </row>
    <row r="20" spans="1:5" x14ac:dyDescent="0.3">
      <c r="A20" s="1" t="s">
        <v>1180</v>
      </c>
      <c r="B20" s="1" t="s">
        <v>309</v>
      </c>
      <c r="C20" s="2">
        <v>45922</v>
      </c>
      <c r="D20" s="1" t="s">
        <v>3646</v>
      </c>
      <c r="E20" s="1" t="s">
        <v>3651</v>
      </c>
    </row>
    <row r="21" spans="1:5" x14ac:dyDescent="0.3">
      <c r="A21" s="1" t="s">
        <v>1186</v>
      </c>
      <c r="B21" s="1" t="s">
        <v>920</v>
      </c>
      <c r="C21" s="2">
        <v>45960</v>
      </c>
      <c r="D21" s="1" t="s">
        <v>3652</v>
      </c>
      <c r="E21" s="1" t="s">
        <v>3645</v>
      </c>
    </row>
    <row r="22" spans="1:5" x14ac:dyDescent="0.3">
      <c r="A22" s="1" t="s">
        <v>1190</v>
      </c>
      <c r="B22" s="1" t="s">
        <v>81</v>
      </c>
      <c r="C22" s="2">
        <v>46087</v>
      </c>
      <c r="D22" s="1" t="s">
        <v>3652</v>
      </c>
      <c r="E22" s="1" t="s">
        <v>3649</v>
      </c>
    </row>
    <row r="23" spans="1:5" x14ac:dyDescent="0.3">
      <c r="A23" s="1" t="s">
        <v>1194</v>
      </c>
      <c r="B23" s="1" t="s">
        <v>840</v>
      </c>
      <c r="C23" s="2">
        <v>46014</v>
      </c>
      <c r="D23" s="1" t="s">
        <v>3648</v>
      </c>
      <c r="E23" s="1" t="s">
        <v>3649</v>
      </c>
    </row>
    <row r="24" spans="1:5" x14ac:dyDescent="0.3">
      <c r="A24" s="1" t="s">
        <v>1201</v>
      </c>
      <c r="B24" s="1" t="s">
        <v>689</v>
      </c>
      <c r="C24" s="2">
        <v>45822</v>
      </c>
      <c r="D24" s="1" t="s">
        <v>3648</v>
      </c>
      <c r="E24" s="1" t="s">
        <v>3645</v>
      </c>
    </row>
    <row r="25" spans="1:5" x14ac:dyDescent="0.3">
      <c r="A25" s="1" t="s">
        <v>1206</v>
      </c>
      <c r="B25" s="1" t="s">
        <v>1020</v>
      </c>
      <c r="C25" s="2">
        <v>45854</v>
      </c>
      <c r="D25" s="1" t="s">
        <v>3646</v>
      </c>
      <c r="E25" s="1" t="s">
        <v>3645</v>
      </c>
    </row>
    <row r="26" spans="1:5" x14ac:dyDescent="0.3">
      <c r="A26" s="1" t="s">
        <v>1208</v>
      </c>
      <c r="B26" s="1" t="s">
        <v>137</v>
      </c>
      <c r="C26" s="2">
        <v>46191</v>
      </c>
      <c r="D26" s="1" t="s">
        <v>3648</v>
      </c>
      <c r="E26" s="1" t="s">
        <v>3649</v>
      </c>
    </row>
    <row r="27" spans="1:5" x14ac:dyDescent="0.3">
      <c r="A27" s="1" t="s">
        <v>1212</v>
      </c>
      <c r="B27" s="1" t="s">
        <v>248</v>
      </c>
      <c r="C27" s="2">
        <v>45840</v>
      </c>
      <c r="D27" s="1" t="s">
        <v>3644</v>
      </c>
      <c r="E27" s="1" t="s">
        <v>3647</v>
      </c>
    </row>
    <row r="28" spans="1:5" x14ac:dyDescent="0.3">
      <c r="A28" s="1" t="s">
        <v>1215</v>
      </c>
      <c r="B28" s="1" t="s">
        <v>191</v>
      </c>
      <c r="C28" s="2">
        <v>45833</v>
      </c>
      <c r="D28" s="1" t="s">
        <v>3652</v>
      </c>
      <c r="E28" s="1" t="s">
        <v>3650</v>
      </c>
    </row>
    <row r="29" spans="1:5" x14ac:dyDescent="0.3">
      <c r="A29" s="1" t="s">
        <v>1218</v>
      </c>
      <c r="B29" s="1" t="s">
        <v>59</v>
      </c>
      <c r="C29" s="2">
        <v>46172</v>
      </c>
      <c r="D29" s="1" t="s">
        <v>3648</v>
      </c>
      <c r="E29" s="1" t="s">
        <v>3645</v>
      </c>
    </row>
    <row r="30" spans="1:5" x14ac:dyDescent="0.3">
      <c r="A30" s="1" t="s">
        <v>3654</v>
      </c>
      <c r="B30" s="1" t="s">
        <v>470</v>
      </c>
      <c r="C30" s="2">
        <v>46201</v>
      </c>
      <c r="D30" s="1" t="s">
        <v>3644</v>
      </c>
      <c r="E30" s="1" t="s">
        <v>3650</v>
      </c>
    </row>
    <row r="31" spans="1:5" x14ac:dyDescent="0.3">
      <c r="A31" s="1" t="s">
        <v>1222</v>
      </c>
      <c r="B31" s="1" t="s">
        <v>402</v>
      </c>
      <c r="C31" s="2">
        <v>46200</v>
      </c>
      <c r="D31" s="1" t="s">
        <v>3648</v>
      </c>
      <c r="E31" s="1" t="s">
        <v>3650</v>
      </c>
    </row>
    <row r="32" spans="1:5" x14ac:dyDescent="0.3">
      <c r="A32" s="1" t="s">
        <v>1224</v>
      </c>
      <c r="B32" s="1" t="s">
        <v>406</v>
      </c>
      <c r="C32" s="2">
        <v>46244</v>
      </c>
      <c r="D32" s="1" t="s">
        <v>3652</v>
      </c>
      <c r="E32" s="1" t="s">
        <v>3649</v>
      </c>
    </row>
    <row r="33" spans="1:5" x14ac:dyDescent="0.3">
      <c r="A33" s="1" t="s">
        <v>1229</v>
      </c>
      <c r="B33" s="1" t="s">
        <v>627</v>
      </c>
      <c r="C33" s="2">
        <v>46278</v>
      </c>
      <c r="D33" s="1" t="s">
        <v>3655</v>
      </c>
      <c r="E33" s="1" t="s">
        <v>3650</v>
      </c>
    </row>
    <row r="34" spans="1:5" x14ac:dyDescent="0.3">
      <c r="A34" s="1" t="s">
        <v>1232</v>
      </c>
      <c r="B34" s="1" t="s">
        <v>17</v>
      </c>
      <c r="C34" s="2">
        <v>45986</v>
      </c>
      <c r="D34" s="1" t="s">
        <v>3648</v>
      </c>
      <c r="E34" s="1" t="s">
        <v>3649</v>
      </c>
    </row>
    <row r="35" spans="1:5" x14ac:dyDescent="0.3">
      <c r="A35" s="1" t="s">
        <v>1236</v>
      </c>
      <c r="B35" s="1" t="s">
        <v>262</v>
      </c>
      <c r="C35" s="2">
        <v>46035</v>
      </c>
      <c r="D35" s="1" t="s">
        <v>3648</v>
      </c>
      <c r="E35" s="1" t="s">
        <v>3649</v>
      </c>
    </row>
    <row r="36" spans="1:5" x14ac:dyDescent="0.3">
      <c r="A36" s="1" t="s">
        <v>1238</v>
      </c>
      <c r="B36" s="1" t="s">
        <v>226</v>
      </c>
      <c r="C36" s="2">
        <v>45893</v>
      </c>
      <c r="D36" s="1" t="s">
        <v>3652</v>
      </c>
      <c r="E36" s="1" t="s">
        <v>3651</v>
      </c>
    </row>
    <row r="37" spans="1:5" x14ac:dyDescent="0.3">
      <c r="A37" s="1" t="s">
        <v>1240</v>
      </c>
      <c r="B37" s="1" t="s">
        <v>266</v>
      </c>
      <c r="C37" s="2">
        <v>45770</v>
      </c>
      <c r="D37" s="1" t="s">
        <v>3648</v>
      </c>
      <c r="E37" s="1" t="s">
        <v>3653</v>
      </c>
    </row>
    <row r="38" spans="1:5" x14ac:dyDescent="0.3">
      <c r="A38" s="1" t="s">
        <v>1245</v>
      </c>
      <c r="B38" s="1" t="s">
        <v>459</v>
      </c>
      <c r="C38" s="2">
        <v>45787</v>
      </c>
      <c r="D38" s="1" t="s">
        <v>3652</v>
      </c>
      <c r="E38" s="1" t="s">
        <v>3651</v>
      </c>
    </row>
    <row r="39" spans="1:5" x14ac:dyDescent="0.3">
      <c r="A39" s="1" t="s">
        <v>1251</v>
      </c>
      <c r="B39" s="1" t="s">
        <v>345</v>
      </c>
      <c r="C39" s="2">
        <v>46131</v>
      </c>
      <c r="D39" s="1" t="s">
        <v>3648</v>
      </c>
      <c r="E39" s="1" t="s">
        <v>3649</v>
      </c>
    </row>
    <row r="40" spans="1:5" x14ac:dyDescent="0.3">
      <c r="A40" s="1" t="s">
        <v>1255</v>
      </c>
      <c r="B40" s="1" t="s">
        <v>797</v>
      </c>
      <c r="C40" s="2">
        <v>46000</v>
      </c>
      <c r="D40" s="1" t="s">
        <v>3648</v>
      </c>
      <c r="E40" s="1" t="s">
        <v>3651</v>
      </c>
    </row>
    <row r="41" spans="1:5" x14ac:dyDescent="0.3">
      <c r="A41" s="1" t="s">
        <v>1260</v>
      </c>
      <c r="B41" s="1" t="s">
        <v>895</v>
      </c>
      <c r="C41" s="2">
        <v>45915</v>
      </c>
      <c r="D41" s="1" t="s">
        <v>3648</v>
      </c>
      <c r="E41" s="1" t="s">
        <v>3645</v>
      </c>
    </row>
    <row r="42" spans="1:5" x14ac:dyDescent="0.3">
      <c r="A42" s="1" t="s">
        <v>1264</v>
      </c>
      <c r="B42" s="1" t="s">
        <v>963</v>
      </c>
      <c r="C42" s="2">
        <v>45804</v>
      </c>
      <c r="D42" s="1" t="s">
        <v>3652</v>
      </c>
      <c r="E42" s="1" t="s">
        <v>3647</v>
      </c>
    </row>
    <row r="43" spans="1:5" x14ac:dyDescent="0.3">
      <c r="A43" s="1" t="s">
        <v>1269</v>
      </c>
      <c r="B43" s="1" t="s">
        <v>945</v>
      </c>
      <c r="C43" s="2">
        <v>46093</v>
      </c>
      <c r="D43" s="1" t="s">
        <v>3648</v>
      </c>
      <c r="E43" s="1" t="s">
        <v>3650</v>
      </c>
    </row>
    <row r="44" spans="1:5" x14ac:dyDescent="0.3">
      <c r="A44" s="1" t="s">
        <v>1272</v>
      </c>
      <c r="B44" s="1" t="s">
        <v>105</v>
      </c>
      <c r="C44" s="2">
        <v>45788</v>
      </c>
      <c r="D44" s="1" t="s">
        <v>3655</v>
      </c>
      <c r="E44" s="1" t="s">
        <v>3650</v>
      </c>
    </row>
    <row r="45" spans="1:5" x14ac:dyDescent="0.3">
      <c r="A45" s="1" t="s">
        <v>1275</v>
      </c>
      <c r="B45" s="1" t="s">
        <v>578</v>
      </c>
      <c r="C45" s="2">
        <v>46073</v>
      </c>
      <c r="D45" s="1" t="s">
        <v>3648</v>
      </c>
      <c r="E45" s="1" t="s">
        <v>3651</v>
      </c>
    </row>
    <row r="46" spans="1:5" x14ac:dyDescent="0.3">
      <c r="A46" s="1" t="s">
        <v>1280</v>
      </c>
      <c r="B46" s="1" t="s">
        <v>137</v>
      </c>
      <c r="C46" s="2">
        <v>46227</v>
      </c>
      <c r="D46" s="1" t="s">
        <v>3644</v>
      </c>
      <c r="E46" s="1" t="s">
        <v>3647</v>
      </c>
    </row>
    <row r="47" spans="1:5" x14ac:dyDescent="0.3">
      <c r="A47" s="1" t="s">
        <v>1282</v>
      </c>
      <c r="B47" s="1" t="s">
        <v>807</v>
      </c>
      <c r="C47" s="2">
        <v>45908</v>
      </c>
      <c r="D47" s="1" t="s">
        <v>3652</v>
      </c>
      <c r="E47" s="1" t="s">
        <v>3647</v>
      </c>
    </row>
    <row r="48" spans="1:5" x14ac:dyDescent="0.3">
      <c r="A48" s="1" t="s">
        <v>1284</v>
      </c>
      <c r="B48" s="1" t="s">
        <v>840</v>
      </c>
      <c r="C48" s="2">
        <v>45980</v>
      </c>
      <c r="D48" s="1" t="s">
        <v>3648</v>
      </c>
      <c r="E48" s="1" t="s">
        <v>3651</v>
      </c>
    </row>
    <row r="49" spans="1:5" x14ac:dyDescent="0.3">
      <c r="A49" s="1" t="s">
        <v>1287</v>
      </c>
      <c r="B49" s="1" t="s">
        <v>613</v>
      </c>
      <c r="C49" s="2">
        <v>46071</v>
      </c>
      <c r="D49" s="1" t="s">
        <v>3652</v>
      </c>
      <c r="E49" s="1" t="s">
        <v>3651</v>
      </c>
    </row>
    <row r="50" spans="1:5" x14ac:dyDescent="0.3">
      <c r="A50" s="1" t="s">
        <v>1292</v>
      </c>
      <c r="B50" s="1" t="s">
        <v>255</v>
      </c>
      <c r="C50" s="2">
        <v>45901</v>
      </c>
      <c r="D50" s="1" t="s">
        <v>3648</v>
      </c>
      <c r="E50" s="1" t="s">
        <v>3650</v>
      </c>
    </row>
    <row r="51" spans="1:5" x14ac:dyDescent="0.3">
      <c r="A51" s="1" t="s">
        <v>1296</v>
      </c>
      <c r="B51" s="1" t="s">
        <v>1027</v>
      </c>
      <c r="C51" s="2">
        <v>46054</v>
      </c>
      <c r="D51" s="1" t="s">
        <v>3655</v>
      </c>
      <c r="E51" s="1" t="s">
        <v>3647</v>
      </c>
    </row>
    <row r="52" spans="1:5" x14ac:dyDescent="0.3">
      <c r="A52" s="1" t="s">
        <v>1298</v>
      </c>
      <c r="B52" s="1" t="s">
        <v>995</v>
      </c>
      <c r="C52" s="2">
        <v>46043</v>
      </c>
      <c r="D52" s="1" t="s">
        <v>3648</v>
      </c>
      <c r="E52" s="1" t="s">
        <v>3650</v>
      </c>
    </row>
    <row r="53" spans="1:5" x14ac:dyDescent="0.3">
      <c r="A53" s="1" t="s">
        <v>1304</v>
      </c>
      <c r="B53" s="1" t="s">
        <v>814</v>
      </c>
      <c r="C53" s="2">
        <v>45933</v>
      </c>
      <c r="D53" s="1" t="s">
        <v>3648</v>
      </c>
      <c r="E53" s="1" t="s">
        <v>3651</v>
      </c>
    </row>
    <row r="54" spans="1:5" x14ac:dyDescent="0.3">
      <c r="A54" s="1" t="s">
        <v>1306</v>
      </c>
      <c r="B54" s="1" t="s">
        <v>1034</v>
      </c>
      <c r="C54" s="2">
        <v>45907</v>
      </c>
      <c r="D54" s="1" t="s">
        <v>3655</v>
      </c>
      <c r="E54" s="1" t="s">
        <v>3649</v>
      </c>
    </row>
    <row r="55" spans="1:5" x14ac:dyDescent="0.3">
      <c r="A55" s="1" t="s">
        <v>1309</v>
      </c>
      <c r="B55" s="1" t="s">
        <v>814</v>
      </c>
      <c r="C55" s="2">
        <v>45968</v>
      </c>
      <c r="D55" s="1" t="s">
        <v>3648</v>
      </c>
      <c r="E55" s="1" t="s">
        <v>3653</v>
      </c>
    </row>
    <row r="56" spans="1:5" x14ac:dyDescent="0.3">
      <c r="A56" s="1" t="s">
        <v>1311</v>
      </c>
      <c r="B56" s="1" t="s">
        <v>441</v>
      </c>
      <c r="C56" s="2">
        <v>45736</v>
      </c>
      <c r="D56" s="1" t="s">
        <v>3648</v>
      </c>
      <c r="E56" s="1" t="s">
        <v>3647</v>
      </c>
    </row>
    <row r="57" spans="1:5" x14ac:dyDescent="0.3">
      <c r="A57" s="1" t="s">
        <v>1313</v>
      </c>
      <c r="B57" s="1" t="s">
        <v>756</v>
      </c>
      <c r="C57" s="2">
        <v>45868</v>
      </c>
      <c r="D57" s="1" t="s">
        <v>3648</v>
      </c>
      <c r="E57" s="1" t="s">
        <v>3651</v>
      </c>
    </row>
    <row r="58" spans="1:5" x14ac:dyDescent="0.3">
      <c r="A58" s="1" t="s">
        <v>1317</v>
      </c>
      <c r="B58" s="1" t="s">
        <v>599</v>
      </c>
      <c r="C58" s="2">
        <v>45855</v>
      </c>
      <c r="D58" s="1" t="s">
        <v>3648</v>
      </c>
      <c r="E58" s="1" t="s">
        <v>3645</v>
      </c>
    </row>
    <row r="59" spans="1:5" x14ac:dyDescent="0.3">
      <c r="A59" s="1" t="s">
        <v>1322</v>
      </c>
      <c r="B59" s="1" t="s">
        <v>711</v>
      </c>
      <c r="C59" s="2">
        <v>46139</v>
      </c>
      <c r="D59" s="1" t="s">
        <v>3644</v>
      </c>
      <c r="E59" s="1" t="s">
        <v>3647</v>
      </c>
    </row>
    <row r="60" spans="1:5" x14ac:dyDescent="0.3">
      <c r="A60" s="1" t="s">
        <v>1326</v>
      </c>
      <c r="B60" s="1" t="s">
        <v>148</v>
      </c>
      <c r="C60" s="2">
        <v>45972</v>
      </c>
      <c r="D60" s="1" t="s">
        <v>3648</v>
      </c>
      <c r="E60" s="1" t="s">
        <v>3651</v>
      </c>
    </row>
    <row r="61" spans="1:5" x14ac:dyDescent="0.3">
      <c r="A61" s="1" t="s">
        <v>1332</v>
      </c>
      <c r="B61" s="1" t="s">
        <v>195</v>
      </c>
      <c r="C61" s="2">
        <v>46194</v>
      </c>
      <c r="D61" s="1" t="s">
        <v>3648</v>
      </c>
      <c r="E61" s="1" t="s">
        <v>3645</v>
      </c>
    </row>
    <row r="62" spans="1:5" x14ac:dyDescent="0.3">
      <c r="A62" s="1" t="s">
        <v>1336</v>
      </c>
      <c r="B62" s="1" t="s">
        <v>262</v>
      </c>
      <c r="C62" s="2">
        <v>45807</v>
      </c>
      <c r="D62" s="1" t="s">
        <v>3652</v>
      </c>
      <c r="E62" s="1" t="s">
        <v>3650</v>
      </c>
    </row>
    <row r="63" spans="1:5" x14ac:dyDescent="0.3">
      <c r="A63" s="1" t="s">
        <v>1340</v>
      </c>
      <c r="B63" s="1" t="s">
        <v>1053</v>
      </c>
      <c r="C63" s="2">
        <v>46135</v>
      </c>
      <c r="D63" s="1" t="s">
        <v>3652</v>
      </c>
      <c r="E63" s="1" t="s">
        <v>3651</v>
      </c>
    </row>
    <row r="64" spans="1:5" x14ac:dyDescent="0.3">
      <c r="A64" s="1" t="s">
        <v>1343</v>
      </c>
      <c r="B64" s="1" t="s">
        <v>778</v>
      </c>
      <c r="C64" s="2">
        <v>46215</v>
      </c>
      <c r="D64" s="1" t="s">
        <v>3648</v>
      </c>
      <c r="E64" s="1" t="s">
        <v>3647</v>
      </c>
    </row>
    <row r="65" spans="1:5" x14ac:dyDescent="0.3">
      <c r="A65" s="1" t="s">
        <v>1346</v>
      </c>
      <c r="B65" s="1" t="s">
        <v>119</v>
      </c>
      <c r="C65" s="2">
        <v>45987</v>
      </c>
      <c r="D65" s="1" t="s">
        <v>3644</v>
      </c>
      <c r="E65" s="1" t="s">
        <v>3650</v>
      </c>
    </row>
    <row r="66" spans="1:5" x14ac:dyDescent="0.3">
      <c r="A66" s="1" t="s">
        <v>1348</v>
      </c>
      <c r="B66" s="1" t="s">
        <v>596</v>
      </c>
      <c r="C66" s="2">
        <v>45930</v>
      </c>
      <c r="D66" s="1" t="s">
        <v>3648</v>
      </c>
      <c r="E66" s="1" t="s">
        <v>3650</v>
      </c>
    </row>
    <row r="67" spans="1:5" x14ac:dyDescent="0.3">
      <c r="A67" s="1" t="s">
        <v>1351</v>
      </c>
      <c r="B67" s="1" t="s">
        <v>952</v>
      </c>
      <c r="C67" s="2">
        <v>45901</v>
      </c>
      <c r="D67" s="1" t="s">
        <v>3648</v>
      </c>
      <c r="E67" s="1" t="s">
        <v>3647</v>
      </c>
    </row>
    <row r="68" spans="1:5" x14ac:dyDescent="0.3">
      <c r="A68" s="1" t="s">
        <v>1353</v>
      </c>
      <c r="B68" s="1" t="s">
        <v>434</v>
      </c>
      <c r="C68" s="2">
        <v>46036</v>
      </c>
      <c r="D68" s="1" t="s">
        <v>3646</v>
      </c>
      <c r="E68" s="1" t="s">
        <v>3645</v>
      </c>
    </row>
    <row r="69" spans="1:5" x14ac:dyDescent="0.3">
      <c r="A69" s="1" t="s">
        <v>1357</v>
      </c>
      <c r="B69" s="1" t="s">
        <v>1041</v>
      </c>
      <c r="C69" s="2">
        <v>45830</v>
      </c>
      <c r="D69" s="1" t="s">
        <v>3648</v>
      </c>
      <c r="E69" s="1" t="s">
        <v>3645</v>
      </c>
    </row>
    <row r="70" spans="1:5" x14ac:dyDescent="0.3">
      <c r="A70" s="1" t="s">
        <v>1359</v>
      </c>
      <c r="B70" s="1" t="s">
        <v>1074</v>
      </c>
      <c r="C70" s="2">
        <v>46066</v>
      </c>
      <c r="D70" s="1" t="s">
        <v>3648</v>
      </c>
      <c r="E70" s="1" t="s">
        <v>3647</v>
      </c>
    </row>
    <row r="71" spans="1:5" x14ac:dyDescent="0.3">
      <c r="A71" s="1" t="s">
        <v>1362</v>
      </c>
      <c r="B71" s="1" t="s">
        <v>1053</v>
      </c>
      <c r="C71" s="2">
        <v>46195</v>
      </c>
      <c r="D71" s="1" t="s">
        <v>3644</v>
      </c>
      <c r="E71" s="1" t="s">
        <v>3650</v>
      </c>
    </row>
    <row r="72" spans="1:5" x14ac:dyDescent="0.3">
      <c r="A72" s="1" t="s">
        <v>1364</v>
      </c>
      <c r="B72" s="1" t="s">
        <v>1045</v>
      </c>
      <c r="C72" s="2">
        <v>46204</v>
      </c>
      <c r="D72" s="1" t="s">
        <v>3648</v>
      </c>
      <c r="E72" s="1" t="s">
        <v>3645</v>
      </c>
    </row>
    <row r="73" spans="1:5" x14ac:dyDescent="0.3">
      <c r="A73" s="1" t="s">
        <v>1367</v>
      </c>
      <c r="B73" s="1" t="s">
        <v>74</v>
      </c>
      <c r="C73" s="2">
        <v>45810</v>
      </c>
      <c r="D73" s="1" t="s">
        <v>3648</v>
      </c>
      <c r="E73" s="1" t="s">
        <v>3653</v>
      </c>
    </row>
    <row r="74" spans="1:5" x14ac:dyDescent="0.3">
      <c r="A74" s="1" t="s">
        <v>1369</v>
      </c>
      <c r="B74" s="1" t="s">
        <v>592</v>
      </c>
      <c r="C74" s="2">
        <v>46029</v>
      </c>
      <c r="D74" s="1" t="s">
        <v>3644</v>
      </c>
      <c r="E74" s="1" t="s">
        <v>3645</v>
      </c>
    </row>
    <row r="75" spans="1:5" x14ac:dyDescent="0.3">
      <c r="A75" s="1" t="s">
        <v>1372</v>
      </c>
      <c r="B75" s="1" t="s">
        <v>28</v>
      </c>
      <c r="C75" s="2">
        <v>45878</v>
      </c>
      <c r="D75" s="1" t="s">
        <v>3648</v>
      </c>
      <c r="E75" s="1" t="s">
        <v>3649</v>
      </c>
    </row>
    <row r="76" spans="1:5" x14ac:dyDescent="0.3">
      <c r="A76" s="1" t="s">
        <v>1377</v>
      </c>
      <c r="B76" s="1" t="s">
        <v>1059</v>
      </c>
      <c r="C76" s="2">
        <v>46219</v>
      </c>
      <c r="D76" s="1" t="s">
        <v>3652</v>
      </c>
      <c r="E76" s="1" t="s">
        <v>3651</v>
      </c>
    </row>
    <row r="77" spans="1:5" x14ac:dyDescent="0.3">
      <c r="A77" s="1" t="s">
        <v>1380</v>
      </c>
      <c r="B77" s="1" t="s">
        <v>283</v>
      </c>
      <c r="C77" s="2">
        <v>45775</v>
      </c>
      <c r="D77" s="1" t="s">
        <v>3655</v>
      </c>
      <c r="E77" s="1" t="s">
        <v>3651</v>
      </c>
    </row>
    <row r="78" spans="1:5" x14ac:dyDescent="0.3">
      <c r="A78" s="1" t="s">
        <v>1382</v>
      </c>
      <c r="B78" s="1" t="s">
        <v>191</v>
      </c>
      <c r="C78" s="2">
        <v>45775</v>
      </c>
      <c r="D78" s="1" t="s">
        <v>3655</v>
      </c>
      <c r="E78" s="1" t="s">
        <v>3649</v>
      </c>
    </row>
    <row r="79" spans="1:5" x14ac:dyDescent="0.3">
      <c r="A79" s="1" t="s">
        <v>1385</v>
      </c>
      <c r="B79" s="1" t="s">
        <v>713</v>
      </c>
      <c r="C79" s="2">
        <v>45744</v>
      </c>
      <c r="D79" s="1" t="s">
        <v>3648</v>
      </c>
      <c r="E79" s="1" t="s">
        <v>3645</v>
      </c>
    </row>
    <row r="80" spans="1:5" x14ac:dyDescent="0.3">
      <c r="A80" s="1" t="s">
        <v>1387</v>
      </c>
      <c r="B80" s="1" t="s">
        <v>312</v>
      </c>
      <c r="C80" s="2">
        <v>46011</v>
      </c>
      <c r="D80" s="1" t="s">
        <v>3648</v>
      </c>
      <c r="E80" s="1" t="s">
        <v>3645</v>
      </c>
    </row>
    <row r="81" spans="1:5" x14ac:dyDescent="0.3">
      <c r="A81" s="1" t="s">
        <v>1389</v>
      </c>
      <c r="B81" s="1" t="s">
        <v>1063</v>
      </c>
      <c r="C81" s="2">
        <v>45751</v>
      </c>
      <c r="D81" s="1" t="s">
        <v>3652</v>
      </c>
      <c r="E81" s="1" t="s">
        <v>3651</v>
      </c>
    </row>
    <row r="82" spans="1:5" x14ac:dyDescent="0.3">
      <c r="A82" s="1" t="s">
        <v>1395</v>
      </c>
      <c r="B82" s="1" t="s">
        <v>309</v>
      </c>
      <c r="C82" s="2">
        <v>46052</v>
      </c>
      <c r="D82" s="1" t="s">
        <v>3648</v>
      </c>
      <c r="E82" s="1" t="s">
        <v>3650</v>
      </c>
    </row>
    <row r="83" spans="1:5" x14ac:dyDescent="0.3">
      <c r="A83" s="1" t="s">
        <v>1398</v>
      </c>
      <c r="B83" s="1" t="s">
        <v>115</v>
      </c>
      <c r="C83" s="2">
        <v>45956</v>
      </c>
      <c r="D83" s="1" t="s">
        <v>3652</v>
      </c>
      <c r="E83" s="1" t="s">
        <v>3645</v>
      </c>
    </row>
    <row r="84" spans="1:5" x14ac:dyDescent="0.3">
      <c r="A84" s="1" t="s">
        <v>1401</v>
      </c>
      <c r="B84" s="1" t="s">
        <v>836</v>
      </c>
      <c r="C84" s="2">
        <v>46057</v>
      </c>
      <c r="D84" s="1" t="s">
        <v>3652</v>
      </c>
      <c r="E84" s="1" t="s">
        <v>3647</v>
      </c>
    </row>
    <row r="85" spans="1:5" x14ac:dyDescent="0.3">
      <c r="A85" s="1" t="s">
        <v>1405</v>
      </c>
      <c r="B85" s="1" t="s">
        <v>836</v>
      </c>
      <c r="C85" s="2">
        <v>46230</v>
      </c>
      <c r="D85" s="1" t="s">
        <v>3648</v>
      </c>
      <c r="E85" s="1" t="s">
        <v>3649</v>
      </c>
    </row>
    <row r="86" spans="1:5" x14ac:dyDescent="0.3">
      <c r="A86" s="1" t="s">
        <v>1407</v>
      </c>
      <c r="B86" s="1" t="s">
        <v>963</v>
      </c>
      <c r="C86" s="2">
        <v>46036</v>
      </c>
      <c r="D86" s="1" t="s">
        <v>3648</v>
      </c>
      <c r="E86" s="1" t="s">
        <v>3647</v>
      </c>
    </row>
    <row r="87" spans="1:5" x14ac:dyDescent="0.3">
      <c r="A87" s="1" t="s">
        <v>1409</v>
      </c>
      <c r="B87" s="1" t="s">
        <v>226</v>
      </c>
      <c r="C87" s="2">
        <v>46031</v>
      </c>
      <c r="D87" s="1" t="s">
        <v>3648</v>
      </c>
      <c r="E87" s="1" t="s">
        <v>3650</v>
      </c>
    </row>
    <row r="88" spans="1:5" x14ac:dyDescent="0.3">
      <c r="A88" s="1" t="s">
        <v>1411</v>
      </c>
      <c r="B88" s="1" t="s">
        <v>916</v>
      </c>
      <c r="C88" s="2">
        <v>46281</v>
      </c>
      <c r="D88" s="1" t="s">
        <v>3648</v>
      </c>
      <c r="E88" s="1" t="s">
        <v>3645</v>
      </c>
    </row>
    <row r="89" spans="1:5" x14ac:dyDescent="0.3">
      <c r="A89" s="1" t="s">
        <v>1415</v>
      </c>
      <c r="B89" s="1" t="s">
        <v>109</v>
      </c>
      <c r="C89" s="2">
        <v>45992</v>
      </c>
      <c r="D89" s="1" t="s">
        <v>3648</v>
      </c>
      <c r="E89" s="1" t="s">
        <v>3650</v>
      </c>
    </row>
    <row r="90" spans="1:5" x14ac:dyDescent="0.3">
      <c r="A90" s="1" t="s">
        <v>1421</v>
      </c>
      <c r="B90" s="1" t="s">
        <v>126</v>
      </c>
      <c r="C90" s="2">
        <v>46158</v>
      </c>
      <c r="D90" s="1" t="s">
        <v>3648</v>
      </c>
      <c r="E90" s="1" t="s">
        <v>3645</v>
      </c>
    </row>
    <row r="91" spans="1:5" x14ac:dyDescent="0.3">
      <c r="A91" s="1" t="s">
        <v>1425</v>
      </c>
      <c r="B91" s="1" t="s">
        <v>412</v>
      </c>
      <c r="C91" s="2">
        <v>45934</v>
      </c>
      <c r="D91" s="1" t="s">
        <v>3655</v>
      </c>
      <c r="E91" s="1" t="s">
        <v>3653</v>
      </c>
    </row>
    <row r="92" spans="1:5" x14ac:dyDescent="0.3">
      <c r="A92" s="1" t="s">
        <v>1427</v>
      </c>
      <c r="B92" s="1" t="s">
        <v>492</v>
      </c>
      <c r="C92" s="2">
        <v>45856</v>
      </c>
      <c r="D92" s="1" t="s">
        <v>3648</v>
      </c>
      <c r="E92" s="1" t="s">
        <v>3651</v>
      </c>
    </row>
    <row r="93" spans="1:5" x14ac:dyDescent="0.3">
      <c r="A93" s="1" t="s">
        <v>1430</v>
      </c>
      <c r="B93" s="1" t="s">
        <v>28</v>
      </c>
      <c r="C93" s="2">
        <v>46157</v>
      </c>
      <c r="D93" s="1" t="s">
        <v>3648</v>
      </c>
      <c r="E93" s="1" t="s">
        <v>3647</v>
      </c>
    </row>
    <row r="94" spans="1:5" x14ac:dyDescent="0.3">
      <c r="A94" s="1" t="s">
        <v>1435</v>
      </c>
      <c r="B94" s="1" t="s">
        <v>345</v>
      </c>
      <c r="C94" s="2">
        <v>46135</v>
      </c>
      <c r="D94" s="1" t="s">
        <v>3648</v>
      </c>
      <c r="E94" s="1" t="s">
        <v>3650</v>
      </c>
    </row>
    <row r="95" spans="1:5" x14ac:dyDescent="0.3">
      <c r="A95" s="1" t="s">
        <v>1438</v>
      </c>
      <c r="B95" s="1" t="s">
        <v>445</v>
      </c>
      <c r="C95" s="2">
        <v>45893</v>
      </c>
      <c r="D95" s="1" t="s">
        <v>3648</v>
      </c>
      <c r="E95" s="1" t="s">
        <v>3645</v>
      </c>
    </row>
    <row r="96" spans="1:5" x14ac:dyDescent="0.3">
      <c r="A96" s="1" t="s">
        <v>1440</v>
      </c>
      <c r="B96" s="1" t="s">
        <v>154</v>
      </c>
      <c r="C96" s="2">
        <v>45988</v>
      </c>
      <c r="D96" s="1" t="s">
        <v>3648</v>
      </c>
      <c r="E96" s="1" t="s">
        <v>3651</v>
      </c>
    </row>
    <row r="97" spans="1:5" x14ac:dyDescent="0.3">
      <c r="A97" s="1" t="s">
        <v>1442</v>
      </c>
      <c r="B97" s="1" t="s">
        <v>825</v>
      </c>
      <c r="C97" s="2">
        <v>46013</v>
      </c>
      <c r="D97" s="1" t="s">
        <v>3648</v>
      </c>
      <c r="E97" s="1" t="s">
        <v>3651</v>
      </c>
    </row>
    <row r="98" spans="1:5" x14ac:dyDescent="0.3">
      <c r="A98" s="1" t="s">
        <v>1444</v>
      </c>
      <c r="B98" s="1" t="s">
        <v>599</v>
      </c>
      <c r="C98" s="2">
        <v>45951</v>
      </c>
      <c r="D98" s="1" t="s">
        <v>3652</v>
      </c>
      <c r="E98" s="1" t="s">
        <v>3650</v>
      </c>
    </row>
    <row r="99" spans="1:5" x14ac:dyDescent="0.3">
      <c r="A99" s="1" t="s">
        <v>1446</v>
      </c>
      <c r="B99" s="1" t="s">
        <v>768</v>
      </c>
      <c r="C99" s="2">
        <v>46009</v>
      </c>
      <c r="D99" s="1" t="s">
        <v>3655</v>
      </c>
      <c r="E99" s="1" t="s">
        <v>3647</v>
      </c>
    </row>
    <row r="100" spans="1:5" x14ac:dyDescent="0.3">
      <c r="A100" s="1" t="s">
        <v>1449</v>
      </c>
      <c r="B100" s="1" t="s">
        <v>556</v>
      </c>
      <c r="C100" s="2">
        <v>46097</v>
      </c>
      <c r="D100" s="1" t="s">
        <v>3648</v>
      </c>
      <c r="E100" s="1" t="s">
        <v>3651</v>
      </c>
    </row>
    <row r="101" spans="1:5" x14ac:dyDescent="0.3">
      <c r="A101" s="1" t="s">
        <v>1453</v>
      </c>
      <c r="B101" s="1" t="s">
        <v>621</v>
      </c>
      <c r="C101" s="2">
        <v>46198</v>
      </c>
      <c r="D101" s="1" t="s">
        <v>3648</v>
      </c>
      <c r="E101" s="1" t="s">
        <v>3650</v>
      </c>
    </row>
    <row r="102" spans="1:5" x14ac:dyDescent="0.3">
      <c r="A102" s="1" t="s">
        <v>1461</v>
      </c>
      <c r="B102" s="1" t="s">
        <v>187</v>
      </c>
      <c r="C102" s="2">
        <v>46070</v>
      </c>
      <c r="D102" s="1" t="s">
        <v>3648</v>
      </c>
      <c r="E102" s="1" t="s">
        <v>3651</v>
      </c>
    </row>
    <row r="103" spans="1:5" x14ac:dyDescent="0.3">
      <c r="A103" s="1" t="s">
        <v>1466</v>
      </c>
      <c r="B103" s="1" t="s">
        <v>470</v>
      </c>
      <c r="C103" s="2">
        <v>45824</v>
      </c>
      <c r="D103" s="1" t="s">
        <v>3648</v>
      </c>
      <c r="E103" s="1" t="s">
        <v>3647</v>
      </c>
    </row>
    <row r="104" spans="1:5" x14ac:dyDescent="0.3">
      <c r="A104" s="1" t="s">
        <v>1470</v>
      </c>
      <c r="B104" s="1" t="s">
        <v>984</v>
      </c>
      <c r="C104" s="2">
        <v>46015</v>
      </c>
      <c r="D104" s="1" t="s">
        <v>3648</v>
      </c>
      <c r="E104" s="1" t="s">
        <v>3645</v>
      </c>
    </row>
    <row r="105" spans="1:5" x14ac:dyDescent="0.3">
      <c r="A105" s="1" t="s">
        <v>1473</v>
      </c>
      <c r="B105" s="1" t="s">
        <v>646</v>
      </c>
      <c r="C105" s="2">
        <v>45978</v>
      </c>
      <c r="D105" s="1" t="s">
        <v>3648</v>
      </c>
      <c r="E105" s="1" t="s">
        <v>3649</v>
      </c>
    </row>
    <row r="106" spans="1:5" x14ac:dyDescent="0.3">
      <c r="A106" s="1" t="s">
        <v>1475</v>
      </c>
      <c r="B106" s="1" t="s">
        <v>166</v>
      </c>
      <c r="C106" s="2">
        <v>45832</v>
      </c>
      <c r="D106" s="1" t="s">
        <v>3648</v>
      </c>
      <c r="E106" s="1" t="s">
        <v>3651</v>
      </c>
    </row>
    <row r="107" spans="1:5" x14ac:dyDescent="0.3">
      <c r="A107" s="1" t="s">
        <v>1477</v>
      </c>
      <c r="B107" s="1" t="s">
        <v>995</v>
      </c>
      <c r="C107" s="2">
        <v>46253</v>
      </c>
      <c r="D107" s="1" t="s">
        <v>3648</v>
      </c>
      <c r="E107" s="1" t="s">
        <v>3645</v>
      </c>
    </row>
    <row r="108" spans="1:5" x14ac:dyDescent="0.3">
      <c r="A108" s="1" t="s">
        <v>1480</v>
      </c>
      <c r="B108" s="1" t="s">
        <v>668</v>
      </c>
      <c r="C108" s="2">
        <v>46095</v>
      </c>
      <c r="D108" s="1" t="s">
        <v>3655</v>
      </c>
      <c r="E108" s="1" t="s">
        <v>3653</v>
      </c>
    </row>
    <row r="109" spans="1:5" x14ac:dyDescent="0.3">
      <c r="A109" s="1" t="s">
        <v>1483</v>
      </c>
      <c r="B109" s="1" t="s">
        <v>295</v>
      </c>
      <c r="C109" s="2">
        <v>46264</v>
      </c>
      <c r="D109" s="1" t="s">
        <v>3648</v>
      </c>
      <c r="E109" s="1" t="s">
        <v>3649</v>
      </c>
    </row>
    <row r="110" spans="1:5" x14ac:dyDescent="0.3">
      <c r="A110" s="1" t="s">
        <v>1486</v>
      </c>
      <c r="B110" s="1" t="s">
        <v>496</v>
      </c>
      <c r="C110" s="2">
        <v>46137</v>
      </c>
      <c r="D110" s="1" t="s">
        <v>3648</v>
      </c>
      <c r="E110" s="1" t="s">
        <v>3650</v>
      </c>
    </row>
    <row r="111" spans="1:5" x14ac:dyDescent="0.3">
      <c r="A111" s="1" t="s">
        <v>1489</v>
      </c>
      <c r="B111" s="1" t="s">
        <v>305</v>
      </c>
      <c r="C111" s="2">
        <v>45998</v>
      </c>
      <c r="D111" s="1" t="s">
        <v>3655</v>
      </c>
      <c r="E111" s="1" t="s">
        <v>3651</v>
      </c>
    </row>
    <row r="112" spans="1:5" x14ac:dyDescent="0.3">
      <c r="A112" s="1" t="s">
        <v>1492</v>
      </c>
      <c r="B112" s="1" t="s">
        <v>348</v>
      </c>
      <c r="C112" s="2">
        <v>45930</v>
      </c>
      <c r="D112" s="1" t="s">
        <v>3644</v>
      </c>
      <c r="E112" s="1" t="s">
        <v>3647</v>
      </c>
    </row>
    <row r="113" spans="1:5" x14ac:dyDescent="0.3">
      <c r="A113" s="1" t="s">
        <v>1494</v>
      </c>
      <c r="B113" s="1" t="s">
        <v>873</v>
      </c>
      <c r="C113" s="2">
        <v>45853</v>
      </c>
      <c r="D113" s="1" t="s">
        <v>3655</v>
      </c>
      <c r="E113" s="1" t="s">
        <v>3650</v>
      </c>
    </row>
    <row r="114" spans="1:5" x14ac:dyDescent="0.3">
      <c r="A114" s="1" t="s">
        <v>1496</v>
      </c>
      <c r="B114" s="1" t="s">
        <v>846</v>
      </c>
      <c r="C114" s="2">
        <v>46001</v>
      </c>
      <c r="D114" s="1" t="s">
        <v>3652</v>
      </c>
      <c r="E114" s="1" t="s">
        <v>3650</v>
      </c>
    </row>
    <row r="115" spans="1:5" x14ac:dyDescent="0.3">
      <c r="A115" s="1" t="s">
        <v>1501</v>
      </c>
      <c r="B115" s="1" t="s">
        <v>617</v>
      </c>
      <c r="C115" s="2">
        <v>45768</v>
      </c>
      <c r="D115" s="1" t="s">
        <v>3646</v>
      </c>
      <c r="E115" s="1" t="s">
        <v>3645</v>
      </c>
    </row>
    <row r="116" spans="1:5" x14ac:dyDescent="0.3">
      <c r="A116" s="1" t="s">
        <v>1503</v>
      </c>
      <c r="B116" s="1" t="s">
        <v>302</v>
      </c>
      <c r="C116" s="2">
        <v>45936</v>
      </c>
      <c r="D116" s="1" t="s">
        <v>3648</v>
      </c>
      <c r="E116" s="1" t="s">
        <v>3647</v>
      </c>
    </row>
    <row r="117" spans="1:5" x14ac:dyDescent="0.3">
      <c r="A117" s="1" t="s">
        <v>1505</v>
      </c>
      <c r="B117" s="1" t="s">
        <v>836</v>
      </c>
      <c r="C117" s="2">
        <v>45757</v>
      </c>
      <c r="D117" s="1" t="s">
        <v>3652</v>
      </c>
      <c r="E117" s="1" t="s">
        <v>3645</v>
      </c>
    </row>
    <row r="118" spans="1:5" x14ac:dyDescent="0.3">
      <c r="A118" s="1" t="s">
        <v>1507</v>
      </c>
      <c r="B118" s="1" t="s">
        <v>126</v>
      </c>
      <c r="C118" s="2">
        <v>45847</v>
      </c>
      <c r="D118" s="1" t="s">
        <v>3648</v>
      </c>
      <c r="E118" s="1" t="s">
        <v>3651</v>
      </c>
    </row>
    <row r="119" spans="1:5" x14ac:dyDescent="0.3">
      <c r="A119" s="1" t="s">
        <v>1509</v>
      </c>
      <c r="B119" s="1" t="s">
        <v>592</v>
      </c>
      <c r="C119" s="2">
        <v>46231</v>
      </c>
      <c r="D119" s="1" t="s">
        <v>3648</v>
      </c>
      <c r="E119" s="1" t="s">
        <v>3651</v>
      </c>
    </row>
    <row r="120" spans="1:5" x14ac:dyDescent="0.3">
      <c r="A120" s="1" t="s">
        <v>1511</v>
      </c>
      <c r="B120" s="1" t="s">
        <v>130</v>
      </c>
      <c r="C120" s="2">
        <v>45931</v>
      </c>
      <c r="D120" s="1" t="s">
        <v>3648</v>
      </c>
      <c r="E120" s="1" t="s">
        <v>3645</v>
      </c>
    </row>
    <row r="121" spans="1:5" x14ac:dyDescent="0.3">
      <c r="A121" s="1" t="s">
        <v>1514</v>
      </c>
      <c r="B121" s="1" t="s">
        <v>166</v>
      </c>
      <c r="C121" s="2">
        <v>45991</v>
      </c>
      <c r="D121" s="1" t="s">
        <v>3652</v>
      </c>
      <c r="E121" s="1" t="s">
        <v>3651</v>
      </c>
    </row>
    <row r="122" spans="1:5" x14ac:dyDescent="0.3">
      <c r="A122" s="1" t="s">
        <v>1516</v>
      </c>
      <c r="B122" s="1" t="s">
        <v>952</v>
      </c>
      <c r="C122" s="2">
        <v>45983</v>
      </c>
      <c r="D122" s="1" t="s">
        <v>3648</v>
      </c>
      <c r="E122" s="1" t="s">
        <v>3650</v>
      </c>
    </row>
    <row r="123" spans="1:5" x14ac:dyDescent="0.3">
      <c r="A123" s="1" t="s">
        <v>1518</v>
      </c>
      <c r="B123" s="1" t="s">
        <v>1038</v>
      </c>
      <c r="C123" s="2">
        <v>45759</v>
      </c>
      <c r="D123" s="1" t="s">
        <v>3644</v>
      </c>
      <c r="E123" s="1" t="s">
        <v>3651</v>
      </c>
    </row>
    <row r="124" spans="1:5" x14ac:dyDescent="0.3">
      <c r="A124" s="1" t="s">
        <v>1520</v>
      </c>
      <c r="B124" s="1" t="s">
        <v>850</v>
      </c>
      <c r="C124" s="2">
        <v>46271</v>
      </c>
      <c r="D124" s="1" t="s">
        <v>3646</v>
      </c>
      <c r="E124" s="1" t="s">
        <v>3650</v>
      </c>
    </row>
    <row r="125" spans="1:5" x14ac:dyDescent="0.3">
      <c r="A125" s="1" t="s">
        <v>1522</v>
      </c>
      <c r="B125" s="1" t="s">
        <v>369</v>
      </c>
      <c r="C125" s="2">
        <v>45911</v>
      </c>
      <c r="D125" s="1" t="s">
        <v>3648</v>
      </c>
      <c r="E125" s="1" t="s">
        <v>3647</v>
      </c>
    </row>
    <row r="126" spans="1:5" x14ac:dyDescent="0.3">
      <c r="A126" s="1" t="s">
        <v>1527</v>
      </c>
      <c r="B126" s="1" t="s">
        <v>941</v>
      </c>
      <c r="C126" s="2">
        <v>46119</v>
      </c>
      <c r="D126" s="1" t="s">
        <v>3648</v>
      </c>
      <c r="E126" s="1" t="s">
        <v>3653</v>
      </c>
    </row>
    <row r="127" spans="1:5" x14ac:dyDescent="0.3">
      <c r="A127" s="1" t="s">
        <v>1530</v>
      </c>
      <c r="B127" s="1" t="s">
        <v>137</v>
      </c>
      <c r="C127" s="2">
        <v>46019</v>
      </c>
      <c r="D127" s="1" t="s">
        <v>3648</v>
      </c>
      <c r="E127" s="1" t="s">
        <v>3645</v>
      </c>
    </row>
    <row r="128" spans="1:5" x14ac:dyDescent="0.3">
      <c r="A128" s="1" t="s">
        <v>1532</v>
      </c>
      <c r="B128" s="1" t="s">
        <v>180</v>
      </c>
      <c r="C128" s="2">
        <v>46188</v>
      </c>
      <c r="D128" s="1" t="s">
        <v>3648</v>
      </c>
      <c r="E128" s="1" t="s">
        <v>3649</v>
      </c>
    </row>
    <row r="129" spans="1:5" x14ac:dyDescent="0.3">
      <c r="A129" s="1" t="s">
        <v>1534</v>
      </c>
      <c r="B129" s="1" t="s">
        <v>97</v>
      </c>
      <c r="C129" s="2">
        <v>46191</v>
      </c>
      <c r="D129" s="1" t="s">
        <v>3648</v>
      </c>
      <c r="E129" s="1" t="s">
        <v>3647</v>
      </c>
    </row>
    <row r="130" spans="1:5" x14ac:dyDescent="0.3">
      <c r="A130" s="1" t="s">
        <v>1538</v>
      </c>
      <c r="B130" s="1" t="s">
        <v>828</v>
      </c>
      <c r="C130" s="2">
        <v>45878</v>
      </c>
      <c r="D130" s="1" t="s">
        <v>3648</v>
      </c>
      <c r="E130" s="1" t="s">
        <v>3650</v>
      </c>
    </row>
    <row r="131" spans="1:5" x14ac:dyDescent="0.3">
      <c r="A131" s="1" t="s">
        <v>1541</v>
      </c>
      <c r="B131" s="1" t="s">
        <v>316</v>
      </c>
      <c r="C131" s="2">
        <v>46032</v>
      </c>
      <c r="D131" s="1" t="s">
        <v>3648</v>
      </c>
      <c r="E131" s="1" t="s">
        <v>3645</v>
      </c>
    </row>
    <row r="132" spans="1:5" x14ac:dyDescent="0.3">
      <c r="A132" s="1" t="s">
        <v>1543</v>
      </c>
      <c r="B132" s="1" t="s">
        <v>735</v>
      </c>
      <c r="C132" s="2">
        <v>45829</v>
      </c>
      <c r="D132" s="1" t="s">
        <v>3648</v>
      </c>
      <c r="E132" s="1" t="s">
        <v>3645</v>
      </c>
    </row>
    <row r="133" spans="1:5" x14ac:dyDescent="0.3">
      <c r="A133" s="1" t="s">
        <v>1545</v>
      </c>
      <c r="B133" s="1" t="s">
        <v>119</v>
      </c>
      <c r="C133" s="2">
        <v>46092</v>
      </c>
      <c r="D133" s="1" t="s">
        <v>3655</v>
      </c>
      <c r="E133" s="1" t="s">
        <v>3645</v>
      </c>
    </row>
    <row r="134" spans="1:5" x14ac:dyDescent="0.3">
      <c r="A134" s="1" t="s">
        <v>1547</v>
      </c>
      <c r="B134" s="1" t="s">
        <v>144</v>
      </c>
      <c r="C134" s="2">
        <v>45934</v>
      </c>
      <c r="D134" s="1" t="s">
        <v>3648</v>
      </c>
      <c r="E134" s="1" t="s">
        <v>3650</v>
      </c>
    </row>
    <row r="135" spans="1:5" x14ac:dyDescent="0.3">
      <c r="A135" s="1" t="s">
        <v>1549</v>
      </c>
      <c r="B135" s="1" t="s">
        <v>732</v>
      </c>
      <c r="C135" s="2">
        <v>46092</v>
      </c>
      <c r="D135" s="1" t="s">
        <v>3648</v>
      </c>
      <c r="E135" s="1" t="s">
        <v>3650</v>
      </c>
    </row>
    <row r="136" spans="1:5" x14ac:dyDescent="0.3">
      <c r="A136" s="1" t="s">
        <v>1553</v>
      </c>
      <c r="B136" s="1" t="s">
        <v>298</v>
      </c>
      <c r="C136" s="2">
        <v>46191</v>
      </c>
      <c r="D136" s="1" t="s">
        <v>3648</v>
      </c>
      <c r="E136" s="1" t="s">
        <v>3650</v>
      </c>
    </row>
    <row r="137" spans="1:5" x14ac:dyDescent="0.3">
      <c r="A137" s="1" t="s">
        <v>1555</v>
      </c>
      <c r="B137" s="1" t="s">
        <v>283</v>
      </c>
      <c r="C137" s="2">
        <v>46017</v>
      </c>
      <c r="D137" s="1" t="s">
        <v>3646</v>
      </c>
      <c r="E137" s="1" t="s">
        <v>3645</v>
      </c>
    </row>
    <row r="138" spans="1:5" x14ac:dyDescent="0.3">
      <c r="A138" s="1" t="s">
        <v>1559</v>
      </c>
      <c r="B138" s="1" t="s">
        <v>742</v>
      </c>
      <c r="C138" s="2">
        <v>45940</v>
      </c>
      <c r="D138" s="1" t="s">
        <v>3648</v>
      </c>
      <c r="E138" s="1" t="s">
        <v>3651</v>
      </c>
    </row>
    <row r="139" spans="1:5" x14ac:dyDescent="0.3">
      <c r="A139" s="1" t="s">
        <v>1562</v>
      </c>
      <c r="B139" s="1" t="s">
        <v>592</v>
      </c>
      <c r="C139" s="2">
        <v>46231</v>
      </c>
      <c r="D139" s="1" t="s">
        <v>3652</v>
      </c>
      <c r="E139" s="1" t="s">
        <v>3645</v>
      </c>
    </row>
    <row r="140" spans="1:5" x14ac:dyDescent="0.3">
      <c r="A140" s="1" t="s">
        <v>1566</v>
      </c>
      <c r="B140" s="1" t="s">
        <v>259</v>
      </c>
      <c r="C140" s="2">
        <v>46016</v>
      </c>
      <c r="D140" s="1" t="s">
        <v>3652</v>
      </c>
      <c r="E140" s="1" t="s">
        <v>3650</v>
      </c>
    </row>
    <row r="141" spans="1:5" x14ac:dyDescent="0.3">
      <c r="A141" s="1" t="s">
        <v>1568</v>
      </c>
      <c r="B141" s="1" t="s">
        <v>195</v>
      </c>
      <c r="C141" s="2">
        <v>45927</v>
      </c>
      <c r="D141" s="1" t="s">
        <v>3652</v>
      </c>
      <c r="E141" s="1" t="s">
        <v>3647</v>
      </c>
    </row>
    <row r="142" spans="1:5" x14ac:dyDescent="0.3">
      <c r="A142" s="1" t="s">
        <v>1571</v>
      </c>
      <c r="B142" s="1" t="s">
        <v>955</v>
      </c>
      <c r="C142" s="2">
        <v>46209</v>
      </c>
      <c r="D142" s="1" t="s">
        <v>3648</v>
      </c>
      <c r="E142" s="1" t="s">
        <v>3645</v>
      </c>
    </row>
    <row r="143" spans="1:5" x14ac:dyDescent="0.3">
      <c r="A143" s="1" t="s">
        <v>1573</v>
      </c>
      <c r="B143" s="1" t="s">
        <v>592</v>
      </c>
      <c r="C143" s="2">
        <v>46000</v>
      </c>
      <c r="D143" s="1" t="s">
        <v>3648</v>
      </c>
      <c r="E143" s="1" t="s">
        <v>3649</v>
      </c>
    </row>
    <row r="144" spans="1:5" x14ac:dyDescent="0.3">
      <c r="A144" s="1" t="s">
        <v>1575</v>
      </c>
      <c r="B144" s="1" t="s">
        <v>649</v>
      </c>
      <c r="C144" s="2">
        <v>45998</v>
      </c>
      <c r="D144" s="1" t="s">
        <v>3644</v>
      </c>
      <c r="E144" s="1" t="s">
        <v>3653</v>
      </c>
    </row>
    <row r="145" spans="1:5" x14ac:dyDescent="0.3">
      <c r="A145" s="1" t="s">
        <v>1578</v>
      </c>
      <c r="B145" s="1" t="s">
        <v>912</v>
      </c>
      <c r="C145" s="2">
        <v>46065</v>
      </c>
      <c r="D145" s="1" t="s">
        <v>3648</v>
      </c>
      <c r="E145" s="1" t="s">
        <v>3649</v>
      </c>
    </row>
    <row r="146" spans="1:5" x14ac:dyDescent="0.3">
      <c r="A146" s="1" t="s">
        <v>1581</v>
      </c>
      <c r="B146" s="1" t="s">
        <v>309</v>
      </c>
      <c r="C146" s="2">
        <v>46009</v>
      </c>
      <c r="D146" s="1" t="s">
        <v>3648</v>
      </c>
      <c r="E146" s="1" t="s">
        <v>3651</v>
      </c>
    </row>
    <row r="147" spans="1:5" x14ac:dyDescent="0.3">
      <c r="A147" s="1" t="s">
        <v>1583</v>
      </c>
      <c r="B147" s="1" t="s">
        <v>952</v>
      </c>
      <c r="C147" s="2">
        <v>45810</v>
      </c>
      <c r="D147" s="1" t="s">
        <v>3655</v>
      </c>
      <c r="E147" s="1" t="s">
        <v>3650</v>
      </c>
    </row>
    <row r="148" spans="1:5" x14ac:dyDescent="0.3">
      <c r="A148" s="1" t="s">
        <v>1585</v>
      </c>
      <c r="B148" s="1" t="s">
        <v>93</v>
      </c>
      <c r="C148" s="2">
        <v>45824</v>
      </c>
      <c r="D148" s="1" t="s">
        <v>3652</v>
      </c>
      <c r="E148" s="1" t="s">
        <v>3650</v>
      </c>
    </row>
    <row r="149" spans="1:5" x14ac:dyDescent="0.3">
      <c r="A149" s="1" t="s">
        <v>1587</v>
      </c>
      <c r="B149" s="1" t="s">
        <v>266</v>
      </c>
      <c r="C149" s="2">
        <v>45776</v>
      </c>
      <c r="D149" s="1" t="s">
        <v>3652</v>
      </c>
      <c r="E149" s="1" t="s">
        <v>3649</v>
      </c>
    </row>
    <row r="150" spans="1:5" x14ac:dyDescent="0.3">
      <c r="A150" s="1" t="s">
        <v>1591</v>
      </c>
      <c r="B150" s="1" t="s">
        <v>324</v>
      </c>
      <c r="C150" s="2">
        <v>46086</v>
      </c>
      <c r="D150" s="1" t="s">
        <v>3648</v>
      </c>
      <c r="E150" s="1" t="s">
        <v>3650</v>
      </c>
    </row>
    <row r="151" spans="1:5" x14ac:dyDescent="0.3">
      <c r="A151" s="1" t="s">
        <v>1594</v>
      </c>
      <c r="B151" s="1" t="s">
        <v>326</v>
      </c>
      <c r="C151" s="2">
        <v>45849</v>
      </c>
      <c r="D151" s="1" t="s">
        <v>3655</v>
      </c>
      <c r="E151" s="1" t="s">
        <v>3651</v>
      </c>
    </row>
    <row r="152" spans="1:5" x14ac:dyDescent="0.3">
      <c r="A152" s="1" t="s">
        <v>1596</v>
      </c>
      <c r="B152" s="1" t="s">
        <v>778</v>
      </c>
      <c r="C152" s="2">
        <v>45836</v>
      </c>
      <c r="D152" s="1" t="s">
        <v>3648</v>
      </c>
      <c r="E152" s="1" t="s">
        <v>3649</v>
      </c>
    </row>
    <row r="153" spans="1:5" x14ac:dyDescent="0.3">
      <c r="A153" s="1" t="s">
        <v>1598</v>
      </c>
      <c r="B153" s="1" t="s">
        <v>840</v>
      </c>
      <c r="C153" s="2">
        <v>45932</v>
      </c>
      <c r="D153" s="1" t="s">
        <v>3652</v>
      </c>
      <c r="E153" s="1" t="s">
        <v>3647</v>
      </c>
    </row>
    <row r="154" spans="1:5" x14ac:dyDescent="0.3">
      <c r="A154" s="1" t="s">
        <v>1601</v>
      </c>
      <c r="B154" s="1" t="s">
        <v>453</v>
      </c>
      <c r="C154" s="2">
        <v>46127</v>
      </c>
      <c r="D154" s="1" t="s">
        <v>3648</v>
      </c>
      <c r="E154" s="1" t="s">
        <v>3645</v>
      </c>
    </row>
    <row r="155" spans="1:5" x14ac:dyDescent="0.3">
      <c r="A155" s="1" t="s">
        <v>1605</v>
      </c>
      <c r="B155" s="1" t="s">
        <v>883</v>
      </c>
      <c r="C155" s="2">
        <v>45798</v>
      </c>
      <c r="D155" s="1" t="s">
        <v>3646</v>
      </c>
      <c r="E155" s="1" t="s">
        <v>3649</v>
      </c>
    </row>
    <row r="156" spans="1:5" x14ac:dyDescent="0.3">
      <c r="A156" s="1" t="s">
        <v>1607</v>
      </c>
      <c r="B156" s="1" t="s">
        <v>699</v>
      </c>
      <c r="C156" s="2">
        <v>45860</v>
      </c>
      <c r="D156" s="1" t="s">
        <v>3652</v>
      </c>
      <c r="E156" s="1" t="s">
        <v>3650</v>
      </c>
    </row>
    <row r="157" spans="1:5" x14ac:dyDescent="0.3">
      <c r="A157" s="1" t="s">
        <v>1609</v>
      </c>
      <c r="B157" s="1" t="s">
        <v>832</v>
      </c>
      <c r="C157" s="2">
        <v>46178</v>
      </c>
      <c r="D157" s="1" t="s">
        <v>3648</v>
      </c>
      <c r="E157" s="1" t="s">
        <v>3645</v>
      </c>
    </row>
    <row r="158" spans="1:5" x14ac:dyDescent="0.3">
      <c r="A158" s="1" t="s">
        <v>1611</v>
      </c>
      <c r="B158" s="1" t="s">
        <v>725</v>
      </c>
      <c r="C158" s="2">
        <v>46128</v>
      </c>
      <c r="D158" s="1" t="s">
        <v>3648</v>
      </c>
      <c r="E158" s="1" t="s">
        <v>3647</v>
      </c>
    </row>
    <row r="159" spans="1:5" x14ac:dyDescent="0.3">
      <c r="A159" s="1" t="s">
        <v>1613</v>
      </c>
      <c r="B159" s="1" t="s">
        <v>320</v>
      </c>
      <c r="C159" s="2">
        <v>45997</v>
      </c>
      <c r="D159" s="1" t="s">
        <v>3646</v>
      </c>
      <c r="E159" s="1" t="s">
        <v>3650</v>
      </c>
    </row>
    <row r="160" spans="1:5" x14ac:dyDescent="0.3">
      <c r="A160" s="1" t="s">
        <v>1615</v>
      </c>
      <c r="B160" s="1" t="s">
        <v>277</v>
      </c>
      <c r="C160" s="2">
        <v>45996</v>
      </c>
      <c r="D160" s="1" t="s">
        <v>3646</v>
      </c>
      <c r="E160" s="1" t="s">
        <v>3651</v>
      </c>
    </row>
    <row r="161" spans="1:5" x14ac:dyDescent="0.3">
      <c r="A161" s="1" t="s">
        <v>1617</v>
      </c>
      <c r="B161" s="1" t="s">
        <v>905</v>
      </c>
      <c r="C161" s="2">
        <v>45849</v>
      </c>
      <c r="D161" s="1" t="s">
        <v>3646</v>
      </c>
      <c r="E161" s="1" t="s">
        <v>3650</v>
      </c>
    </row>
    <row r="162" spans="1:5" x14ac:dyDescent="0.3">
      <c r="A162" s="1" t="s">
        <v>1619</v>
      </c>
      <c r="B162" s="1" t="s">
        <v>212</v>
      </c>
      <c r="C162" s="2">
        <v>45822</v>
      </c>
      <c r="D162" s="1" t="s">
        <v>3655</v>
      </c>
      <c r="E162" s="1" t="s">
        <v>3653</v>
      </c>
    </row>
    <row r="163" spans="1:5" x14ac:dyDescent="0.3">
      <c r="A163" s="1" t="s">
        <v>1621</v>
      </c>
      <c r="B163" s="1" t="s">
        <v>969</v>
      </c>
      <c r="C163" s="2">
        <v>46190</v>
      </c>
      <c r="D163" s="1" t="s">
        <v>3646</v>
      </c>
      <c r="E163" s="1" t="s">
        <v>3645</v>
      </c>
    </row>
    <row r="164" spans="1:5" x14ac:dyDescent="0.3">
      <c r="A164" s="1" t="s">
        <v>1623</v>
      </c>
      <c r="B164" s="1" t="s">
        <v>176</v>
      </c>
      <c r="C164" s="2">
        <v>45746</v>
      </c>
      <c r="D164" s="1" t="s">
        <v>3655</v>
      </c>
      <c r="E164" s="1" t="s">
        <v>3645</v>
      </c>
    </row>
    <row r="165" spans="1:5" x14ac:dyDescent="0.3">
      <c r="A165" s="1" t="s">
        <v>1626</v>
      </c>
      <c r="B165" s="1" t="s">
        <v>850</v>
      </c>
      <c r="C165" s="2">
        <v>45757</v>
      </c>
      <c r="D165" s="1" t="s">
        <v>3646</v>
      </c>
      <c r="E165" s="1" t="s">
        <v>3649</v>
      </c>
    </row>
    <row r="166" spans="1:5" x14ac:dyDescent="0.3">
      <c r="A166" s="1" t="s">
        <v>1629</v>
      </c>
      <c r="B166" s="1" t="s">
        <v>825</v>
      </c>
      <c r="C166" s="2">
        <v>46048</v>
      </c>
      <c r="D166" s="1" t="s">
        <v>3648</v>
      </c>
      <c r="E166" s="1" t="s">
        <v>3649</v>
      </c>
    </row>
    <row r="167" spans="1:5" x14ac:dyDescent="0.3">
      <c r="A167" s="1" t="s">
        <v>1631</v>
      </c>
      <c r="B167" s="1" t="s">
        <v>850</v>
      </c>
      <c r="C167" s="2">
        <v>45822</v>
      </c>
      <c r="D167" s="1" t="s">
        <v>3646</v>
      </c>
      <c r="E167" s="1" t="s">
        <v>3651</v>
      </c>
    </row>
    <row r="168" spans="1:5" x14ac:dyDescent="0.3">
      <c r="A168" s="1" t="s">
        <v>1634</v>
      </c>
      <c r="B168" s="1" t="s">
        <v>785</v>
      </c>
      <c r="C168" s="2">
        <v>46078</v>
      </c>
      <c r="D168" s="1" t="s">
        <v>3648</v>
      </c>
      <c r="E168" s="1" t="s">
        <v>3650</v>
      </c>
    </row>
    <row r="169" spans="1:5" x14ac:dyDescent="0.3">
      <c r="A169" s="1" t="s">
        <v>1636</v>
      </c>
      <c r="B169" s="1" t="s">
        <v>711</v>
      </c>
      <c r="C169" s="2">
        <v>45755</v>
      </c>
      <c r="D169" s="1" t="s">
        <v>3648</v>
      </c>
      <c r="E169" s="1" t="s">
        <v>3651</v>
      </c>
    </row>
    <row r="170" spans="1:5" x14ac:dyDescent="0.3">
      <c r="A170" s="1" t="s">
        <v>1638</v>
      </c>
      <c r="B170" s="1" t="s">
        <v>711</v>
      </c>
      <c r="C170" s="2">
        <v>46047</v>
      </c>
      <c r="D170" s="1" t="s">
        <v>3648</v>
      </c>
      <c r="E170" s="1" t="s">
        <v>3645</v>
      </c>
    </row>
    <row r="171" spans="1:5" x14ac:dyDescent="0.3">
      <c r="A171" s="1" t="s">
        <v>1641</v>
      </c>
      <c r="B171" s="1" t="s">
        <v>205</v>
      </c>
      <c r="C171" s="2">
        <v>45764</v>
      </c>
      <c r="D171" s="1" t="s">
        <v>3646</v>
      </c>
      <c r="E171" s="1" t="s">
        <v>3645</v>
      </c>
    </row>
    <row r="172" spans="1:5" x14ac:dyDescent="0.3">
      <c r="A172" s="1" t="s">
        <v>1647</v>
      </c>
      <c r="B172" s="1" t="s">
        <v>291</v>
      </c>
      <c r="C172" s="2">
        <v>45875</v>
      </c>
      <c r="D172" s="1" t="s">
        <v>3648</v>
      </c>
      <c r="E172" s="1" t="s">
        <v>3645</v>
      </c>
    </row>
    <row r="173" spans="1:5" x14ac:dyDescent="0.3">
      <c r="A173" s="1" t="s">
        <v>1650</v>
      </c>
      <c r="B173" s="1" t="s">
        <v>887</v>
      </c>
      <c r="C173" s="2">
        <v>45832</v>
      </c>
      <c r="D173" s="1" t="s">
        <v>3652</v>
      </c>
      <c r="E173" s="1" t="s">
        <v>3649</v>
      </c>
    </row>
    <row r="174" spans="1:5" x14ac:dyDescent="0.3">
      <c r="A174" s="1" t="s">
        <v>1652</v>
      </c>
      <c r="B174" s="1" t="s">
        <v>883</v>
      </c>
      <c r="C174" s="2">
        <v>46259</v>
      </c>
      <c r="D174" s="1" t="s">
        <v>3648</v>
      </c>
      <c r="E174" s="1" t="s">
        <v>3651</v>
      </c>
    </row>
    <row r="175" spans="1:5" x14ac:dyDescent="0.3">
      <c r="A175" s="1" t="s">
        <v>1658</v>
      </c>
      <c r="B175" s="1" t="s">
        <v>169</v>
      </c>
      <c r="C175" s="2">
        <v>46062</v>
      </c>
      <c r="D175" s="1" t="s">
        <v>3648</v>
      </c>
      <c r="E175" s="1" t="s">
        <v>3649</v>
      </c>
    </row>
    <row r="176" spans="1:5" x14ac:dyDescent="0.3">
      <c r="A176" s="1" t="s">
        <v>1660</v>
      </c>
      <c r="B176" s="1" t="s">
        <v>298</v>
      </c>
      <c r="C176" s="2">
        <v>46042</v>
      </c>
      <c r="D176" s="1" t="s">
        <v>3648</v>
      </c>
      <c r="E176" s="1" t="s">
        <v>3650</v>
      </c>
    </row>
    <row r="177" spans="1:5" x14ac:dyDescent="0.3">
      <c r="A177" s="1" t="s">
        <v>1662</v>
      </c>
      <c r="B177" s="1" t="s">
        <v>991</v>
      </c>
      <c r="C177" s="2">
        <v>45744</v>
      </c>
      <c r="D177" s="1" t="s">
        <v>3648</v>
      </c>
      <c r="E177" s="1" t="s">
        <v>3645</v>
      </c>
    </row>
    <row r="178" spans="1:5" x14ac:dyDescent="0.3">
      <c r="A178" s="1" t="s">
        <v>1667</v>
      </c>
      <c r="B178" s="1" t="s">
        <v>459</v>
      </c>
      <c r="C178" s="2">
        <v>46128</v>
      </c>
      <c r="D178" s="1" t="s">
        <v>3648</v>
      </c>
      <c r="E178" s="1" t="s">
        <v>3651</v>
      </c>
    </row>
    <row r="179" spans="1:5" x14ac:dyDescent="0.3">
      <c r="A179" s="1" t="s">
        <v>1669</v>
      </c>
      <c r="B179" s="1" t="s">
        <v>463</v>
      </c>
      <c r="C179" s="2">
        <v>46096</v>
      </c>
      <c r="D179" s="1" t="s">
        <v>3648</v>
      </c>
      <c r="E179" s="1" t="s">
        <v>3650</v>
      </c>
    </row>
    <row r="180" spans="1:5" x14ac:dyDescent="0.3">
      <c r="A180" s="1" t="s">
        <v>1673</v>
      </c>
      <c r="B180" s="1" t="s">
        <v>864</v>
      </c>
      <c r="C180" s="2">
        <v>45889</v>
      </c>
      <c r="D180" s="1" t="s">
        <v>3648</v>
      </c>
      <c r="E180" s="1" t="s">
        <v>3653</v>
      </c>
    </row>
    <row r="181" spans="1:5" x14ac:dyDescent="0.3">
      <c r="A181" s="1" t="s">
        <v>1675</v>
      </c>
      <c r="B181" s="1" t="s">
        <v>938</v>
      </c>
      <c r="C181" s="2">
        <v>45780</v>
      </c>
      <c r="D181" s="1" t="s">
        <v>3652</v>
      </c>
      <c r="E181" s="1" t="s">
        <v>3651</v>
      </c>
    </row>
    <row r="182" spans="1:5" x14ac:dyDescent="0.3">
      <c r="A182" s="1" t="s">
        <v>1679</v>
      </c>
      <c r="B182" s="1" t="s">
        <v>967</v>
      </c>
      <c r="C182" s="2">
        <v>45980</v>
      </c>
      <c r="D182" s="1" t="s">
        <v>3652</v>
      </c>
      <c r="E182" s="1" t="s">
        <v>3649</v>
      </c>
    </row>
    <row r="183" spans="1:5" x14ac:dyDescent="0.3">
      <c r="A183" s="1" t="s">
        <v>1681</v>
      </c>
      <c r="B183" s="1" t="s">
        <v>560</v>
      </c>
      <c r="C183" s="2">
        <v>46278</v>
      </c>
      <c r="D183" s="1" t="s">
        <v>3648</v>
      </c>
      <c r="E183" s="1" t="s">
        <v>3650</v>
      </c>
    </row>
    <row r="184" spans="1:5" x14ac:dyDescent="0.3">
      <c r="A184" s="1" t="s">
        <v>1683</v>
      </c>
      <c r="B184" s="1" t="s">
        <v>670</v>
      </c>
      <c r="C184" s="2">
        <v>46209</v>
      </c>
      <c r="D184" s="1" t="s">
        <v>3648</v>
      </c>
      <c r="E184" s="1" t="s">
        <v>3647</v>
      </c>
    </row>
    <row r="185" spans="1:5" x14ac:dyDescent="0.3">
      <c r="A185" s="1" t="s">
        <v>1685</v>
      </c>
      <c r="B185" s="1" t="s">
        <v>367</v>
      </c>
      <c r="C185" s="2">
        <v>45827</v>
      </c>
      <c r="D185" s="1" t="s">
        <v>3652</v>
      </c>
      <c r="E185" s="1" t="s">
        <v>3651</v>
      </c>
    </row>
    <row r="186" spans="1:5" x14ac:dyDescent="0.3">
      <c r="A186" s="1" t="s">
        <v>1689</v>
      </c>
      <c r="B186" s="1" t="s">
        <v>984</v>
      </c>
      <c r="C186" s="2">
        <v>46189</v>
      </c>
      <c r="D186" s="1" t="s">
        <v>3644</v>
      </c>
      <c r="E186" s="1" t="s">
        <v>3651</v>
      </c>
    </row>
    <row r="187" spans="1:5" x14ac:dyDescent="0.3">
      <c r="A187" s="1" t="s">
        <v>1692</v>
      </c>
      <c r="B187" s="1" t="s">
        <v>988</v>
      </c>
      <c r="C187" s="2">
        <v>46063</v>
      </c>
      <c r="D187" s="1" t="s">
        <v>3648</v>
      </c>
      <c r="E187" s="1" t="s">
        <v>3650</v>
      </c>
    </row>
    <row r="188" spans="1:5" x14ac:dyDescent="0.3">
      <c r="A188" s="1" t="s">
        <v>1694</v>
      </c>
      <c r="B188" s="1" t="s">
        <v>1038</v>
      </c>
      <c r="C188" s="2">
        <v>46169</v>
      </c>
      <c r="D188" s="1" t="s">
        <v>3648</v>
      </c>
      <c r="E188" s="1" t="s">
        <v>3647</v>
      </c>
    </row>
    <row r="189" spans="1:5" x14ac:dyDescent="0.3">
      <c r="A189" s="1" t="s">
        <v>1696</v>
      </c>
      <c r="B189" s="1" t="s">
        <v>105</v>
      </c>
      <c r="C189" s="2">
        <v>46183</v>
      </c>
      <c r="D189" s="1" t="s">
        <v>3652</v>
      </c>
      <c r="E189" s="1" t="s">
        <v>3645</v>
      </c>
    </row>
    <row r="190" spans="1:5" x14ac:dyDescent="0.3">
      <c r="A190" s="1" t="s">
        <v>1699</v>
      </c>
      <c r="B190" s="1" t="s">
        <v>488</v>
      </c>
      <c r="C190" s="2">
        <v>45833</v>
      </c>
      <c r="D190" s="1" t="s">
        <v>3655</v>
      </c>
      <c r="E190" s="1" t="s">
        <v>3645</v>
      </c>
    </row>
    <row r="191" spans="1:5" x14ac:dyDescent="0.3">
      <c r="A191" s="1" t="s">
        <v>1701</v>
      </c>
      <c r="B191" s="1" t="s">
        <v>148</v>
      </c>
      <c r="C191" s="2">
        <v>46095</v>
      </c>
      <c r="D191" s="1" t="s">
        <v>3648</v>
      </c>
      <c r="E191" s="1" t="s">
        <v>3651</v>
      </c>
    </row>
    <row r="192" spans="1:5" x14ac:dyDescent="0.3">
      <c r="A192" s="1" t="s">
        <v>1705</v>
      </c>
      <c r="B192" s="1" t="s">
        <v>1088</v>
      </c>
      <c r="C192" s="2">
        <v>45878</v>
      </c>
      <c r="D192" s="1" t="s">
        <v>3655</v>
      </c>
      <c r="E192" s="1" t="s">
        <v>3645</v>
      </c>
    </row>
    <row r="193" spans="1:5" x14ac:dyDescent="0.3">
      <c r="A193" s="1" t="s">
        <v>1708</v>
      </c>
      <c r="B193" s="1" t="s">
        <v>269</v>
      </c>
      <c r="C193" s="2">
        <v>46130</v>
      </c>
      <c r="D193" s="1" t="s">
        <v>3648</v>
      </c>
      <c r="E193" s="1" t="s">
        <v>3650</v>
      </c>
    </row>
    <row r="194" spans="1:5" x14ac:dyDescent="0.3">
      <c r="A194" s="1" t="s">
        <v>1710</v>
      </c>
      <c r="B194" s="1" t="s">
        <v>646</v>
      </c>
      <c r="C194" s="2">
        <v>45921</v>
      </c>
      <c r="D194" s="1" t="s">
        <v>3646</v>
      </c>
      <c r="E194" s="1" t="s">
        <v>3649</v>
      </c>
    </row>
    <row r="195" spans="1:5" x14ac:dyDescent="0.3">
      <c r="A195" s="1" t="s">
        <v>1713</v>
      </c>
      <c r="B195" s="1" t="s">
        <v>873</v>
      </c>
      <c r="C195" s="2">
        <v>45982</v>
      </c>
      <c r="D195" s="1" t="s">
        <v>3644</v>
      </c>
      <c r="E195" s="1" t="s">
        <v>3647</v>
      </c>
    </row>
    <row r="196" spans="1:5" x14ac:dyDescent="0.3">
      <c r="A196" s="1" t="s">
        <v>1716</v>
      </c>
      <c r="B196" s="1" t="s">
        <v>359</v>
      </c>
      <c r="C196" s="2">
        <v>46057</v>
      </c>
      <c r="D196" s="1" t="s">
        <v>3646</v>
      </c>
      <c r="E196" s="1" t="s">
        <v>3651</v>
      </c>
    </row>
    <row r="197" spans="1:5" x14ac:dyDescent="0.3">
      <c r="A197" s="1" t="s">
        <v>1718</v>
      </c>
      <c r="B197" s="1" t="s">
        <v>864</v>
      </c>
      <c r="C197" s="2">
        <v>45859</v>
      </c>
      <c r="D197" s="1" t="s">
        <v>3648</v>
      </c>
      <c r="E197" s="1" t="s">
        <v>3649</v>
      </c>
    </row>
    <row r="198" spans="1:5" x14ac:dyDescent="0.3">
      <c r="A198" s="1" t="s">
        <v>1721</v>
      </c>
      <c r="B198" s="1" t="s">
        <v>105</v>
      </c>
      <c r="C198" s="2">
        <v>45945</v>
      </c>
      <c r="D198" s="1" t="s">
        <v>3655</v>
      </c>
      <c r="E198" s="1" t="s">
        <v>3653</v>
      </c>
    </row>
    <row r="199" spans="1:5" x14ac:dyDescent="0.3">
      <c r="A199" s="1" t="s">
        <v>1723</v>
      </c>
      <c r="B199" s="1" t="s">
        <v>101</v>
      </c>
      <c r="C199" s="2">
        <v>45793</v>
      </c>
      <c r="D199" s="1" t="s">
        <v>3648</v>
      </c>
      <c r="E199" s="1" t="s">
        <v>3645</v>
      </c>
    </row>
    <row r="200" spans="1:5" x14ac:dyDescent="0.3">
      <c r="A200" s="1" t="s">
        <v>1725</v>
      </c>
      <c r="B200" s="1" t="s">
        <v>967</v>
      </c>
      <c r="C200" s="2">
        <v>45844</v>
      </c>
      <c r="D200" s="1" t="s">
        <v>3648</v>
      </c>
      <c r="E200" s="1" t="s">
        <v>3650</v>
      </c>
    </row>
    <row r="201" spans="1:5" x14ac:dyDescent="0.3">
      <c r="A201" s="1" t="s">
        <v>1727</v>
      </c>
      <c r="B201" s="1" t="s">
        <v>891</v>
      </c>
      <c r="C201" s="2">
        <v>46205</v>
      </c>
      <c r="D201" s="1" t="s">
        <v>3648</v>
      </c>
      <c r="E201" s="1" t="s">
        <v>3649</v>
      </c>
    </row>
    <row r="202" spans="1:5" x14ac:dyDescent="0.3">
      <c r="A202" s="1" t="s">
        <v>1729</v>
      </c>
      <c r="B202" s="1" t="s">
        <v>549</v>
      </c>
      <c r="C202" s="2">
        <v>46010</v>
      </c>
      <c r="D202" s="1" t="s">
        <v>3648</v>
      </c>
      <c r="E202" s="1" t="s">
        <v>3651</v>
      </c>
    </row>
    <row r="203" spans="1:5" x14ac:dyDescent="0.3">
      <c r="A203" s="1" t="s">
        <v>1731</v>
      </c>
      <c r="B203" s="1" t="s">
        <v>631</v>
      </c>
      <c r="C203" s="2">
        <v>45964</v>
      </c>
      <c r="D203" s="1" t="s">
        <v>3648</v>
      </c>
      <c r="E203" s="1" t="s">
        <v>3645</v>
      </c>
    </row>
    <row r="204" spans="1:5" x14ac:dyDescent="0.3">
      <c r="A204" s="1" t="s">
        <v>1733</v>
      </c>
      <c r="B204" s="1" t="s">
        <v>825</v>
      </c>
      <c r="C204" s="2">
        <v>45815</v>
      </c>
      <c r="D204" s="1" t="s">
        <v>3646</v>
      </c>
      <c r="E204" s="1" t="s">
        <v>3647</v>
      </c>
    </row>
    <row r="205" spans="1:5" x14ac:dyDescent="0.3">
      <c r="A205" s="1" t="s">
        <v>1737</v>
      </c>
      <c r="B205" s="1" t="s">
        <v>732</v>
      </c>
      <c r="C205" s="2">
        <v>45786</v>
      </c>
      <c r="D205" s="1" t="s">
        <v>3648</v>
      </c>
      <c r="E205" s="1" t="s">
        <v>3649</v>
      </c>
    </row>
    <row r="206" spans="1:5" x14ac:dyDescent="0.3">
      <c r="A206" s="1" t="s">
        <v>1740</v>
      </c>
      <c r="B206" s="1" t="s">
        <v>934</v>
      </c>
      <c r="C206" s="2">
        <v>45994</v>
      </c>
      <c r="D206" s="1" t="s">
        <v>3652</v>
      </c>
      <c r="E206" s="1" t="s">
        <v>3645</v>
      </c>
    </row>
    <row r="207" spans="1:5" x14ac:dyDescent="0.3">
      <c r="A207" s="1" t="s">
        <v>1743</v>
      </c>
      <c r="B207" s="1" t="s">
        <v>973</v>
      </c>
      <c r="C207" s="2">
        <v>46070</v>
      </c>
      <c r="D207" s="1" t="s">
        <v>3648</v>
      </c>
      <c r="E207" s="1" t="s">
        <v>3651</v>
      </c>
    </row>
    <row r="208" spans="1:5" x14ac:dyDescent="0.3">
      <c r="A208" s="1" t="s">
        <v>1745</v>
      </c>
      <c r="B208" s="1" t="s">
        <v>803</v>
      </c>
      <c r="C208" s="2">
        <v>45755</v>
      </c>
      <c r="D208" s="1" t="s">
        <v>3648</v>
      </c>
      <c r="E208" s="1" t="s">
        <v>3650</v>
      </c>
    </row>
    <row r="209" spans="1:5" x14ac:dyDescent="0.3">
      <c r="A209" s="1" t="s">
        <v>1748</v>
      </c>
      <c r="B209" s="1" t="s">
        <v>355</v>
      </c>
      <c r="C209" s="2">
        <v>46163</v>
      </c>
      <c r="D209" s="1" t="s">
        <v>3648</v>
      </c>
      <c r="E209" s="1" t="s">
        <v>3645</v>
      </c>
    </row>
    <row r="210" spans="1:5" x14ac:dyDescent="0.3">
      <c r="A210" s="1" t="s">
        <v>1751</v>
      </c>
      <c r="B210" s="1" t="s">
        <v>212</v>
      </c>
      <c r="C210" s="2">
        <v>46009</v>
      </c>
      <c r="D210" s="1" t="s">
        <v>3648</v>
      </c>
      <c r="E210" s="1" t="s">
        <v>3645</v>
      </c>
    </row>
    <row r="211" spans="1:5" x14ac:dyDescent="0.3">
      <c r="A211" s="1" t="s">
        <v>1755</v>
      </c>
      <c r="B211" s="1" t="s">
        <v>584</v>
      </c>
      <c r="C211" s="2">
        <v>45798</v>
      </c>
      <c r="D211" s="1" t="s">
        <v>3648</v>
      </c>
      <c r="E211" s="1" t="s">
        <v>3647</v>
      </c>
    </row>
    <row r="212" spans="1:5" x14ac:dyDescent="0.3">
      <c r="A212" s="1" t="s">
        <v>1758</v>
      </c>
      <c r="B212" s="1" t="s">
        <v>330</v>
      </c>
      <c r="C212" s="2">
        <v>45998</v>
      </c>
      <c r="D212" s="1" t="s">
        <v>3652</v>
      </c>
      <c r="E212" s="1" t="s">
        <v>3645</v>
      </c>
    </row>
    <row r="213" spans="1:5" x14ac:dyDescent="0.3">
      <c r="A213" s="1" t="s">
        <v>1760</v>
      </c>
      <c r="B213" s="1" t="s">
        <v>842</v>
      </c>
      <c r="C213" s="2">
        <v>45805</v>
      </c>
      <c r="D213" s="1" t="s">
        <v>3648</v>
      </c>
      <c r="E213" s="1" t="s">
        <v>3645</v>
      </c>
    </row>
    <row r="214" spans="1:5" x14ac:dyDescent="0.3">
      <c r="A214" s="1" t="s">
        <v>1764</v>
      </c>
      <c r="B214" s="1" t="s">
        <v>821</v>
      </c>
      <c r="C214" s="2">
        <v>46064</v>
      </c>
      <c r="D214" s="1" t="s">
        <v>3648</v>
      </c>
      <c r="E214" s="1" t="s">
        <v>3651</v>
      </c>
    </row>
    <row r="215" spans="1:5" x14ac:dyDescent="0.3">
      <c r="A215" s="1" t="s">
        <v>1766</v>
      </c>
      <c r="B215" s="1" t="s">
        <v>162</v>
      </c>
      <c r="C215" s="2">
        <v>46187</v>
      </c>
      <c r="D215" s="1" t="s">
        <v>3652</v>
      </c>
      <c r="E215" s="1" t="s">
        <v>3647</v>
      </c>
    </row>
    <row r="216" spans="1:5" x14ac:dyDescent="0.3">
      <c r="A216" s="1" t="s">
        <v>1768</v>
      </c>
      <c r="B216" s="1" t="s">
        <v>692</v>
      </c>
      <c r="C216" s="2">
        <v>46225</v>
      </c>
      <c r="D216" s="1" t="s">
        <v>3648</v>
      </c>
      <c r="E216" s="1" t="s">
        <v>3653</v>
      </c>
    </row>
    <row r="217" spans="1:5" x14ac:dyDescent="0.3">
      <c r="A217" s="1" t="s">
        <v>1770</v>
      </c>
      <c r="B217" s="1" t="s">
        <v>316</v>
      </c>
      <c r="C217" s="2">
        <v>46158</v>
      </c>
      <c r="D217" s="1" t="s">
        <v>3644</v>
      </c>
      <c r="E217" s="1" t="s">
        <v>3649</v>
      </c>
    </row>
    <row r="218" spans="1:5" x14ac:dyDescent="0.3">
      <c r="A218" s="1" t="s">
        <v>1773</v>
      </c>
      <c r="B218" s="1" t="s">
        <v>828</v>
      </c>
      <c r="C218" s="2">
        <v>46089</v>
      </c>
      <c r="D218" s="1" t="s">
        <v>3648</v>
      </c>
      <c r="E218" s="1" t="s">
        <v>3651</v>
      </c>
    </row>
    <row r="219" spans="1:5" x14ac:dyDescent="0.3">
      <c r="A219" s="1" t="s">
        <v>1776</v>
      </c>
      <c r="B219" s="1" t="s">
        <v>455</v>
      </c>
      <c r="C219" s="2">
        <v>46020</v>
      </c>
      <c r="D219" s="1" t="s">
        <v>3655</v>
      </c>
      <c r="E219" s="1" t="s">
        <v>3645</v>
      </c>
    </row>
    <row r="220" spans="1:5" x14ac:dyDescent="0.3">
      <c r="A220" s="1" t="s">
        <v>1778</v>
      </c>
      <c r="B220" s="1" t="s">
        <v>689</v>
      </c>
      <c r="C220" s="2">
        <v>45936</v>
      </c>
      <c r="D220" s="1" t="s">
        <v>3648</v>
      </c>
      <c r="E220" s="1" t="s">
        <v>3650</v>
      </c>
    </row>
    <row r="221" spans="1:5" x14ac:dyDescent="0.3">
      <c r="A221" s="1" t="s">
        <v>1780</v>
      </c>
      <c r="B221" s="1" t="s">
        <v>81</v>
      </c>
      <c r="C221" s="2">
        <v>45757</v>
      </c>
      <c r="D221" s="1" t="s">
        <v>3652</v>
      </c>
      <c r="E221" s="1" t="s">
        <v>3647</v>
      </c>
    </row>
    <row r="222" spans="1:5" x14ac:dyDescent="0.3">
      <c r="A222" s="1" t="s">
        <v>1785</v>
      </c>
      <c r="B222" s="1" t="s">
        <v>703</v>
      </c>
      <c r="C222" s="2">
        <v>46024</v>
      </c>
      <c r="D222" s="1" t="s">
        <v>3648</v>
      </c>
      <c r="E222" s="1" t="s">
        <v>3651</v>
      </c>
    </row>
    <row r="223" spans="1:5" x14ac:dyDescent="0.3">
      <c r="A223" s="1" t="s">
        <v>1788</v>
      </c>
      <c r="B223" s="1" t="s">
        <v>1074</v>
      </c>
      <c r="C223" s="2">
        <v>45859</v>
      </c>
      <c r="D223" s="1" t="s">
        <v>3648</v>
      </c>
      <c r="E223" s="1" t="s">
        <v>3645</v>
      </c>
    </row>
    <row r="224" spans="1:5" x14ac:dyDescent="0.3">
      <c r="A224" s="1" t="s">
        <v>1791</v>
      </c>
      <c r="B224" s="1" t="s">
        <v>754</v>
      </c>
      <c r="C224" s="2">
        <v>46173</v>
      </c>
      <c r="D224" s="1" t="s">
        <v>3648</v>
      </c>
      <c r="E224" s="1" t="s">
        <v>3645</v>
      </c>
    </row>
    <row r="225" spans="1:5" x14ac:dyDescent="0.3">
      <c r="A225" s="1" t="s">
        <v>1793</v>
      </c>
      <c r="B225" s="1" t="s">
        <v>481</v>
      </c>
      <c r="C225" s="2">
        <v>46166</v>
      </c>
      <c r="D225" s="1" t="s">
        <v>3644</v>
      </c>
      <c r="E225" s="1" t="s">
        <v>3651</v>
      </c>
    </row>
    <row r="226" spans="1:5" x14ac:dyDescent="0.3">
      <c r="A226" s="1" t="s">
        <v>1796</v>
      </c>
      <c r="B226" s="1" t="s">
        <v>367</v>
      </c>
      <c r="C226" s="2">
        <v>45942</v>
      </c>
      <c r="D226" s="1" t="s">
        <v>3648</v>
      </c>
      <c r="E226" s="1" t="s">
        <v>3647</v>
      </c>
    </row>
    <row r="227" spans="1:5" x14ac:dyDescent="0.3">
      <c r="A227" s="1" t="s">
        <v>1800</v>
      </c>
      <c r="B227" s="1" t="s">
        <v>1053</v>
      </c>
      <c r="C227" s="2">
        <v>46056</v>
      </c>
      <c r="D227" s="1" t="s">
        <v>3648</v>
      </c>
      <c r="E227" s="1" t="s">
        <v>3645</v>
      </c>
    </row>
    <row r="228" spans="1:5" x14ac:dyDescent="0.3">
      <c r="A228" s="1" t="s">
        <v>1802</v>
      </c>
      <c r="B228" s="1" t="s">
        <v>842</v>
      </c>
      <c r="C228" s="2">
        <v>46140</v>
      </c>
      <c r="D228" s="1" t="s">
        <v>3648</v>
      </c>
      <c r="E228" s="1" t="s">
        <v>3650</v>
      </c>
    </row>
    <row r="229" spans="1:5" x14ac:dyDescent="0.3">
      <c r="A229" s="1" t="s">
        <v>1806</v>
      </c>
      <c r="B229" s="1" t="s">
        <v>549</v>
      </c>
      <c r="C229" s="2">
        <v>46151</v>
      </c>
      <c r="D229" s="1" t="s">
        <v>3652</v>
      </c>
      <c r="E229" s="1" t="s">
        <v>3647</v>
      </c>
    </row>
    <row r="230" spans="1:5" x14ac:dyDescent="0.3">
      <c r="A230" s="1" t="s">
        <v>1808</v>
      </c>
      <c r="B230" s="1" t="s">
        <v>391</v>
      </c>
      <c r="C230" s="2">
        <v>46115</v>
      </c>
      <c r="D230" s="1" t="s">
        <v>3648</v>
      </c>
      <c r="E230" s="1" t="s">
        <v>3651</v>
      </c>
    </row>
    <row r="231" spans="1:5" x14ac:dyDescent="0.3">
      <c r="A231" s="1" t="s">
        <v>1810</v>
      </c>
      <c r="B231" s="1" t="s">
        <v>854</v>
      </c>
      <c r="C231" s="2">
        <v>45787</v>
      </c>
      <c r="D231" s="1" t="s">
        <v>3648</v>
      </c>
      <c r="E231" s="1" t="s">
        <v>3647</v>
      </c>
    </row>
    <row r="232" spans="1:5" x14ac:dyDescent="0.3">
      <c r="A232" s="1" t="s">
        <v>1812</v>
      </c>
      <c r="B232" s="1" t="s">
        <v>183</v>
      </c>
      <c r="C232" s="2">
        <v>45807</v>
      </c>
      <c r="D232" s="1" t="s">
        <v>3646</v>
      </c>
      <c r="E232" s="1" t="s">
        <v>3645</v>
      </c>
    </row>
    <row r="233" spans="1:5" x14ac:dyDescent="0.3">
      <c r="A233" s="1" t="s">
        <v>1814</v>
      </c>
      <c r="B233" s="1" t="s">
        <v>660</v>
      </c>
      <c r="C233" s="2">
        <v>45995</v>
      </c>
      <c r="D233" s="1" t="s">
        <v>3655</v>
      </c>
      <c r="E233" s="1" t="s">
        <v>3650</v>
      </c>
    </row>
    <row r="234" spans="1:5" x14ac:dyDescent="0.3">
      <c r="A234" s="1" t="s">
        <v>1816</v>
      </c>
      <c r="B234" s="1" t="s">
        <v>1016</v>
      </c>
      <c r="C234" s="2">
        <v>45861</v>
      </c>
      <c r="D234" s="1" t="s">
        <v>3648</v>
      </c>
      <c r="E234" s="1" t="s">
        <v>3653</v>
      </c>
    </row>
    <row r="235" spans="1:5" x14ac:dyDescent="0.3">
      <c r="A235" s="1" t="s">
        <v>1819</v>
      </c>
      <c r="B235" s="1" t="s">
        <v>574</v>
      </c>
      <c r="C235" s="2">
        <v>46204</v>
      </c>
      <c r="D235" s="1" t="s">
        <v>3646</v>
      </c>
      <c r="E235" s="1" t="s">
        <v>3649</v>
      </c>
    </row>
    <row r="236" spans="1:5" x14ac:dyDescent="0.3">
      <c r="A236" s="1" t="s">
        <v>1821</v>
      </c>
      <c r="B236" s="1" t="s">
        <v>689</v>
      </c>
      <c r="C236" s="2">
        <v>45889</v>
      </c>
      <c r="D236" s="1" t="s">
        <v>3648</v>
      </c>
      <c r="E236" s="1" t="s">
        <v>3651</v>
      </c>
    </row>
    <row r="237" spans="1:5" x14ac:dyDescent="0.3">
      <c r="A237" s="1" t="s">
        <v>1823</v>
      </c>
      <c r="B237" s="1" t="s">
        <v>391</v>
      </c>
      <c r="C237" s="2">
        <v>46214</v>
      </c>
      <c r="D237" s="1" t="s">
        <v>3655</v>
      </c>
      <c r="E237" s="1" t="s">
        <v>3649</v>
      </c>
    </row>
    <row r="238" spans="1:5" x14ac:dyDescent="0.3">
      <c r="A238" s="1" t="s">
        <v>1825</v>
      </c>
      <c r="B238" s="1" t="s">
        <v>926</v>
      </c>
      <c r="C238" s="2">
        <v>45957</v>
      </c>
      <c r="D238" s="1" t="s">
        <v>3648</v>
      </c>
      <c r="E238" s="1" t="s">
        <v>3650</v>
      </c>
    </row>
    <row r="239" spans="1:5" x14ac:dyDescent="0.3">
      <c r="A239" s="1" t="s">
        <v>1827</v>
      </c>
      <c r="B239" s="1" t="s">
        <v>1074</v>
      </c>
      <c r="C239" s="2">
        <v>45837</v>
      </c>
      <c r="D239" s="1" t="s">
        <v>3648</v>
      </c>
      <c r="E239" s="1" t="s">
        <v>3650</v>
      </c>
    </row>
    <row r="240" spans="1:5" x14ac:dyDescent="0.3">
      <c r="A240" s="1" t="s">
        <v>1829</v>
      </c>
      <c r="B240" s="1" t="s">
        <v>262</v>
      </c>
      <c r="C240" s="2">
        <v>46122</v>
      </c>
      <c r="D240" s="1" t="s">
        <v>3652</v>
      </c>
      <c r="E240" s="1" t="s">
        <v>3651</v>
      </c>
    </row>
    <row r="241" spans="1:5" x14ac:dyDescent="0.3">
      <c r="A241" s="1" t="s">
        <v>1831</v>
      </c>
      <c r="B241" s="1" t="s">
        <v>144</v>
      </c>
      <c r="C241" s="2">
        <v>46166</v>
      </c>
      <c r="D241" s="1" t="s">
        <v>3648</v>
      </c>
      <c r="E241" s="1" t="s">
        <v>3647</v>
      </c>
    </row>
    <row r="242" spans="1:5" x14ac:dyDescent="0.3">
      <c r="A242" s="1" t="s">
        <v>1833</v>
      </c>
      <c r="B242" s="1" t="s">
        <v>988</v>
      </c>
      <c r="C242" s="2">
        <v>46050</v>
      </c>
      <c r="D242" s="1" t="s">
        <v>3648</v>
      </c>
      <c r="E242" s="1" t="s">
        <v>3647</v>
      </c>
    </row>
    <row r="243" spans="1:5" x14ac:dyDescent="0.3">
      <c r="A243" s="1" t="s">
        <v>1835</v>
      </c>
      <c r="B243" s="1" t="s">
        <v>1077</v>
      </c>
      <c r="C243" s="2">
        <v>45798</v>
      </c>
      <c r="D243" s="1" t="s">
        <v>3648</v>
      </c>
      <c r="E243" s="1" t="s">
        <v>3645</v>
      </c>
    </row>
    <row r="244" spans="1:5" x14ac:dyDescent="0.3">
      <c r="A244" s="1" t="s">
        <v>1837</v>
      </c>
      <c r="B244" s="1" t="s">
        <v>158</v>
      </c>
      <c r="C244" s="2">
        <v>45737</v>
      </c>
      <c r="D244" s="1" t="s">
        <v>3648</v>
      </c>
      <c r="E244" s="1" t="s">
        <v>3650</v>
      </c>
    </row>
    <row r="245" spans="1:5" x14ac:dyDescent="0.3">
      <c r="A245" s="1" t="s">
        <v>1841</v>
      </c>
      <c r="B245" s="1" t="s">
        <v>656</v>
      </c>
      <c r="C245" s="2">
        <v>46092</v>
      </c>
      <c r="D245" s="1" t="s">
        <v>3648</v>
      </c>
      <c r="E245" s="1" t="s">
        <v>3650</v>
      </c>
    </row>
    <row r="246" spans="1:5" x14ac:dyDescent="0.3">
      <c r="A246" s="1" t="s">
        <v>1845</v>
      </c>
      <c r="B246" s="1" t="s">
        <v>50</v>
      </c>
      <c r="C246" s="2">
        <v>46110</v>
      </c>
      <c r="D246" s="1" t="s">
        <v>3648</v>
      </c>
      <c r="E246" s="1" t="s">
        <v>3649</v>
      </c>
    </row>
    <row r="247" spans="1:5" x14ac:dyDescent="0.3">
      <c r="A247" s="1" t="s">
        <v>1850</v>
      </c>
      <c r="B247" s="1" t="s">
        <v>818</v>
      </c>
      <c r="C247" s="2">
        <v>45907</v>
      </c>
      <c r="D247" s="1" t="s">
        <v>3648</v>
      </c>
      <c r="E247" s="1" t="s">
        <v>3651</v>
      </c>
    </row>
    <row r="248" spans="1:5" x14ac:dyDescent="0.3">
      <c r="A248" s="1" t="s">
        <v>1853</v>
      </c>
      <c r="B248" s="1" t="s">
        <v>252</v>
      </c>
      <c r="C248" s="2">
        <v>45932</v>
      </c>
      <c r="D248" s="1" t="s">
        <v>3648</v>
      </c>
      <c r="E248" s="1" t="s">
        <v>3645</v>
      </c>
    </row>
    <row r="249" spans="1:5" x14ac:dyDescent="0.3">
      <c r="A249" s="1" t="s">
        <v>1856</v>
      </c>
      <c r="B249" s="1" t="s">
        <v>326</v>
      </c>
      <c r="C249" s="2">
        <v>45818</v>
      </c>
      <c r="D249" s="1" t="s">
        <v>3648</v>
      </c>
      <c r="E249" s="1" t="s">
        <v>3649</v>
      </c>
    </row>
    <row r="250" spans="1:5" x14ac:dyDescent="0.3">
      <c r="A250" s="1" t="s">
        <v>1859</v>
      </c>
      <c r="B250" s="1" t="s">
        <v>660</v>
      </c>
      <c r="C250" s="2">
        <v>46091</v>
      </c>
      <c r="D250" s="1" t="s">
        <v>3644</v>
      </c>
      <c r="E250" s="1" t="s">
        <v>3650</v>
      </c>
    </row>
    <row r="251" spans="1:5" x14ac:dyDescent="0.3">
      <c r="A251" s="1" t="s">
        <v>1861</v>
      </c>
      <c r="B251" s="1" t="s">
        <v>545</v>
      </c>
      <c r="C251" s="2">
        <v>45872</v>
      </c>
      <c r="D251" s="1" t="s">
        <v>3646</v>
      </c>
      <c r="E251" s="1" t="s">
        <v>3645</v>
      </c>
    </row>
    <row r="252" spans="1:5" x14ac:dyDescent="0.3">
      <c r="A252" s="1" t="s">
        <v>1864</v>
      </c>
      <c r="B252" s="1" t="s">
        <v>384</v>
      </c>
      <c r="C252" s="2">
        <v>46202</v>
      </c>
      <c r="D252" s="1" t="s">
        <v>3652</v>
      </c>
      <c r="E252" s="1" t="s">
        <v>3653</v>
      </c>
    </row>
    <row r="253" spans="1:5" x14ac:dyDescent="0.3">
      <c r="A253" s="1" t="s">
        <v>1866</v>
      </c>
      <c r="B253" s="1" t="s">
        <v>1034</v>
      </c>
      <c r="C253" s="2">
        <v>45966</v>
      </c>
      <c r="D253" s="1" t="s">
        <v>3648</v>
      </c>
      <c r="E253" s="1" t="s">
        <v>3645</v>
      </c>
    </row>
    <row r="254" spans="1:5" x14ac:dyDescent="0.3">
      <c r="A254" s="1" t="s">
        <v>1870</v>
      </c>
      <c r="B254" s="1" t="s">
        <v>1002</v>
      </c>
      <c r="C254" s="2">
        <v>45934</v>
      </c>
      <c r="D254" s="1" t="s">
        <v>3648</v>
      </c>
      <c r="E254" s="1" t="s">
        <v>3649</v>
      </c>
    </row>
    <row r="255" spans="1:5" x14ac:dyDescent="0.3">
      <c r="A255" s="1" t="s">
        <v>1872</v>
      </c>
      <c r="B255" s="1" t="s">
        <v>1088</v>
      </c>
      <c r="C255" s="2">
        <v>45885</v>
      </c>
      <c r="D255" s="1" t="s">
        <v>3648</v>
      </c>
      <c r="E255" s="1" t="s">
        <v>3650</v>
      </c>
    </row>
    <row r="256" spans="1:5" x14ac:dyDescent="0.3">
      <c r="A256" s="1" t="s">
        <v>1875</v>
      </c>
      <c r="B256" s="1" t="s">
        <v>642</v>
      </c>
      <c r="C256" s="2">
        <v>46106</v>
      </c>
      <c r="D256" s="1" t="s">
        <v>3646</v>
      </c>
      <c r="E256" s="1" t="s">
        <v>3650</v>
      </c>
    </row>
    <row r="257" spans="1:5" x14ac:dyDescent="0.3">
      <c r="A257" s="1" t="s">
        <v>1877</v>
      </c>
      <c r="B257" s="1" t="s">
        <v>101</v>
      </c>
      <c r="C257" s="2">
        <v>46147</v>
      </c>
      <c r="D257" s="1" t="s">
        <v>3646</v>
      </c>
      <c r="E257" s="1" t="s">
        <v>3651</v>
      </c>
    </row>
    <row r="258" spans="1:5" x14ac:dyDescent="0.3">
      <c r="A258" s="1" t="s">
        <v>1879</v>
      </c>
      <c r="B258" s="1" t="s">
        <v>173</v>
      </c>
      <c r="C258" s="2">
        <v>45960</v>
      </c>
      <c r="D258" s="1" t="s">
        <v>3648</v>
      </c>
      <c r="E258" s="1" t="s">
        <v>3650</v>
      </c>
    </row>
    <row r="259" spans="1:5" x14ac:dyDescent="0.3">
      <c r="A259" s="1" t="s">
        <v>1882</v>
      </c>
      <c r="B259" s="1" t="s">
        <v>510</v>
      </c>
      <c r="C259" s="2">
        <v>46163</v>
      </c>
      <c r="D259" s="1" t="s">
        <v>3652</v>
      </c>
      <c r="E259" s="1" t="s">
        <v>3650</v>
      </c>
    </row>
    <row r="260" spans="1:5" x14ac:dyDescent="0.3">
      <c r="A260" s="1" t="s">
        <v>1884</v>
      </c>
      <c r="B260" s="1" t="s">
        <v>789</v>
      </c>
      <c r="C260" s="2">
        <v>45998</v>
      </c>
      <c r="D260" s="1" t="s">
        <v>3652</v>
      </c>
      <c r="E260" s="1" t="s">
        <v>3651</v>
      </c>
    </row>
    <row r="261" spans="1:5" x14ac:dyDescent="0.3">
      <c r="A261" s="1" t="s">
        <v>1888</v>
      </c>
      <c r="B261" s="1" t="s">
        <v>934</v>
      </c>
      <c r="C261" s="2">
        <v>45936</v>
      </c>
      <c r="D261" s="1" t="s">
        <v>3646</v>
      </c>
      <c r="E261" s="1" t="s">
        <v>3650</v>
      </c>
    </row>
    <row r="262" spans="1:5" x14ac:dyDescent="0.3">
      <c r="A262" s="1" t="s">
        <v>1890</v>
      </c>
      <c r="B262" s="1" t="s">
        <v>556</v>
      </c>
      <c r="C262" s="2">
        <v>46038</v>
      </c>
      <c r="D262" s="1" t="s">
        <v>3652</v>
      </c>
      <c r="E262" s="1" t="s">
        <v>3645</v>
      </c>
    </row>
    <row r="263" spans="1:5" x14ac:dyDescent="0.3">
      <c r="A263" s="1" t="s">
        <v>1893</v>
      </c>
      <c r="B263" s="1" t="s">
        <v>909</v>
      </c>
      <c r="C263" s="2">
        <v>45873</v>
      </c>
      <c r="D263" s="1" t="s">
        <v>3648</v>
      </c>
      <c r="E263" s="1" t="s">
        <v>3647</v>
      </c>
    </row>
    <row r="264" spans="1:5" x14ac:dyDescent="0.3">
      <c r="A264" s="1" t="s">
        <v>1895</v>
      </c>
      <c r="B264" s="1" t="s">
        <v>570</v>
      </c>
      <c r="C264" s="2">
        <v>45902</v>
      </c>
      <c r="D264" s="1" t="s">
        <v>3648</v>
      </c>
      <c r="E264" s="1" t="s">
        <v>3651</v>
      </c>
    </row>
    <row r="265" spans="1:5" x14ac:dyDescent="0.3">
      <c r="A265" s="1" t="s">
        <v>1897</v>
      </c>
      <c r="B265" s="1" t="s">
        <v>312</v>
      </c>
      <c r="C265" s="2">
        <v>45922</v>
      </c>
      <c r="D265" s="1" t="s">
        <v>3648</v>
      </c>
      <c r="E265" s="1" t="s">
        <v>3647</v>
      </c>
    </row>
    <row r="266" spans="1:5" x14ac:dyDescent="0.3">
      <c r="A266" s="1" t="s">
        <v>1900</v>
      </c>
      <c r="B266" s="1" t="s">
        <v>873</v>
      </c>
      <c r="C266" s="2">
        <v>46120</v>
      </c>
      <c r="D266" s="1" t="s">
        <v>3648</v>
      </c>
      <c r="E266" s="1" t="s">
        <v>3650</v>
      </c>
    </row>
    <row r="267" spans="1:5" x14ac:dyDescent="0.3">
      <c r="A267" s="1" t="s">
        <v>1902</v>
      </c>
      <c r="B267" s="1" t="s">
        <v>287</v>
      </c>
      <c r="C267" s="2">
        <v>46137</v>
      </c>
      <c r="D267" s="1" t="s">
        <v>3648</v>
      </c>
      <c r="E267" s="1" t="s">
        <v>3645</v>
      </c>
    </row>
    <row r="268" spans="1:5" x14ac:dyDescent="0.3">
      <c r="A268" s="1" t="s">
        <v>1906</v>
      </c>
      <c r="B268" s="1" t="s">
        <v>656</v>
      </c>
      <c r="C268" s="2">
        <v>46202</v>
      </c>
      <c r="D268" s="1" t="s">
        <v>3644</v>
      </c>
      <c r="E268" s="1" t="s">
        <v>3649</v>
      </c>
    </row>
    <row r="269" spans="1:5" x14ac:dyDescent="0.3">
      <c r="A269" s="1" t="s">
        <v>1909</v>
      </c>
      <c r="B269" s="1" t="s">
        <v>703</v>
      </c>
      <c r="C269" s="2">
        <v>46095</v>
      </c>
      <c r="D269" s="1" t="s">
        <v>3648</v>
      </c>
      <c r="E269" s="1" t="s">
        <v>3651</v>
      </c>
    </row>
    <row r="270" spans="1:5" x14ac:dyDescent="0.3">
      <c r="A270" s="1" t="s">
        <v>1911</v>
      </c>
      <c r="B270" s="1" t="s">
        <v>610</v>
      </c>
      <c r="C270" s="2">
        <v>46143</v>
      </c>
      <c r="D270" s="1" t="s">
        <v>3648</v>
      </c>
      <c r="E270" s="1" t="s">
        <v>3653</v>
      </c>
    </row>
    <row r="271" spans="1:5" x14ac:dyDescent="0.3">
      <c r="A271" s="1" t="s">
        <v>1913</v>
      </c>
      <c r="B271" s="1" t="s">
        <v>248</v>
      </c>
      <c r="C271" s="2">
        <v>45978</v>
      </c>
      <c r="D271" s="1" t="s">
        <v>3648</v>
      </c>
      <c r="E271" s="1" t="s">
        <v>3649</v>
      </c>
    </row>
    <row r="272" spans="1:5" x14ac:dyDescent="0.3">
      <c r="A272" s="1" t="s">
        <v>1915</v>
      </c>
      <c r="B272" s="1" t="s">
        <v>283</v>
      </c>
      <c r="C272" s="2">
        <v>46117</v>
      </c>
      <c r="D272" s="1" t="s">
        <v>3648</v>
      </c>
      <c r="E272" s="1" t="s">
        <v>3645</v>
      </c>
    </row>
    <row r="273" spans="1:5" x14ac:dyDescent="0.3">
      <c r="A273" s="1" t="s">
        <v>1918</v>
      </c>
      <c r="B273" s="1" t="s">
        <v>728</v>
      </c>
      <c r="C273" s="2">
        <v>45822</v>
      </c>
      <c r="D273" s="1" t="s">
        <v>3646</v>
      </c>
      <c r="E273" s="1" t="s">
        <v>3647</v>
      </c>
    </row>
    <row r="274" spans="1:5" x14ac:dyDescent="0.3">
      <c r="A274" s="1" t="s">
        <v>1921</v>
      </c>
      <c r="B274" s="1" t="s">
        <v>481</v>
      </c>
      <c r="C274" s="2">
        <v>45851</v>
      </c>
      <c r="D274" s="1" t="s">
        <v>3644</v>
      </c>
      <c r="E274" s="1" t="s">
        <v>3649</v>
      </c>
    </row>
    <row r="275" spans="1:5" x14ac:dyDescent="0.3">
      <c r="A275" s="1" t="s">
        <v>1923</v>
      </c>
      <c r="B275" s="1" t="s">
        <v>625</v>
      </c>
      <c r="C275" s="2">
        <v>45953</v>
      </c>
      <c r="D275" s="1" t="s">
        <v>3644</v>
      </c>
      <c r="E275" s="1" t="s">
        <v>3645</v>
      </c>
    </row>
    <row r="276" spans="1:5" x14ac:dyDescent="0.3">
      <c r="A276" s="1" t="s">
        <v>1925</v>
      </c>
      <c r="B276" s="1" t="s">
        <v>373</v>
      </c>
      <c r="C276" s="2">
        <v>45919</v>
      </c>
      <c r="D276" s="1" t="s">
        <v>3655</v>
      </c>
      <c r="E276" s="1" t="s">
        <v>3647</v>
      </c>
    </row>
    <row r="277" spans="1:5" x14ac:dyDescent="0.3">
      <c r="A277" s="1" t="s">
        <v>1928</v>
      </c>
      <c r="B277" s="1" t="s">
        <v>967</v>
      </c>
      <c r="C277" s="2">
        <v>46035</v>
      </c>
      <c r="D277" s="1" t="s">
        <v>3648</v>
      </c>
      <c r="E277" s="1" t="s">
        <v>3645</v>
      </c>
    </row>
    <row r="278" spans="1:5" x14ac:dyDescent="0.3">
      <c r="A278" s="1" t="s">
        <v>1930</v>
      </c>
      <c r="B278" s="1" t="s">
        <v>934</v>
      </c>
      <c r="C278" s="2">
        <v>46115</v>
      </c>
      <c r="D278" s="1" t="s">
        <v>3648</v>
      </c>
      <c r="E278" s="1" t="s">
        <v>3647</v>
      </c>
    </row>
    <row r="279" spans="1:5" x14ac:dyDescent="0.3">
      <c r="A279" s="1" t="s">
        <v>1932</v>
      </c>
      <c r="B279" s="1" t="s">
        <v>948</v>
      </c>
      <c r="C279" s="2">
        <v>46121</v>
      </c>
      <c r="D279" s="1" t="s">
        <v>3648</v>
      </c>
      <c r="E279" s="1" t="s">
        <v>3649</v>
      </c>
    </row>
    <row r="280" spans="1:5" x14ac:dyDescent="0.3">
      <c r="A280" s="1" t="s">
        <v>1935</v>
      </c>
      <c r="B280" s="1" t="s">
        <v>420</v>
      </c>
      <c r="C280" s="2">
        <v>45822</v>
      </c>
      <c r="D280" s="1" t="s">
        <v>3652</v>
      </c>
      <c r="E280" s="1" t="s">
        <v>3651</v>
      </c>
    </row>
    <row r="281" spans="1:5" x14ac:dyDescent="0.3">
      <c r="A281" s="1" t="s">
        <v>1940</v>
      </c>
      <c r="B281" s="1" t="s">
        <v>115</v>
      </c>
      <c r="C281" s="2">
        <v>46262</v>
      </c>
      <c r="D281" s="1" t="s">
        <v>3648</v>
      </c>
      <c r="E281" s="1" t="s">
        <v>3650</v>
      </c>
    </row>
    <row r="282" spans="1:5" x14ac:dyDescent="0.3">
      <c r="A282" s="1" t="s">
        <v>1942</v>
      </c>
      <c r="B282" s="1" t="s">
        <v>883</v>
      </c>
      <c r="C282" s="2">
        <v>45736</v>
      </c>
      <c r="D282" s="1" t="s">
        <v>3648</v>
      </c>
      <c r="E282" s="1" t="s">
        <v>3651</v>
      </c>
    </row>
    <row r="283" spans="1:5" x14ac:dyDescent="0.3">
      <c r="A283" s="1" t="s">
        <v>1945</v>
      </c>
      <c r="B283" s="1" t="s">
        <v>223</v>
      </c>
      <c r="C283" s="2">
        <v>45783</v>
      </c>
      <c r="D283" s="1" t="s">
        <v>3648</v>
      </c>
      <c r="E283" s="1" t="s">
        <v>3645</v>
      </c>
    </row>
    <row r="284" spans="1:5" x14ac:dyDescent="0.3">
      <c r="A284" s="1" t="s">
        <v>1948</v>
      </c>
      <c r="B284" s="1" t="s">
        <v>696</v>
      </c>
      <c r="C284" s="2">
        <v>45813</v>
      </c>
      <c r="D284" s="1" t="s">
        <v>3655</v>
      </c>
      <c r="E284" s="1" t="s">
        <v>3645</v>
      </c>
    </row>
    <row r="285" spans="1:5" x14ac:dyDescent="0.3">
      <c r="A285" s="1" t="s">
        <v>1950</v>
      </c>
      <c r="B285" s="1" t="s">
        <v>109</v>
      </c>
      <c r="C285" s="2">
        <v>46241</v>
      </c>
      <c r="D285" s="1" t="s">
        <v>3648</v>
      </c>
      <c r="E285" s="1" t="s">
        <v>3650</v>
      </c>
    </row>
    <row r="286" spans="1:5" x14ac:dyDescent="0.3">
      <c r="A286" s="1" t="s">
        <v>1952</v>
      </c>
      <c r="B286" s="1" t="s">
        <v>1053</v>
      </c>
      <c r="C286" s="2">
        <v>45972</v>
      </c>
      <c r="D286" s="1" t="s">
        <v>3648</v>
      </c>
      <c r="E286" s="1" t="s">
        <v>3650</v>
      </c>
    </row>
    <row r="287" spans="1:5" x14ac:dyDescent="0.3">
      <c r="A287" s="1" t="s">
        <v>1955</v>
      </c>
      <c r="B287" s="1" t="s">
        <v>553</v>
      </c>
      <c r="C287" s="2">
        <v>45769</v>
      </c>
      <c r="D287" s="1" t="s">
        <v>3648</v>
      </c>
      <c r="E287" s="1" t="s">
        <v>3650</v>
      </c>
    </row>
    <row r="288" spans="1:5" x14ac:dyDescent="0.3">
      <c r="A288" s="1" t="s">
        <v>1957</v>
      </c>
      <c r="B288" s="1" t="s">
        <v>850</v>
      </c>
      <c r="C288" s="2">
        <v>45855</v>
      </c>
      <c r="D288" s="1" t="s">
        <v>3655</v>
      </c>
      <c r="E288" s="1" t="s">
        <v>3653</v>
      </c>
    </row>
    <row r="289" spans="1:5" x14ac:dyDescent="0.3">
      <c r="A289" s="1" t="s">
        <v>1959</v>
      </c>
      <c r="B289" s="1" t="s">
        <v>539</v>
      </c>
      <c r="C289" s="2">
        <v>45777</v>
      </c>
      <c r="D289" s="1" t="s">
        <v>3646</v>
      </c>
      <c r="E289" s="1" t="s">
        <v>3650</v>
      </c>
    </row>
    <row r="290" spans="1:5" x14ac:dyDescent="0.3">
      <c r="A290" s="1" t="s">
        <v>1962</v>
      </c>
      <c r="B290" s="1" t="s">
        <v>240</v>
      </c>
      <c r="C290" s="2">
        <v>45754</v>
      </c>
      <c r="D290" s="1" t="s">
        <v>3648</v>
      </c>
      <c r="E290" s="1" t="s">
        <v>3651</v>
      </c>
    </row>
    <row r="291" spans="1:5" x14ac:dyDescent="0.3">
      <c r="A291" s="1" t="s">
        <v>1964</v>
      </c>
      <c r="B291" s="1" t="s">
        <v>746</v>
      </c>
      <c r="C291" s="2">
        <v>45944</v>
      </c>
      <c r="D291" s="1" t="s">
        <v>3648</v>
      </c>
      <c r="E291" s="1" t="s">
        <v>3645</v>
      </c>
    </row>
    <row r="292" spans="1:5" x14ac:dyDescent="0.3">
      <c r="A292" s="1" t="s">
        <v>1968</v>
      </c>
      <c r="B292" s="1" t="s">
        <v>1045</v>
      </c>
      <c r="C292" s="2">
        <v>46273</v>
      </c>
      <c r="D292" s="1" t="s">
        <v>3644</v>
      </c>
      <c r="E292" s="1" t="s">
        <v>3649</v>
      </c>
    </row>
    <row r="293" spans="1:5" x14ac:dyDescent="0.3">
      <c r="A293" s="1" t="s">
        <v>1972</v>
      </c>
      <c r="B293" s="1" t="s">
        <v>388</v>
      </c>
      <c r="C293" s="2">
        <v>46070</v>
      </c>
      <c r="D293" s="1" t="s">
        <v>3652</v>
      </c>
      <c r="E293" s="1" t="s">
        <v>3647</v>
      </c>
    </row>
    <row r="294" spans="1:5" x14ac:dyDescent="0.3">
      <c r="A294" s="1" t="s">
        <v>1975</v>
      </c>
      <c r="B294" s="1" t="s">
        <v>941</v>
      </c>
      <c r="C294" s="2">
        <v>46019</v>
      </c>
      <c r="D294" s="1" t="s">
        <v>3648</v>
      </c>
      <c r="E294" s="1" t="s">
        <v>3651</v>
      </c>
    </row>
    <row r="295" spans="1:5" x14ac:dyDescent="0.3">
      <c r="A295" s="1" t="s">
        <v>1978</v>
      </c>
      <c r="B295" s="1" t="s">
        <v>277</v>
      </c>
      <c r="C295" s="2">
        <v>46123</v>
      </c>
      <c r="D295" s="1" t="s">
        <v>3655</v>
      </c>
      <c r="E295" s="1" t="s">
        <v>3647</v>
      </c>
    </row>
    <row r="296" spans="1:5" x14ac:dyDescent="0.3">
      <c r="A296" s="1" t="s">
        <v>1981</v>
      </c>
      <c r="B296" s="1" t="s">
        <v>973</v>
      </c>
      <c r="C296" s="2">
        <v>46061</v>
      </c>
      <c r="D296" s="1" t="s">
        <v>3648</v>
      </c>
      <c r="E296" s="1" t="s">
        <v>3650</v>
      </c>
    </row>
    <row r="297" spans="1:5" x14ac:dyDescent="0.3">
      <c r="A297" s="1" t="s">
        <v>1983</v>
      </c>
      <c r="B297" s="1" t="s">
        <v>967</v>
      </c>
      <c r="C297" s="2">
        <v>46252</v>
      </c>
      <c r="D297" s="1" t="s">
        <v>3648</v>
      </c>
      <c r="E297" s="1" t="s">
        <v>3650</v>
      </c>
    </row>
    <row r="298" spans="1:5" x14ac:dyDescent="0.3">
      <c r="A298" s="1" t="s">
        <v>1985</v>
      </c>
      <c r="B298" s="1" t="s">
        <v>610</v>
      </c>
      <c r="C298" s="2">
        <v>46183</v>
      </c>
      <c r="D298" s="1" t="s">
        <v>3648</v>
      </c>
      <c r="E298" s="1" t="s">
        <v>3650</v>
      </c>
    </row>
    <row r="299" spans="1:5" x14ac:dyDescent="0.3">
      <c r="A299" s="1" t="s">
        <v>1987</v>
      </c>
      <c r="B299" s="1" t="s">
        <v>574</v>
      </c>
      <c r="C299" s="2">
        <v>46084</v>
      </c>
      <c r="D299" s="1" t="s">
        <v>3652</v>
      </c>
      <c r="E299" s="1" t="s">
        <v>3650</v>
      </c>
    </row>
    <row r="300" spans="1:5" x14ac:dyDescent="0.3">
      <c r="A300" s="1" t="s">
        <v>1989</v>
      </c>
      <c r="B300" s="1" t="s">
        <v>955</v>
      </c>
      <c r="C300" s="2">
        <v>45974</v>
      </c>
      <c r="D300" s="1" t="s">
        <v>3648</v>
      </c>
      <c r="E300" s="1" t="s">
        <v>3650</v>
      </c>
    </row>
    <row r="301" spans="1:5" x14ac:dyDescent="0.3">
      <c r="A301" s="1" t="s">
        <v>1992</v>
      </c>
      <c r="B301" s="1" t="s">
        <v>574</v>
      </c>
      <c r="C301" s="2">
        <v>45844</v>
      </c>
      <c r="D301" s="1" t="s">
        <v>3648</v>
      </c>
      <c r="E301" s="1" t="s">
        <v>3651</v>
      </c>
    </row>
    <row r="302" spans="1:5" x14ac:dyDescent="0.3">
      <c r="A302" s="1" t="s">
        <v>1994</v>
      </c>
      <c r="B302" s="1" t="s">
        <v>699</v>
      </c>
      <c r="C302" s="2">
        <v>46093</v>
      </c>
      <c r="D302" s="1" t="s">
        <v>3648</v>
      </c>
      <c r="E302" s="1" t="s">
        <v>3651</v>
      </c>
    </row>
    <row r="303" spans="1:5" x14ac:dyDescent="0.3">
      <c r="A303" s="1" t="s">
        <v>1997</v>
      </c>
      <c r="B303" s="1" t="s">
        <v>789</v>
      </c>
      <c r="C303" s="2">
        <v>46174</v>
      </c>
      <c r="D303" s="1" t="s">
        <v>3652</v>
      </c>
      <c r="E303" s="1" t="s">
        <v>3651</v>
      </c>
    </row>
    <row r="304" spans="1:5" x14ac:dyDescent="0.3">
      <c r="A304" s="1" t="s">
        <v>1999</v>
      </c>
      <c r="B304" s="1" t="s">
        <v>891</v>
      </c>
      <c r="C304" s="2">
        <v>45890</v>
      </c>
      <c r="D304" s="1" t="s">
        <v>3648</v>
      </c>
      <c r="E304" s="1" t="s">
        <v>3650</v>
      </c>
    </row>
    <row r="305" spans="1:5" x14ac:dyDescent="0.3">
      <c r="A305" s="1" t="s">
        <v>2002</v>
      </c>
      <c r="B305" s="1" t="s">
        <v>1081</v>
      </c>
      <c r="C305" s="2">
        <v>45752</v>
      </c>
      <c r="D305" s="1" t="s">
        <v>3648</v>
      </c>
      <c r="E305" s="1" t="s">
        <v>3651</v>
      </c>
    </row>
    <row r="306" spans="1:5" x14ac:dyDescent="0.3">
      <c r="A306" s="1" t="s">
        <v>2005</v>
      </c>
      <c r="B306" s="1" t="s">
        <v>1092</v>
      </c>
      <c r="C306" s="2">
        <v>46062</v>
      </c>
      <c r="D306" s="1" t="s">
        <v>3648</v>
      </c>
      <c r="E306" s="1" t="s">
        <v>3653</v>
      </c>
    </row>
    <row r="307" spans="1:5" x14ac:dyDescent="0.3">
      <c r="A307" s="1" t="s">
        <v>2010</v>
      </c>
      <c r="B307" s="1" t="s">
        <v>984</v>
      </c>
      <c r="C307" s="2">
        <v>46016</v>
      </c>
      <c r="D307" s="1" t="s">
        <v>3652</v>
      </c>
      <c r="E307" s="1" t="s">
        <v>3650</v>
      </c>
    </row>
    <row r="308" spans="1:5" x14ac:dyDescent="0.3">
      <c r="A308" s="1" t="s">
        <v>2013</v>
      </c>
      <c r="B308" s="1" t="s">
        <v>721</v>
      </c>
      <c r="C308" s="2">
        <v>45860</v>
      </c>
      <c r="D308" s="1" t="s">
        <v>3648</v>
      </c>
      <c r="E308" s="1" t="s">
        <v>3649</v>
      </c>
    </row>
    <row r="309" spans="1:5" x14ac:dyDescent="0.3">
      <c r="A309" s="1" t="s">
        <v>2017</v>
      </c>
      <c r="B309" s="1" t="s">
        <v>81</v>
      </c>
      <c r="C309" s="2">
        <v>45826</v>
      </c>
      <c r="D309" s="1" t="s">
        <v>3652</v>
      </c>
      <c r="E309" s="1" t="s">
        <v>3651</v>
      </c>
    </row>
    <row r="310" spans="1:5" x14ac:dyDescent="0.3">
      <c r="A310" s="1" t="s">
        <v>2019</v>
      </c>
      <c r="B310" s="1" t="s">
        <v>373</v>
      </c>
      <c r="C310" s="2">
        <v>45753</v>
      </c>
      <c r="D310" s="1" t="s">
        <v>3648</v>
      </c>
      <c r="E310" s="1" t="s">
        <v>3645</v>
      </c>
    </row>
    <row r="311" spans="1:5" x14ac:dyDescent="0.3">
      <c r="A311" s="1" t="s">
        <v>2022</v>
      </c>
      <c r="B311" s="1" t="s">
        <v>793</v>
      </c>
      <c r="C311" s="2">
        <v>45865</v>
      </c>
      <c r="D311" s="1" t="s">
        <v>3648</v>
      </c>
      <c r="E311" s="1" t="s">
        <v>3649</v>
      </c>
    </row>
    <row r="312" spans="1:5" x14ac:dyDescent="0.3">
      <c r="A312" s="1" t="s">
        <v>2025</v>
      </c>
      <c r="B312" s="1" t="s">
        <v>778</v>
      </c>
      <c r="C312" s="2">
        <v>45734</v>
      </c>
      <c r="D312" s="1" t="s">
        <v>3648</v>
      </c>
      <c r="E312" s="1" t="s">
        <v>3650</v>
      </c>
    </row>
    <row r="313" spans="1:5" x14ac:dyDescent="0.3">
      <c r="A313" s="1" t="s">
        <v>2027</v>
      </c>
      <c r="B313" s="1" t="s">
        <v>887</v>
      </c>
      <c r="C313" s="2">
        <v>45820</v>
      </c>
      <c r="D313" s="1" t="s">
        <v>3646</v>
      </c>
      <c r="E313" s="1" t="s">
        <v>3651</v>
      </c>
    </row>
    <row r="314" spans="1:5" x14ac:dyDescent="0.3">
      <c r="A314" s="1" t="s">
        <v>2030</v>
      </c>
      <c r="B314" s="1" t="s">
        <v>277</v>
      </c>
      <c r="C314" s="2">
        <v>46280</v>
      </c>
      <c r="D314" s="1" t="s">
        <v>3648</v>
      </c>
      <c r="E314" s="1" t="s">
        <v>3650</v>
      </c>
    </row>
    <row r="315" spans="1:5" x14ac:dyDescent="0.3">
      <c r="A315" s="1" t="s">
        <v>2033</v>
      </c>
      <c r="B315" s="1" t="s">
        <v>621</v>
      </c>
      <c r="C315" s="2">
        <v>46161</v>
      </c>
      <c r="D315" s="1" t="s">
        <v>3644</v>
      </c>
      <c r="E315" s="1" t="s">
        <v>3647</v>
      </c>
    </row>
    <row r="316" spans="1:5" x14ac:dyDescent="0.3">
      <c r="A316" s="1" t="s">
        <v>2038</v>
      </c>
      <c r="B316" s="1" t="s">
        <v>988</v>
      </c>
      <c r="C316" s="2">
        <v>45927</v>
      </c>
      <c r="D316" s="1" t="s">
        <v>3648</v>
      </c>
      <c r="E316" s="1" t="s">
        <v>3649</v>
      </c>
    </row>
    <row r="317" spans="1:5" x14ac:dyDescent="0.3">
      <c r="A317" s="1" t="s">
        <v>2042</v>
      </c>
      <c r="B317" s="1" t="s">
        <v>868</v>
      </c>
      <c r="C317" s="2">
        <v>45950</v>
      </c>
      <c r="D317" s="1" t="s">
        <v>3646</v>
      </c>
      <c r="E317" s="1" t="s">
        <v>3645</v>
      </c>
    </row>
    <row r="318" spans="1:5" x14ac:dyDescent="0.3">
      <c r="A318" s="1" t="s">
        <v>2044</v>
      </c>
      <c r="B318" s="1" t="s">
        <v>1024</v>
      </c>
      <c r="C318" s="2">
        <v>46055</v>
      </c>
      <c r="D318" s="1" t="s">
        <v>3648</v>
      </c>
      <c r="E318" s="1" t="s">
        <v>3645</v>
      </c>
    </row>
    <row r="319" spans="1:5" x14ac:dyDescent="0.3">
      <c r="A319" s="1" t="s">
        <v>2047</v>
      </c>
      <c r="B319" s="1" t="s">
        <v>909</v>
      </c>
      <c r="C319" s="2">
        <v>46017</v>
      </c>
      <c r="D319" s="1" t="s">
        <v>3648</v>
      </c>
      <c r="E319" s="1" t="s">
        <v>3649</v>
      </c>
    </row>
    <row r="320" spans="1:5" x14ac:dyDescent="0.3">
      <c r="A320" s="1" t="s">
        <v>2051</v>
      </c>
      <c r="B320" s="1" t="s">
        <v>535</v>
      </c>
      <c r="C320" s="2">
        <v>46137</v>
      </c>
      <c r="D320" s="1" t="s">
        <v>3652</v>
      </c>
      <c r="E320" s="1" t="s">
        <v>3649</v>
      </c>
    </row>
    <row r="321" spans="1:5" x14ac:dyDescent="0.3">
      <c r="A321" s="1" t="s">
        <v>2054</v>
      </c>
      <c r="B321" s="1" t="s">
        <v>570</v>
      </c>
      <c r="C321" s="2">
        <v>45771</v>
      </c>
      <c r="D321" s="1" t="s">
        <v>3655</v>
      </c>
      <c r="E321" s="1" t="s">
        <v>3649</v>
      </c>
    </row>
    <row r="322" spans="1:5" x14ac:dyDescent="0.3">
      <c r="A322" s="1" t="s">
        <v>2056</v>
      </c>
      <c r="B322" s="1" t="s">
        <v>920</v>
      </c>
      <c r="C322" s="2">
        <v>45783</v>
      </c>
      <c r="D322" s="1" t="s">
        <v>3648</v>
      </c>
      <c r="E322" s="1" t="s">
        <v>3645</v>
      </c>
    </row>
    <row r="323" spans="1:5" x14ac:dyDescent="0.3">
      <c r="A323" s="1" t="s">
        <v>2060</v>
      </c>
      <c r="B323" s="1" t="s">
        <v>1049</v>
      </c>
      <c r="C323" s="2">
        <v>45889</v>
      </c>
      <c r="D323" s="1" t="s">
        <v>3644</v>
      </c>
      <c r="E323" s="1" t="s">
        <v>3645</v>
      </c>
    </row>
    <row r="324" spans="1:5" x14ac:dyDescent="0.3">
      <c r="A324" s="1" t="s">
        <v>2063</v>
      </c>
      <c r="B324" s="1" t="s">
        <v>553</v>
      </c>
      <c r="C324" s="2">
        <v>46188</v>
      </c>
      <c r="D324" s="1" t="s">
        <v>3648</v>
      </c>
      <c r="E324" s="1" t="s">
        <v>3653</v>
      </c>
    </row>
    <row r="325" spans="1:5" x14ac:dyDescent="0.3">
      <c r="A325" s="1" t="s">
        <v>2068</v>
      </c>
      <c r="B325" s="1" t="s">
        <v>1020</v>
      </c>
      <c r="C325" s="2">
        <v>46235</v>
      </c>
      <c r="D325" s="1" t="s">
        <v>3648</v>
      </c>
      <c r="E325" s="1" t="s">
        <v>3647</v>
      </c>
    </row>
    <row r="326" spans="1:5" x14ac:dyDescent="0.3">
      <c r="A326" s="1" t="s">
        <v>2070</v>
      </c>
      <c r="B326" s="1" t="s">
        <v>656</v>
      </c>
      <c r="C326" s="2">
        <v>45924</v>
      </c>
      <c r="D326" s="1" t="s">
        <v>3644</v>
      </c>
      <c r="E326" s="1" t="s">
        <v>3649</v>
      </c>
    </row>
    <row r="327" spans="1:5" x14ac:dyDescent="0.3">
      <c r="A327" s="1" t="s">
        <v>2072</v>
      </c>
      <c r="B327" s="1" t="s">
        <v>556</v>
      </c>
      <c r="C327" s="2">
        <v>46261</v>
      </c>
      <c r="D327" s="1" t="s">
        <v>3648</v>
      </c>
      <c r="E327" s="1" t="s">
        <v>3651</v>
      </c>
    </row>
    <row r="328" spans="1:5" x14ac:dyDescent="0.3">
      <c r="A328" s="1" t="s">
        <v>2074</v>
      </c>
      <c r="B328" s="1" t="s">
        <v>660</v>
      </c>
      <c r="C328" s="2">
        <v>45885</v>
      </c>
      <c r="D328" s="1" t="s">
        <v>3644</v>
      </c>
      <c r="E328" s="1" t="s">
        <v>3645</v>
      </c>
    </row>
    <row r="329" spans="1:5" x14ac:dyDescent="0.3">
      <c r="A329" s="1" t="s">
        <v>2077</v>
      </c>
      <c r="B329" s="1" t="s">
        <v>902</v>
      </c>
      <c r="C329" s="2">
        <v>46066</v>
      </c>
      <c r="D329" s="1" t="s">
        <v>3648</v>
      </c>
      <c r="E329" s="1" t="s">
        <v>3650</v>
      </c>
    </row>
    <row r="330" spans="1:5" x14ac:dyDescent="0.3">
      <c r="A330" s="1" t="s">
        <v>2079</v>
      </c>
      <c r="B330" s="1" t="s">
        <v>520</v>
      </c>
      <c r="C330" s="2">
        <v>45840</v>
      </c>
      <c r="D330" s="1" t="s">
        <v>3644</v>
      </c>
      <c r="E330" s="1" t="s">
        <v>3645</v>
      </c>
    </row>
    <row r="331" spans="1:5" x14ac:dyDescent="0.3">
      <c r="A331" s="1" t="s">
        <v>2081</v>
      </c>
      <c r="B331" s="1" t="s">
        <v>277</v>
      </c>
      <c r="C331" s="2">
        <v>46243</v>
      </c>
      <c r="D331" s="1" t="s">
        <v>3648</v>
      </c>
      <c r="E331" s="1" t="s">
        <v>3650</v>
      </c>
    </row>
    <row r="332" spans="1:5" x14ac:dyDescent="0.3">
      <c r="A332" s="1" t="s">
        <v>2084</v>
      </c>
      <c r="B332" s="1" t="s">
        <v>463</v>
      </c>
      <c r="C332" s="2">
        <v>46049</v>
      </c>
      <c r="D332" s="1" t="s">
        <v>3648</v>
      </c>
      <c r="E332" s="1" t="s">
        <v>3650</v>
      </c>
    </row>
    <row r="333" spans="1:5" x14ac:dyDescent="0.3">
      <c r="A333" s="1" t="s">
        <v>2086</v>
      </c>
      <c r="B333" s="1" t="s">
        <v>438</v>
      </c>
      <c r="C333" s="2">
        <v>45877</v>
      </c>
      <c r="D333" s="1" t="s">
        <v>3652</v>
      </c>
      <c r="E333" s="1" t="s">
        <v>3651</v>
      </c>
    </row>
    <row r="334" spans="1:5" x14ac:dyDescent="0.3">
      <c r="A334" s="1" t="s">
        <v>2088</v>
      </c>
      <c r="B334" s="1" t="s">
        <v>209</v>
      </c>
      <c r="C334" s="2">
        <v>45957</v>
      </c>
      <c r="D334" s="1" t="s">
        <v>3648</v>
      </c>
      <c r="E334" s="1" t="s">
        <v>3647</v>
      </c>
    </row>
    <row r="335" spans="1:5" x14ac:dyDescent="0.3">
      <c r="A335" s="1" t="s">
        <v>2093</v>
      </c>
      <c r="B335" s="1" t="s">
        <v>209</v>
      </c>
      <c r="C335" s="2">
        <v>45792</v>
      </c>
      <c r="D335" s="1" t="s">
        <v>3652</v>
      </c>
      <c r="E335" s="1" t="s">
        <v>3649</v>
      </c>
    </row>
    <row r="336" spans="1:5" x14ac:dyDescent="0.3">
      <c r="A336" s="1" t="s">
        <v>2095</v>
      </c>
      <c r="B336" s="1" t="s">
        <v>23</v>
      </c>
      <c r="C336" s="2">
        <v>45773</v>
      </c>
      <c r="D336" s="1" t="s">
        <v>3644</v>
      </c>
      <c r="E336" s="1" t="s">
        <v>3649</v>
      </c>
    </row>
    <row r="337" spans="1:5" x14ac:dyDescent="0.3">
      <c r="A337" s="1" t="s">
        <v>2097</v>
      </c>
      <c r="B337" s="1" t="s">
        <v>771</v>
      </c>
      <c r="C337" s="2">
        <v>45895</v>
      </c>
      <c r="D337" s="1" t="s">
        <v>3652</v>
      </c>
      <c r="E337" s="1" t="s">
        <v>3647</v>
      </c>
    </row>
    <row r="338" spans="1:5" x14ac:dyDescent="0.3">
      <c r="A338" s="1" t="s">
        <v>2101</v>
      </c>
      <c r="B338" s="1" t="s">
        <v>898</v>
      </c>
      <c r="C338" s="2">
        <v>46252</v>
      </c>
      <c r="D338" s="1" t="s">
        <v>3652</v>
      </c>
      <c r="E338" s="1" t="s">
        <v>3645</v>
      </c>
    </row>
    <row r="339" spans="1:5" x14ac:dyDescent="0.3">
      <c r="A339" s="1" t="s">
        <v>2103</v>
      </c>
      <c r="B339" s="1" t="s">
        <v>613</v>
      </c>
      <c r="C339" s="2">
        <v>46174</v>
      </c>
      <c r="D339" s="1" t="s">
        <v>3648</v>
      </c>
      <c r="E339" s="1" t="s">
        <v>3651</v>
      </c>
    </row>
    <row r="340" spans="1:5" x14ac:dyDescent="0.3">
      <c r="A340" s="1" t="s">
        <v>2106</v>
      </c>
      <c r="B340" s="1" t="s">
        <v>187</v>
      </c>
      <c r="C340" s="2">
        <v>46258</v>
      </c>
      <c r="D340" s="1" t="s">
        <v>3652</v>
      </c>
      <c r="E340" s="1" t="s">
        <v>3649</v>
      </c>
    </row>
    <row r="341" spans="1:5" x14ac:dyDescent="0.3">
      <c r="A341" s="1" t="s">
        <v>2109</v>
      </c>
      <c r="B341" s="1" t="s">
        <v>1002</v>
      </c>
      <c r="C341" s="2">
        <v>46214</v>
      </c>
      <c r="D341" s="1" t="s">
        <v>3655</v>
      </c>
      <c r="E341" s="1" t="s">
        <v>3651</v>
      </c>
    </row>
    <row r="342" spans="1:5" x14ac:dyDescent="0.3">
      <c r="A342" s="1" t="s">
        <v>2112</v>
      </c>
      <c r="B342" s="1" t="s">
        <v>345</v>
      </c>
      <c r="C342" s="2">
        <v>46179</v>
      </c>
      <c r="D342" s="1" t="s">
        <v>3648</v>
      </c>
      <c r="E342" s="1" t="s">
        <v>3653</v>
      </c>
    </row>
    <row r="343" spans="1:5" x14ac:dyDescent="0.3">
      <c r="A343" s="1" t="s">
        <v>2116</v>
      </c>
      <c r="B343" s="1" t="s">
        <v>348</v>
      </c>
      <c r="C343" s="2">
        <v>46049</v>
      </c>
      <c r="D343" s="1" t="s">
        <v>3644</v>
      </c>
      <c r="E343" s="1" t="s">
        <v>3651</v>
      </c>
    </row>
    <row r="344" spans="1:5" x14ac:dyDescent="0.3">
      <c r="A344" s="1" t="s">
        <v>2119</v>
      </c>
      <c r="B344" s="1" t="s">
        <v>754</v>
      </c>
      <c r="C344" s="2">
        <v>46114</v>
      </c>
      <c r="D344" s="1" t="s">
        <v>3655</v>
      </c>
      <c r="E344" s="1" t="s">
        <v>3649</v>
      </c>
    </row>
    <row r="345" spans="1:5" x14ac:dyDescent="0.3">
      <c r="A345" s="1" t="s">
        <v>2121</v>
      </c>
      <c r="B345" s="1" t="s">
        <v>556</v>
      </c>
      <c r="C345" s="2">
        <v>46263</v>
      </c>
      <c r="D345" s="1" t="s">
        <v>3646</v>
      </c>
      <c r="E345" s="1" t="s">
        <v>3651</v>
      </c>
    </row>
    <row r="346" spans="1:5" x14ac:dyDescent="0.3">
      <c r="A346" s="1" t="s">
        <v>2125</v>
      </c>
      <c r="B346" s="1" t="s">
        <v>570</v>
      </c>
      <c r="C346" s="2">
        <v>46042</v>
      </c>
      <c r="D346" s="1" t="s">
        <v>3652</v>
      </c>
      <c r="E346" s="1" t="s">
        <v>3651</v>
      </c>
    </row>
    <row r="347" spans="1:5" x14ac:dyDescent="0.3">
      <c r="A347" s="1" t="s">
        <v>2128</v>
      </c>
      <c r="B347" s="1" t="s">
        <v>639</v>
      </c>
      <c r="C347" s="2">
        <v>46155</v>
      </c>
      <c r="D347" s="1" t="s">
        <v>3648</v>
      </c>
      <c r="E347" s="1" t="s">
        <v>3650</v>
      </c>
    </row>
    <row r="348" spans="1:5" x14ac:dyDescent="0.3">
      <c r="A348" s="1" t="s">
        <v>2132</v>
      </c>
      <c r="B348" s="1" t="s">
        <v>984</v>
      </c>
      <c r="C348" s="2">
        <v>46149</v>
      </c>
      <c r="D348" s="1" t="s">
        <v>3648</v>
      </c>
      <c r="E348" s="1" t="s">
        <v>3649</v>
      </c>
    </row>
    <row r="349" spans="1:5" x14ac:dyDescent="0.3">
      <c r="A349" s="1" t="s">
        <v>2136</v>
      </c>
      <c r="B349" s="1" t="s">
        <v>948</v>
      </c>
      <c r="C349" s="2">
        <v>46260</v>
      </c>
      <c r="D349" s="1" t="s">
        <v>3648</v>
      </c>
      <c r="E349" s="1" t="s">
        <v>3649</v>
      </c>
    </row>
    <row r="350" spans="1:5" x14ac:dyDescent="0.3">
      <c r="A350" s="1" t="s">
        <v>2138</v>
      </c>
      <c r="B350" s="1" t="s">
        <v>230</v>
      </c>
      <c r="C350" s="2">
        <v>45985</v>
      </c>
      <c r="D350" s="1" t="s">
        <v>3648</v>
      </c>
      <c r="E350" s="1" t="s">
        <v>3647</v>
      </c>
    </row>
    <row r="351" spans="1:5" x14ac:dyDescent="0.3">
      <c r="A351" s="1" t="s">
        <v>2141</v>
      </c>
      <c r="B351" s="1" t="s">
        <v>496</v>
      </c>
      <c r="C351" s="2">
        <v>45986</v>
      </c>
      <c r="D351" s="1" t="s">
        <v>3655</v>
      </c>
      <c r="E351" s="1" t="s">
        <v>3651</v>
      </c>
    </row>
    <row r="352" spans="1:5" x14ac:dyDescent="0.3">
      <c r="A352" s="1" t="s">
        <v>2145</v>
      </c>
      <c r="B352" s="1" t="s">
        <v>642</v>
      </c>
      <c r="C352" s="2">
        <v>46055</v>
      </c>
      <c r="D352" s="1" t="s">
        <v>3655</v>
      </c>
      <c r="E352" s="1" t="s">
        <v>3650</v>
      </c>
    </row>
    <row r="353" spans="1:5" x14ac:dyDescent="0.3">
      <c r="A353" s="1" t="s">
        <v>2147</v>
      </c>
      <c r="B353" s="1" t="s">
        <v>377</v>
      </c>
      <c r="C353" s="2">
        <v>45748</v>
      </c>
      <c r="D353" s="1" t="s">
        <v>3648</v>
      </c>
      <c r="E353" s="1" t="s">
        <v>3647</v>
      </c>
    </row>
    <row r="354" spans="1:5" x14ac:dyDescent="0.3">
      <c r="A354" s="1" t="s">
        <v>2149</v>
      </c>
      <c r="B354" s="1" t="s">
        <v>807</v>
      </c>
      <c r="C354" s="2">
        <v>45797</v>
      </c>
      <c r="D354" s="1" t="s">
        <v>3648</v>
      </c>
      <c r="E354" s="1" t="s">
        <v>3651</v>
      </c>
    </row>
    <row r="355" spans="1:5" x14ac:dyDescent="0.3">
      <c r="A355" s="1" t="s">
        <v>2152</v>
      </c>
      <c r="B355" s="1" t="s">
        <v>760</v>
      </c>
      <c r="C355" s="2">
        <v>45771</v>
      </c>
      <c r="D355" s="1" t="s">
        <v>3652</v>
      </c>
      <c r="E355" s="1" t="s">
        <v>3649</v>
      </c>
    </row>
    <row r="356" spans="1:5" x14ac:dyDescent="0.3">
      <c r="A356" s="1" t="s">
        <v>2154</v>
      </c>
      <c r="B356" s="1" t="s">
        <v>281</v>
      </c>
      <c r="C356" s="2">
        <v>46081</v>
      </c>
      <c r="D356" s="1" t="s">
        <v>3648</v>
      </c>
      <c r="E356" s="1" t="s">
        <v>3649</v>
      </c>
    </row>
    <row r="357" spans="1:5" x14ac:dyDescent="0.3">
      <c r="A357" s="1" t="s">
        <v>2157</v>
      </c>
      <c r="B357" s="1" t="s">
        <v>28</v>
      </c>
      <c r="C357" s="2">
        <v>46278</v>
      </c>
      <c r="D357" s="1" t="s">
        <v>3648</v>
      </c>
      <c r="E357" s="1" t="s">
        <v>3649</v>
      </c>
    </row>
    <row r="358" spans="1:5" x14ac:dyDescent="0.3">
      <c r="A358" s="1" t="s">
        <v>2159</v>
      </c>
      <c r="B358" s="1" t="s">
        <v>842</v>
      </c>
      <c r="C358" s="2">
        <v>46104</v>
      </c>
      <c r="D358" s="1" t="s">
        <v>3655</v>
      </c>
      <c r="E358" s="1" t="s">
        <v>3645</v>
      </c>
    </row>
    <row r="359" spans="1:5" x14ac:dyDescent="0.3">
      <c r="A359" s="1" t="s">
        <v>2161</v>
      </c>
      <c r="B359" s="1" t="s">
        <v>578</v>
      </c>
      <c r="C359" s="2">
        <v>45860</v>
      </c>
      <c r="D359" s="1" t="s">
        <v>3652</v>
      </c>
      <c r="E359" s="1" t="s">
        <v>3650</v>
      </c>
    </row>
    <row r="360" spans="1:5" x14ac:dyDescent="0.3">
      <c r="A360" s="1" t="s">
        <v>2164</v>
      </c>
      <c r="B360" s="1" t="s">
        <v>39</v>
      </c>
      <c r="C360" s="2">
        <v>45907</v>
      </c>
      <c r="D360" s="1" t="s">
        <v>3648</v>
      </c>
      <c r="E360" s="1" t="s">
        <v>3653</v>
      </c>
    </row>
    <row r="361" spans="1:5" x14ac:dyDescent="0.3">
      <c r="A361" s="1" t="s">
        <v>2166</v>
      </c>
      <c r="B361" s="1" t="s">
        <v>685</v>
      </c>
      <c r="C361" s="2">
        <v>46257</v>
      </c>
      <c r="D361" s="1" t="s">
        <v>3652</v>
      </c>
      <c r="E361" s="1" t="s">
        <v>3651</v>
      </c>
    </row>
    <row r="362" spans="1:5" x14ac:dyDescent="0.3">
      <c r="A362" s="1" t="s">
        <v>2168</v>
      </c>
      <c r="B362" s="1" t="s">
        <v>240</v>
      </c>
      <c r="C362" s="2">
        <v>46017</v>
      </c>
      <c r="D362" s="1" t="s">
        <v>3648</v>
      </c>
      <c r="E362" s="1" t="s">
        <v>3649</v>
      </c>
    </row>
    <row r="363" spans="1:5" x14ac:dyDescent="0.3">
      <c r="A363" s="1" t="s">
        <v>2170</v>
      </c>
      <c r="B363" s="1" t="s">
        <v>768</v>
      </c>
      <c r="C363" s="2">
        <v>45739</v>
      </c>
      <c r="D363" s="1" t="s">
        <v>3652</v>
      </c>
      <c r="E363" s="1" t="s">
        <v>3645</v>
      </c>
    </row>
    <row r="364" spans="1:5" x14ac:dyDescent="0.3">
      <c r="A364" s="1" t="s">
        <v>2174</v>
      </c>
      <c r="B364" s="1" t="s">
        <v>240</v>
      </c>
      <c r="C364" s="2">
        <v>46190</v>
      </c>
      <c r="D364" s="1" t="s">
        <v>3652</v>
      </c>
      <c r="E364" s="1" t="s">
        <v>3645</v>
      </c>
    </row>
    <row r="365" spans="1:5" x14ac:dyDescent="0.3">
      <c r="A365" s="1" t="s">
        <v>2176</v>
      </c>
      <c r="B365" s="1" t="s">
        <v>699</v>
      </c>
      <c r="C365" s="2">
        <v>45870</v>
      </c>
      <c r="D365" s="1" t="s">
        <v>3652</v>
      </c>
      <c r="E365" s="1" t="s">
        <v>3649</v>
      </c>
    </row>
    <row r="366" spans="1:5" x14ac:dyDescent="0.3">
      <c r="A366" s="1" t="s">
        <v>2178</v>
      </c>
      <c r="B366" s="1" t="s">
        <v>269</v>
      </c>
      <c r="C366" s="2">
        <v>45784</v>
      </c>
      <c r="D366" s="1" t="s">
        <v>3648</v>
      </c>
      <c r="E366" s="1" t="s">
        <v>3647</v>
      </c>
    </row>
    <row r="367" spans="1:5" x14ac:dyDescent="0.3">
      <c r="A367" s="1" t="s">
        <v>2181</v>
      </c>
      <c r="B367" s="1" t="s">
        <v>711</v>
      </c>
      <c r="C367" s="2">
        <v>46103</v>
      </c>
      <c r="D367" s="1" t="s">
        <v>3648</v>
      </c>
      <c r="E367" s="1" t="s">
        <v>3650</v>
      </c>
    </row>
    <row r="368" spans="1:5" x14ac:dyDescent="0.3">
      <c r="A368" s="1" t="s">
        <v>2185</v>
      </c>
      <c r="B368" s="1" t="s">
        <v>887</v>
      </c>
      <c r="C368" s="2">
        <v>46183</v>
      </c>
      <c r="D368" s="1" t="s">
        <v>3655</v>
      </c>
      <c r="E368" s="1" t="s">
        <v>3649</v>
      </c>
    </row>
    <row r="369" spans="1:5" x14ac:dyDescent="0.3">
      <c r="A369" s="1" t="s">
        <v>2188</v>
      </c>
      <c r="B369" s="1" t="s">
        <v>477</v>
      </c>
      <c r="C369" s="2">
        <v>45775</v>
      </c>
      <c r="D369" s="1" t="s">
        <v>3652</v>
      </c>
      <c r="E369" s="1" t="s">
        <v>3650</v>
      </c>
    </row>
    <row r="370" spans="1:5" x14ac:dyDescent="0.3">
      <c r="A370" s="1" t="s">
        <v>2191</v>
      </c>
      <c r="B370" s="1" t="s">
        <v>173</v>
      </c>
      <c r="C370" s="2">
        <v>46244</v>
      </c>
      <c r="D370" s="1" t="s">
        <v>3648</v>
      </c>
      <c r="E370" s="1" t="s">
        <v>3650</v>
      </c>
    </row>
    <row r="371" spans="1:5" x14ac:dyDescent="0.3">
      <c r="A371" s="1" t="s">
        <v>2193</v>
      </c>
      <c r="B371" s="1" t="s">
        <v>689</v>
      </c>
      <c r="C371" s="2">
        <v>45995</v>
      </c>
      <c r="D371" s="1" t="s">
        <v>3648</v>
      </c>
      <c r="E371" s="1" t="s">
        <v>3650</v>
      </c>
    </row>
    <row r="372" spans="1:5" x14ac:dyDescent="0.3">
      <c r="A372" s="1" t="s">
        <v>2195</v>
      </c>
      <c r="B372" s="1" t="s">
        <v>230</v>
      </c>
      <c r="C372" s="2">
        <v>45927</v>
      </c>
      <c r="D372" s="1" t="s">
        <v>3648</v>
      </c>
      <c r="E372" s="1" t="s">
        <v>3650</v>
      </c>
    </row>
    <row r="373" spans="1:5" x14ac:dyDescent="0.3">
      <c r="A373" s="1" t="s">
        <v>2197</v>
      </c>
      <c r="B373" s="1" t="s">
        <v>948</v>
      </c>
      <c r="C373" s="2">
        <v>46224</v>
      </c>
      <c r="D373" s="1" t="s">
        <v>3648</v>
      </c>
      <c r="E373" s="1" t="s">
        <v>3650</v>
      </c>
    </row>
    <row r="374" spans="1:5" x14ac:dyDescent="0.3">
      <c r="A374" s="1" t="s">
        <v>2199</v>
      </c>
      <c r="B374" s="1" t="s">
        <v>298</v>
      </c>
      <c r="C374" s="2">
        <v>45881</v>
      </c>
      <c r="D374" s="1" t="s">
        <v>3648</v>
      </c>
      <c r="E374" s="1" t="s">
        <v>3650</v>
      </c>
    </row>
    <row r="375" spans="1:5" x14ac:dyDescent="0.3">
      <c r="A375" s="1" t="s">
        <v>2201</v>
      </c>
      <c r="B375" s="1" t="s">
        <v>836</v>
      </c>
      <c r="C375" s="2">
        <v>46253</v>
      </c>
      <c r="D375" s="1" t="s">
        <v>3648</v>
      </c>
      <c r="E375" s="1" t="s">
        <v>3649</v>
      </c>
    </row>
    <row r="376" spans="1:5" x14ac:dyDescent="0.3">
      <c r="A376" s="1" t="s">
        <v>2206</v>
      </c>
      <c r="B376" s="1" t="s">
        <v>1092</v>
      </c>
      <c r="C376" s="2">
        <v>46108</v>
      </c>
      <c r="D376" s="1" t="s">
        <v>3648</v>
      </c>
      <c r="E376" s="1" t="s">
        <v>3650</v>
      </c>
    </row>
    <row r="377" spans="1:5" x14ac:dyDescent="0.3">
      <c r="A377" s="1" t="s">
        <v>2209</v>
      </c>
      <c r="B377" s="1" t="s">
        <v>842</v>
      </c>
      <c r="C377" s="2">
        <v>46232</v>
      </c>
      <c r="D377" s="1" t="s">
        <v>3646</v>
      </c>
      <c r="E377" s="1" t="s">
        <v>3647</v>
      </c>
    </row>
    <row r="378" spans="1:5" x14ac:dyDescent="0.3">
      <c r="A378" s="1" t="s">
        <v>2212</v>
      </c>
      <c r="B378" s="1" t="s">
        <v>266</v>
      </c>
      <c r="C378" s="2">
        <v>46007</v>
      </c>
      <c r="D378" s="1" t="s">
        <v>3648</v>
      </c>
      <c r="E378" s="1" t="s">
        <v>3653</v>
      </c>
    </row>
    <row r="379" spans="1:5" x14ac:dyDescent="0.3">
      <c r="A379" s="1" t="s">
        <v>2215</v>
      </c>
      <c r="B379" s="1" t="s">
        <v>861</v>
      </c>
      <c r="C379" s="2">
        <v>45843</v>
      </c>
      <c r="D379" s="1" t="s">
        <v>3652</v>
      </c>
      <c r="E379" s="1" t="s">
        <v>3650</v>
      </c>
    </row>
    <row r="380" spans="1:5" x14ac:dyDescent="0.3">
      <c r="A380" s="1" t="s">
        <v>2217</v>
      </c>
      <c r="B380" s="1" t="s">
        <v>871</v>
      </c>
      <c r="C380" s="2">
        <v>46137</v>
      </c>
      <c r="D380" s="1" t="s">
        <v>3652</v>
      </c>
      <c r="E380" s="1" t="s">
        <v>3645</v>
      </c>
    </row>
    <row r="381" spans="1:5" x14ac:dyDescent="0.3">
      <c r="A381" s="1" t="s">
        <v>2219</v>
      </c>
      <c r="B381" s="1" t="s">
        <v>63</v>
      </c>
      <c r="C381" s="2">
        <v>46212</v>
      </c>
      <c r="D381" s="1" t="s">
        <v>3648</v>
      </c>
      <c r="E381" s="1" t="s">
        <v>3651</v>
      </c>
    </row>
    <row r="382" spans="1:5" x14ac:dyDescent="0.3">
      <c r="A382" s="1" t="s">
        <v>2222</v>
      </c>
      <c r="B382" s="1" t="s">
        <v>424</v>
      </c>
      <c r="C382" s="2">
        <v>45847</v>
      </c>
      <c r="D382" s="1" t="s">
        <v>3652</v>
      </c>
      <c r="E382" s="1" t="s">
        <v>3651</v>
      </c>
    </row>
    <row r="383" spans="1:5" x14ac:dyDescent="0.3">
      <c r="A383" s="1" t="s">
        <v>2224</v>
      </c>
      <c r="B383" s="1" t="s">
        <v>799</v>
      </c>
      <c r="C383" s="2">
        <v>45845</v>
      </c>
      <c r="D383" s="1" t="s">
        <v>3648</v>
      </c>
      <c r="E383" s="1" t="s">
        <v>3651</v>
      </c>
    </row>
    <row r="384" spans="1:5" x14ac:dyDescent="0.3">
      <c r="A384" s="1" t="s">
        <v>2228</v>
      </c>
      <c r="B384" s="1" t="s">
        <v>1016</v>
      </c>
      <c r="C384" s="2">
        <v>45870</v>
      </c>
      <c r="D384" s="1" t="s">
        <v>3644</v>
      </c>
      <c r="E384" s="1" t="s">
        <v>3651</v>
      </c>
    </row>
    <row r="385" spans="1:5" x14ac:dyDescent="0.3">
      <c r="A385" s="1" t="s">
        <v>2230</v>
      </c>
      <c r="B385" s="1" t="s">
        <v>887</v>
      </c>
      <c r="C385" s="2">
        <v>46072</v>
      </c>
      <c r="D385" s="1" t="s">
        <v>3648</v>
      </c>
      <c r="E385" s="1" t="s">
        <v>3647</v>
      </c>
    </row>
    <row r="386" spans="1:5" x14ac:dyDescent="0.3">
      <c r="A386" s="1" t="s">
        <v>2232</v>
      </c>
      <c r="B386" s="1" t="s">
        <v>355</v>
      </c>
      <c r="C386" s="2">
        <v>45819</v>
      </c>
      <c r="D386" s="1" t="s">
        <v>3655</v>
      </c>
      <c r="E386" s="1" t="s">
        <v>3647</v>
      </c>
    </row>
    <row r="387" spans="1:5" x14ac:dyDescent="0.3">
      <c r="A387" s="1" t="s">
        <v>2234</v>
      </c>
      <c r="B387" s="1" t="s">
        <v>711</v>
      </c>
      <c r="C387" s="2">
        <v>45792</v>
      </c>
      <c r="D387" s="1" t="s">
        <v>3644</v>
      </c>
      <c r="E387" s="1" t="s">
        <v>3647</v>
      </c>
    </row>
    <row r="388" spans="1:5" x14ac:dyDescent="0.3">
      <c r="A388" s="1" t="s">
        <v>2237</v>
      </c>
      <c r="B388" s="1" t="s">
        <v>846</v>
      </c>
      <c r="C388" s="2">
        <v>46238</v>
      </c>
      <c r="D388" s="1" t="s">
        <v>3646</v>
      </c>
      <c r="E388" s="1" t="s">
        <v>3647</v>
      </c>
    </row>
    <row r="389" spans="1:5" x14ac:dyDescent="0.3">
      <c r="A389" s="1" t="s">
        <v>2240</v>
      </c>
      <c r="B389" s="1" t="s">
        <v>713</v>
      </c>
      <c r="C389" s="2">
        <v>46104</v>
      </c>
      <c r="D389" s="1" t="s">
        <v>3648</v>
      </c>
      <c r="E389" s="1" t="s">
        <v>3650</v>
      </c>
    </row>
    <row r="390" spans="1:5" x14ac:dyDescent="0.3">
      <c r="A390" s="1" t="s">
        <v>2242</v>
      </c>
      <c r="B390" s="1" t="s">
        <v>269</v>
      </c>
      <c r="C390" s="2">
        <v>46097</v>
      </c>
      <c r="D390" s="1" t="s">
        <v>3652</v>
      </c>
      <c r="E390" s="1" t="s">
        <v>3645</v>
      </c>
    </row>
    <row r="391" spans="1:5" x14ac:dyDescent="0.3">
      <c r="A391" s="1" t="s">
        <v>2244</v>
      </c>
      <c r="B391" s="1" t="s">
        <v>240</v>
      </c>
      <c r="C391" s="2">
        <v>46070</v>
      </c>
      <c r="D391" s="1" t="s">
        <v>3648</v>
      </c>
      <c r="E391" s="1" t="s">
        <v>3650</v>
      </c>
    </row>
    <row r="392" spans="1:5" x14ac:dyDescent="0.3">
      <c r="A392" s="1" t="s">
        <v>2247</v>
      </c>
      <c r="B392" s="1" t="s">
        <v>746</v>
      </c>
      <c r="C392" s="2">
        <v>46152</v>
      </c>
      <c r="D392" s="1" t="s">
        <v>3648</v>
      </c>
      <c r="E392" s="1" t="s">
        <v>3649</v>
      </c>
    </row>
    <row r="393" spans="1:5" x14ac:dyDescent="0.3">
      <c r="A393" s="1" t="s">
        <v>2249</v>
      </c>
      <c r="B393" s="1" t="s">
        <v>17</v>
      </c>
      <c r="C393" s="2">
        <v>46030</v>
      </c>
      <c r="D393" s="1" t="s">
        <v>3655</v>
      </c>
      <c r="E393" s="1" t="s">
        <v>3645</v>
      </c>
    </row>
    <row r="394" spans="1:5" x14ac:dyDescent="0.3">
      <c r="A394" s="1" t="s">
        <v>2251</v>
      </c>
      <c r="B394" s="1" t="s">
        <v>873</v>
      </c>
      <c r="C394" s="2">
        <v>45757</v>
      </c>
      <c r="D394" s="1" t="s">
        <v>3652</v>
      </c>
      <c r="E394" s="1" t="s">
        <v>3650</v>
      </c>
    </row>
    <row r="395" spans="1:5" x14ac:dyDescent="0.3">
      <c r="A395" s="1" t="s">
        <v>2253</v>
      </c>
      <c r="B395" s="1" t="s">
        <v>803</v>
      </c>
      <c r="C395" s="2">
        <v>45998</v>
      </c>
      <c r="D395" s="1" t="s">
        <v>3648</v>
      </c>
      <c r="E395" s="1" t="s">
        <v>3649</v>
      </c>
    </row>
    <row r="396" spans="1:5" x14ac:dyDescent="0.3">
      <c r="A396" s="1" t="s">
        <v>2258</v>
      </c>
      <c r="B396" s="1" t="s">
        <v>477</v>
      </c>
      <c r="C396" s="2">
        <v>46074</v>
      </c>
      <c r="D396" s="1" t="s">
        <v>3648</v>
      </c>
      <c r="E396" s="1" t="s">
        <v>3653</v>
      </c>
    </row>
    <row r="397" spans="1:5" x14ac:dyDescent="0.3">
      <c r="A397" s="1" t="s">
        <v>2260</v>
      </c>
      <c r="B397" s="1" t="s">
        <v>309</v>
      </c>
      <c r="C397" s="2">
        <v>46003</v>
      </c>
      <c r="D397" s="1" t="s">
        <v>3648</v>
      </c>
      <c r="E397" s="1" t="s">
        <v>3651</v>
      </c>
    </row>
    <row r="398" spans="1:5" x14ac:dyDescent="0.3">
      <c r="A398" s="1" t="s">
        <v>2264</v>
      </c>
      <c r="B398" s="1" t="s">
        <v>81</v>
      </c>
      <c r="C398" s="2">
        <v>46273</v>
      </c>
      <c r="D398" s="1" t="s">
        <v>3646</v>
      </c>
      <c r="E398" s="1" t="s">
        <v>3647</v>
      </c>
    </row>
    <row r="399" spans="1:5" x14ac:dyDescent="0.3">
      <c r="A399" s="1" t="s">
        <v>2266</v>
      </c>
      <c r="B399" s="1" t="s">
        <v>50</v>
      </c>
      <c r="C399" s="2">
        <v>46225</v>
      </c>
      <c r="D399" s="1" t="s">
        <v>3648</v>
      </c>
      <c r="E399" s="1" t="s">
        <v>3651</v>
      </c>
    </row>
    <row r="400" spans="1:5" x14ac:dyDescent="0.3">
      <c r="A400" s="1" t="s">
        <v>2269</v>
      </c>
      <c r="B400" s="1" t="s">
        <v>209</v>
      </c>
      <c r="C400" s="2">
        <v>46210</v>
      </c>
      <c r="D400" s="1" t="s">
        <v>3652</v>
      </c>
      <c r="E400" s="1" t="s">
        <v>3647</v>
      </c>
    </row>
    <row r="401" spans="1:5" x14ac:dyDescent="0.3">
      <c r="A401" s="1" t="s">
        <v>2273</v>
      </c>
      <c r="B401" s="1" t="s">
        <v>111</v>
      </c>
      <c r="C401" s="2">
        <v>46002</v>
      </c>
      <c r="D401" s="1" t="s">
        <v>3648</v>
      </c>
      <c r="E401" s="1" t="s">
        <v>3651</v>
      </c>
    </row>
    <row r="402" spans="1:5" x14ac:dyDescent="0.3">
      <c r="A402" s="1" t="s">
        <v>2275</v>
      </c>
      <c r="B402" s="1" t="s">
        <v>760</v>
      </c>
      <c r="C402" s="2">
        <v>46273</v>
      </c>
      <c r="D402" s="1" t="s">
        <v>3648</v>
      </c>
      <c r="E402" s="1" t="s">
        <v>3650</v>
      </c>
    </row>
    <row r="403" spans="1:5" x14ac:dyDescent="0.3">
      <c r="A403" s="1" t="s">
        <v>2279</v>
      </c>
      <c r="B403" s="1" t="s">
        <v>424</v>
      </c>
      <c r="C403" s="2">
        <v>46235</v>
      </c>
      <c r="D403" s="1" t="s">
        <v>3655</v>
      </c>
      <c r="E403" s="1" t="s">
        <v>3651</v>
      </c>
    </row>
    <row r="404" spans="1:5" x14ac:dyDescent="0.3">
      <c r="A404" s="1" t="s">
        <v>2281</v>
      </c>
      <c r="B404" s="1" t="s">
        <v>281</v>
      </c>
      <c r="C404" s="2">
        <v>45887</v>
      </c>
      <c r="D404" s="1" t="s">
        <v>3648</v>
      </c>
      <c r="E404" s="1" t="s">
        <v>3645</v>
      </c>
    </row>
    <row r="405" spans="1:5" x14ac:dyDescent="0.3">
      <c r="A405" s="1" t="s">
        <v>2283</v>
      </c>
      <c r="B405" s="1" t="s">
        <v>453</v>
      </c>
      <c r="C405" s="2">
        <v>45855</v>
      </c>
      <c r="D405" s="1" t="s">
        <v>3646</v>
      </c>
      <c r="E405" s="1" t="s">
        <v>3650</v>
      </c>
    </row>
    <row r="406" spans="1:5" x14ac:dyDescent="0.3">
      <c r="A406" s="1" t="s">
        <v>2286</v>
      </c>
      <c r="B406" s="1" t="s">
        <v>610</v>
      </c>
      <c r="C406" s="2">
        <v>46050</v>
      </c>
      <c r="D406" s="1" t="s">
        <v>3652</v>
      </c>
      <c r="E406" s="1" t="s">
        <v>3645</v>
      </c>
    </row>
    <row r="407" spans="1:5" x14ac:dyDescent="0.3">
      <c r="A407" s="1" t="s">
        <v>2290</v>
      </c>
      <c r="B407" s="1" t="s">
        <v>459</v>
      </c>
      <c r="C407" s="2">
        <v>45763</v>
      </c>
      <c r="D407" s="1" t="s">
        <v>3648</v>
      </c>
      <c r="E407" s="1" t="s">
        <v>3649</v>
      </c>
    </row>
    <row r="408" spans="1:5" x14ac:dyDescent="0.3">
      <c r="A408" s="1" t="s">
        <v>2292</v>
      </c>
      <c r="B408" s="1" t="s">
        <v>977</v>
      </c>
      <c r="C408" s="2">
        <v>46171</v>
      </c>
      <c r="D408" s="1" t="s">
        <v>3648</v>
      </c>
      <c r="E408" s="1" t="s">
        <v>3645</v>
      </c>
    </row>
    <row r="409" spans="1:5" x14ac:dyDescent="0.3">
      <c r="A409" s="1" t="s">
        <v>2294</v>
      </c>
      <c r="B409" s="1" t="s">
        <v>527</v>
      </c>
      <c r="C409" s="2">
        <v>45996</v>
      </c>
      <c r="D409" s="1" t="s">
        <v>3648</v>
      </c>
      <c r="E409" s="1" t="s">
        <v>3650</v>
      </c>
    </row>
    <row r="410" spans="1:5" x14ac:dyDescent="0.3">
      <c r="A410" s="1" t="s">
        <v>2296</v>
      </c>
      <c r="B410" s="1" t="s">
        <v>345</v>
      </c>
      <c r="C410" s="2">
        <v>46030</v>
      </c>
      <c r="D410" s="1" t="s">
        <v>3652</v>
      </c>
      <c r="E410" s="1" t="s">
        <v>3647</v>
      </c>
    </row>
    <row r="411" spans="1:5" x14ac:dyDescent="0.3">
      <c r="A411" s="1" t="s">
        <v>2301</v>
      </c>
      <c r="B411" s="1" t="s">
        <v>1041</v>
      </c>
      <c r="C411" s="2">
        <v>46009</v>
      </c>
      <c r="D411" s="1" t="s">
        <v>3648</v>
      </c>
      <c r="E411" s="1" t="s">
        <v>3645</v>
      </c>
    </row>
    <row r="412" spans="1:5" x14ac:dyDescent="0.3">
      <c r="A412" s="1" t="s">
        <v>2304</v>
      </c>
      <c r="B412" s="1" t="s">
        <v>725</v>
      </c>
      <c r="C412" s="2">
        <v>45949</v>
      </c>
      <c r="D412" s="1" t="s">
        <v>3655</v>
      </c>
      <c r="E412" s="1" t="s">
        <v>3645</v>
      </c>
    </row>
    <row r="413" spans="1:5" x14ac:dyDescent="0.3">
      <c r="A413" s="1" t="s">
        <v>2309</v>
      </c>
      <c r="B413" s="1" t="s">
        <v>789</v>
      </c>
      <c r="C413" s="2">
        <v>46110</v>
      </c>
      <c r="D413" s="1" t="s">
        <v>3648</v>
      </c>
      <c r="E413" s="1" t="s">
        <v>3645</v>
      </c>
    </row>
    <row r="414" spans="1:5" x14ac:dyDescent="0.3">
      <c r="A414" s="1" t="s">
        <v>2313</v>
      </c>
      <c r="B414" s="1" t="s">
        <v>713</v>
      </c>
      <c r="C414" s="2">
        <v>45829</v>
      </c>
      <c r="D414" s="1" t="s">
        <v>3648</v>
      </c>
      <c r="E414" s="1" t="s">
        <v>3653</v>
      </c>
    </row>
    <row r="415" spans="1:5" x14ac:dyDescent="0.3">
      <c r="A415" s="1" t="s">
        <v>2316</v>
      </c>
      <c r="B415" s="1" t="s">
        <v>1010</v>
      </c>
      <c r="C415" s="2">
        <v>46269</v>
      </c>
      <c r="D415" s="1" t="s">
        <v>3648</v>
      </c>
      <c r="E415" s="1" t="s">
        <v>3649</v>
      </c>
    </row>
    <row r="416" spans="1:5" x14ac:dyDescent="0.3">
      <c r="A416" s="1" t="s">
        <v>2319</v>
      </c>
      <c r="B416" s="1" t="s">
        <v>574</v>
      </c>
      <c r="C416" s="2">
        <v>46116</v>
      </c>
      <c r="D416" s="1" t="s">
        <v>3646</v>
      </c>
      <c r="E416" s="1" t="s">
        <v>3649</v>
      </c>
    </row>
    <row r="417" spans="1:5" x14ac:dyDescent="0.3">
      <c r="A417" s="1" t="s">
        <v>2321</v>
      </c>
      <c r="B417" s="1" t="s">
        <v>873</v>
      </c>
      <c r="C417" s="2">
        <v>45986</v>
      </c>
      <c r="D417" s="1" t="s">
        <v>3646</v>
      </c>
      <c r="E417" s="1" t="s">
        <v>3650</v>
      </c>
    </row>
    <row r="418" spans="1:5" x14ac:dyDescent="0.3">
      <c r="A418" s="1" t="s">
        <v>2323</v>
      </c>
      <c r="B418" s="1" t="s">
        <v>782</v>
      </c>
      <c r="C418" s="2">
        <v>46111</v>
      </c>
      <c r="D418" s="1" t="s">
        <v>3644</v>
      </c>
      <c r="E418" s="1" t="s">
        <v>3650</v>
      </c>
    </row>
    <row r="419" spans="1:5" x14ac:dyDescent="0.3">
      <c r="A419" s="1" t="s">
        <v>2327</v>
      </c>
      <c r="B419" s="1" t="s">
        <v>995</v>
      </c>
      <c r="C419" s="2">
        <v>45740</v>
      </c>
      <c r="D419" s="1" t="s">
        <v>3648</v>
      </c>
      <c r="E419" s="1" t="s">
        <v>3649</v>
      </c>
    </row>
    <row r="420" spans="1:5" x14ac:dyDescent="0.3">
      <c r="A420" s="1" t="s">
        <v>2329</v>
      </c>
      <c r="B420" s="1" t="s">
        <v>492</v>
      </c>
      <c r="C420" s="2">
        <v>45849</v>
      </c>
      <c r="D420" s="1" t="s">
        <v>3648</v>
      </c>
      <c r="E420" s="1" t="s">
        <v>3651</v>
      </c>
    </row>
    <row r="421" spans="1:5" x14ac:dyDescent="0.3">
      <c r="A421" s="1" t="s">
        <v>2331</v>
      </c>
      <c r="B421" s="1" t="s">
        <v>850</v>
      </c>
      <c r="C421" s="2">
        <v>46052</v>
      </c>
      <c r="D421" s="1" t="s">
        <v>3646</v>
      </c>
      <c r="E421" s="1" t="s">
        <v>3651</v>
      </c>
    </row>
    <row r="422" spans="1:5" x14ac:dyDescent="0.3">
      <c r="A422" s="1" t="s">
        <v>2333</v>
      </c>
      <c r="B422" s="1" t="s">
        <v>1006</v>
      </c>
      <c r="C422" s="2">
        <v>45912</v>
      </c>
      <c r="D422" s="1" t="s">
        <v>3655</v>
      </c>
      <c r="E422" s="1" t="s">
        <v>3649</v>
      </c>
    </row>
    <row r="423" spans="1:5" x14ac:dyDescent="0.3">
      <c r="A423" s="1" t="s">
        <v>2335</v>
      </c>
      <c r="B423" s="1" t="s">
        <v>119</v>
      </c>
      <c r="C423" s="2">
        <v>46069</v>
      </c>
      <c r="D423" s="1" t="s">
        <v>3648</v>
      </c>
      <c r="E423" s="1" t="s">
        <v>3650</v>
      </c>
    </row>
    <row r="424" spans="1:5" x14ac:dyDescent="0.3">
      <c r="A424" s="1" t="s">
        <v>2339</v>
      </c>
      <c r="B424" s="1" t="s">
        <v>97</v>
      </c>
      <c r="C424" s="2">
        <v>45876</v>
      </c>
      <c r="D424" s="1" t="s">
        <v>3646</v>
      </c>
      <c r="E424" s="1" t="s">
        <v>3649</v>
      </c>
    </row>
    <row r="425" spans="1:5" x14ac:dyDescent="0.3">
      <c r="A425" s="1" t="s">
        <v>2342</v>
      </c>
      <c r="B425" s="1" t="s">
        <v>50</v>
      </c>
      <c r="C425" s="2">
        <v>46034</v>
      </c>
      <c r="D425" s="1" t="s">
        <v>3655</v>
      </c>
      <c r="E425" s="1" t="s">
        <v>3650</v>
      </c>
    </row>
    <row r="426" spans="1:5" x14ac:dyDescent="0.3">
      <c r="A426" s="1" t="s">
        <v>2346</v>
      </c>
      <c r="B426" s="1" t="s">
        <v>424</v>
      </c>
      <c r="C426" s="2">
        <v>45863</v>
      </c>
      <c r="D426" s="1" t="s">
        <v>3648</v>
      </c>
      <c r="E426" s="1" t="s">
        <v>3645</v>
      </c>
    </row>
    <row r="427" spans="1:5" x14ac:dyDescent="0.3">
      <c r="A427" s="1" t="s">
        <v>2350</v>
      </c>
      <c r="B427" s="1" t="s">
        <v>582</v>
      </c>
      <c r="C427" s="2">
        <v>45992</v>
      </c>
      <c r="D427" s="1" t="s">
        <v>3644</v>
      </c>
      <c r="E427" s="1" t="s">
        <v>3651</v>
      </c>
    </row>
    <row r="428" spans="1:5" x14ac:dyDescent="0.3">
      <c r="A428" s="1" t="s">
        <v>2354</v>
      </c>
      <c r="B428" s="1" t="s">
        <v>412</v>
      </c>
      <c r="C428" s="2">
        <v>46069</v>
      </c>
      <c r="D428" s="1" t="s">
        <v>3644</v>
      </c>
      <c r="E428" s="1" t="s">
        <v>3651</v>
      </c>
    </row>
    <row r="429" spans="1:5" x14ac:dyDescent="0.3">
      <c r="A429" s="1" t="s">
        <v>2357</v>
      </c>
      <c r="B429" s="1" t="s">
        <v>902</v>
      </c>
      <c r="C429" s="2">
        <v>45934</v>
      </c>
      <c r="D429" s="1" t="s">
        <v>3646</v>
      </c>
      <c r="E429" s="1" t="s">
        <v>3650</v>
      </c>
    </row>
    <row r="430" spans="1:5" x14ac:dyDescent="0.3">
      <c r="A430" s="1" t="s">
        <v>2360</v>
      </c>
      <c r="B430" s="1" t="s">
        <v>398</v>
      </c>
      <c r="C430" s="2">
        <v>46007</v>
      </c>
      <c r="D430" s="1" t="s">
        <v>3648</v>
      </c>
      <c r="E430" s="1" t="s">
        <v>3649</v>
      </c>
    </row>
    <row r="431" spans="1:5" x14ac:dyDescent="0.3">
      <c r="A431" s="1" t="s">
        <v>2364</v>
      </c>
      <c r="B431" s="1" t="s">
        <v>1034</v>
      </c>
      <c r="C431" s="2">
        <v>45849</v>
      </c>
      <c r="D431" s="1" t="s">
        <v>3648</v>
      </c>
      <c r="E431" s="1" t="s">
        <v>3645</v>
      </c>
    </row>
    <row r="432" spans="1:5" x14ac:dyDescent="0.3">
      <c r="A432" s="1" t="s">
        <v>2367</v>
      </c>
      <c r="B432" s="1" t="s">
        <v>721</v>
      </c>
      <c r="C432" s="2">
        <v>46117</v>
      </c>
      <c r="D432" s="1" t="s">
        <v>3648</v>
      </c>
      <c r="E432" s="1" t="s">
        <v>3653</v>
      </c>
    </row>
    <row r="433" spans="1:5" x14ac:dyDescent="0.3">
      <c r="A433" s="1" t="s">
        <v>2370</v>
      </c>
      <c r="B433" s="1" t="s">
        <v>682</v>
      </c>
      <c r="C433" s="2">
        <v>45938</v>
      </c>
      <c r="D433" s="1" t="s">
        <v>3648</v>
      </c>
      <c r="E433" s="1" t="s">
        <v>3645</v>
      </c>
    </row>
    <row r="434" spans="1:5" x14ac:dyDescent="0.3">
      <c r="A434" s="1" t="s">
        <v>2375</v>
      </c>
      <c r="B434" s="1" t="s">
        <v>963</v>
      </c>
      <c r="C434" s="2">
        <v>46202</v>
      </c>
      <c r="D434" s="1" t="s">
        <v>3646</v>
      </c>
      <c r="E434" s="1" t="s">
        <v>3647</v>
      </c>
    </row>
    <row r="435" spans="1:5" x14ac:dyDescent="0.3">
      <c r="A435" s="1" t="s">
        <v>2377</v>
      </c>
      <c r="B435" s="1" t="s">
        <v>205</v>
      </c>
      <c r="C435" s="2">
        <v>45887</v>
      </c>
      <c r="D435" s="1" t="s">
        <v>3646</v>
      </c>
      <c r="E435" s="1" t="s">
        <v>3647</v>
      </c>
    </row>
    <row r="436" spans="1:5" x14ac:dyDescent="0.3">
      <c r="A436" s="1" t="s">
        <v>2380</v>
      </c>
      <c r="B436" s="1" t="s">
        <v>610</v>
      </c>
      <c r="C436" s="2">
        <v>45832</v>
      </c>
      <c r="D436" s="1" t="s">
        <v>3646</v>
      </c>
      <c r="E436" s="1" t="s">
        <v>3645</v>
      </c>
    </row>
    <row r="437" spans="1:5" x14ac:dyDescent="0.3">
      <c r="A437" s="1" t="s">
        <v>2382</v>
      </c>
      <c r="B437" s="1" t="s">
        <v>599</v>
      </c>
      <c r="C437" s="2">
        <v>45805</v>
      </c>
      <c r="D437" s="1" t="s">
        <v>3648</v>
      </c>
      <c r="E437" s="1" t="s">
        <v>3650</v>
      </c>
    </row>
    <row r="438" spans="1:5" x14ac:dyDescent="0.3">
      <c r="A438" s="1" t="s">
        <v>2385</v>
      </c>
      <c r="B438" s="1" t="s">
        <v>431</v>
      </c>
      <c r="C438" s="2">
        <v>46049</v>
      </c>
      <c r="D438" s="1" t="s">
        <v>3655</v>
      </c>
      <c r="E438" s="1" t="s">
        <v>3651</v>
      </c>
    </row>
    <row r="439" spans="1:5" x14ac:dyDescent="0.3">
      <c r="A439" s="1" t="s">
        <v>2389</v>
      </c>
      <c r="B439" s="1" t="s">
        <v>502</v>
      </c>
      <c r="C439" s="2">
        <v>45859</v>
      </c>
      <c r="D439" s="1" t="s">
        <v>3652</v>
      </c>
      <c r="E439" s="1" t="s">
        <v>3650</v>
      </c>
    </row>
    <row r="440" spans="1:5" x14ac:dyDescent="0.3">
      <c r="A440" s="1" t="s">
        <v>2392</v>
      </c>
      <c r="B440" s="1" t="s">
        <v>1084</v>
      </c>
      <c r="C440" s="2">
        <v>45788</v>
      </c>
      <c r="D440" s="1" t="s">
        <v>3655</v>
      </c>
      <c r="E440" s="1" t="s">
        <v>3645</v>
      </c>
    </row>
    <row r="441" spans="1:5" x14ac:dyDescent="0.3">
      <c r="A441" s="1" t="s">
        <v>2394</v>
      </c>
      <c r="B441" s="1" t="s">
        <v>305</v>
      </c>
      <c r="C441" s="2">
        <v>45881</v>
      </c>
      <c r="D441" s="1" t="s">
        <v>3648</v>
      </c>
      <c r="E441" s="1" t="s">
        <v>3649</v>
      </c>
    </row>
    <row r="442" spans="1:5" x14ac:dyDescent="0.3">
      <c r="A442" s="1" t="s">
        <v>2396</v>
      </c>
      <c r="B442" s="1" t="s">
        <v>721</v>
      </c>
      <c r="C442" s="2">
        <v>45863</v>
      </c>
      <c r="D442" s="1" t="s">
        <v>3652</v>
      </c>
      <c r="E442" s="1" t="s">
        <v>3649</v>
      </c>
    </row>
    <row r="443" spans="1:5" x14ac:dyDescent="0.3">
      <c r="A443" s="1" t="s">
        <v>2399</v>
      </c>
      <c r="B443" s="1" t="s">
        <v>938</v>
      </c>
      <c r="C443" s="2">
        <v>45970</v>
      </c>
      <c r="D443" s="1" t="s">
        <v>3652</v>
      </c>
      <c r="E443" s="1" t="s">
        <v>3645</v>
      </c>
    </row>
    <row r="444" spans="1:5" x14ac:dyDescent="0.3">
      <c r="A444" s="1" t="s">
        <v>2401</v>
      </c>
      <c r="B444" s="1" t="s">
        <v>496</v>
      </c>
      <c r="C444" s="2">
        <v>45942</v>
      </c>
      <c r="D444" s="1" t="s">
        <v>3655</v>
      </c>
      <c r="E444" s="1" t="s">
        <v>3647</v>
      </c>
    </row>
    <row r="445" spans="1:5" x14ac:dyDescent="0.3">
      <c r="A445" s="1" t="s">
        <v>2403</v>
      </c>
      <c r="B445" s="1" t="s">
        <v>924</v>
      </c>
      <c r="C445" s="2">
        <v>45813</v>
      </c>
      <c r="D445" s="1" t="s">
        <v>3648</v>
      </c>
      <c r="E445" s="1" t="s">
        <v>3645</v>
      </c>
    </row>
    <row r="446" spans="1:5" x14ac:dyDescent="0.3">
      <c r="A446" s="1" t="s">
        <v>2406</v>
      </c>
      <c r="B446" s="1" t="s">
        <v>334</v>
      </c>
      <c r="C446" s="2">
        <v>46259</v>
      </c>
      <c r="D446" s="1" t="s">
        <v>3648</v>
      </c>
      <c r="E446" s="1" t="s">
        <v>3650</v>
      </c>
    </row>
    <row r="447" spans="1:5" x14ac:dyDescent="0.3">
      <c r="A447" s="1" t="s">
        <v>2408</v>
      </c>
      <c r="B447" s="1" t="s">
        <v>920</v>
      </c>
      <c r="C447" s="2">
        <v>45815</v>
      </c>
      <c r="D447" s="1" t="s">
        <v>3648</v>
      </c>
      <c r="E447" s="1" t="s">
        <v>3650</v>
      </c>
    </row>
    <row r="448" spans="1:5" x14ac:dyDescent="0.3">
      <c r="A448" s="1" t="s">
        <v>2411</v>
      </c>
      <c r="B448" s="1" t="s">
        <v>133</v>
      </c>
      <c r="C448" s="2">
        <v>46175</v>
      </c>
      <c r="D448" s="1" t="s">
        <v>3648</v>
      </c>
      <c r="E448" s="1" t="s">
        <v>3651</v>
      </c>
    </row>
    <row r="449" spans="1:5" x14ac:dyDescent="0.3">
      <c r="A449" s="1" t="s">
        <v>2413</v>
      </c>
      <c r="B449" s="1" t="s">
        <v>111</v>
      </c>
      <c r="C449" s="2">
        <v>45830</v>
      </c>
      <c r="D449" s="1" t="s">
        <v>3655</v>
      </c>
      <c r="E449" s="1" t="s">
        <v>3647</v>
      </c>
    </row>
    <row r="450" spans="1:5" x14ac:dyDescent="0.3">
      <c r="A450" s="1" t="s">
        <v>2415</v>
      </c>
      <c r="B450" s="1" t="s">
        <v>277</v>
      </c>
      <c r="C450" s="2">
        <v>46007</v>
      </c>
      <c r="D450" s="1" t="s">
        <v>3646</v>
      </c>
      <c r="E450" s="1" t="s">
        <v>3653</v>
      </c>
    </row>
    <row r="451" spans="1:5" x14ac:dyDescent="0.3">
      <c r="A451" s="1" t="s">
        <v>2418</v>
      </c>
      <c r="B451" s="1" t="s">
        <v>449</v>
      </c>
      <c r="C451" s="2">
        <v>46279</v>
      </c>
      <c r="D451" s="1" t="s">
        <v>3648</v>
      </c>
      <c r="E451" s="1" t="s">
        <v>3649</v>
      </c>
    </row>
    <row r="452" spans="1:5" x14ac:dyDescent="0.3">
      <c r="A452" s="1" t="s">
        <v>2420</v>
      </c>
      <c r="B452" s="1" t="s">
        <v>33</v>
      </c>
      <c r="C452" s="2">
        <v>46199</v>
      </c>
      <c r="D452" s="1" t="s">
        <v>3648</v>
      </c>
      <c r="E452" s="1" t="s">
        <v>3647</v>
      </c>
    </row>
    <row r="453" spans="1:5" x14ac:dyDescent="0.3">
      <c r="A453" s="1" t="s">
        <v>2422</v>
      </c>
      <c r="B453" s="1" t="s">
        <v>711</v>
      </c>
      <c r="C453" s="2">
        <v>46017</v>
      </c>
      <c r="D453" s="1" t="s">
        <v>3648</v>
      </c>
      <c r="E453" s="1" t="s">
        <v>3650</v>
      </c>
    </row>
    <row r="454" spans="1:5" x14ac:dyDescent="0.3">
      <c r="A454" s="1" t="s">
        <v>2424</v>
      </c>
      <c r="B454" s="1" t="s">
        <v>909</v>
      </c>
      <c r="C454" s="2">
        <v>46128</v>
      </c>
      <c r="D454" s="1" t="s">
        <v>3652</v>
      </c>
      <c r="E454" s="1" t="s">
        <v>3651</v>
      </c>
    </row>
    <row r="455" spans="1:5" x14ac:dyDescent="0.3">
      <c r="A455" s="1" t="s">
        <v>2426</v>
      </c>
      <c r="B455" s="1" t="s">
        <v>28</v>
      </c>
      <c r="C455" s="2">
        <v>46164</v>
      </c>
      <c r="D455" s="1" t="s">
        <v>3648</v>
      </c>
      <c r="E455" s="1" t="s">
        <v>3647</v>
      </c>
    </row>
    <row r="456" spans="1:5" x14ac:dyDescent="0.3">
      <c r="A456" s="1" t="s">
        <v>2428</v>
      </c>
      <c r="B456" s="1" t="s">
        <v>42</v>
      </c>
      <c r="C456" s="2">
        <v>45898</v>
      </c>
      <c r="D456" s="1" t="s">
        <v>3648</v>
      </c>
      <c r="E456" s="1" t="s">
        <v>3645</v>
      </c>
    </row>
    <row r="457" spans="1:5" x14ac:dyDescent="0.3">
      <c r="A457" s="1" t="s">
        <v>2430</v>
      </c>
      <c r="B457" s="1" t="s">
        <v>1006</v>
      </c>
      <c r="C457" s="2">
        <v>46042</v>
      </c>
      <c r="D457" s="1" t="s">
        <v>3644</v>
      </c>
      <c r="E457" s="1" t="s">
        <v>3651</v>
      </c>
    </row>
    <row r="458" spans="1:5" x14ac:dyDescent="0.3">
      <c r="A458" s="1" t="s">
        <v>2433</v>
      </c>
      <c r="B458" s="1" t="s">
        <v>945</v>
      </c>
      <c r="C458" s="2">
        <v>46045</v>
      </c>
      <c r="D458" s="1" t="s">
        <v>3646</v>
      </c>
      <c r="E458" s="1" t="s">
        <v>3647</v>
      </c>
    </row>
    <row r="459" spans="1:5" x14ac:dyDescent="0.3">
      <c r="A459" s="1" t="s">
        <v>2436</v>
      </c>
      <c r="B459" s="1" t="s">
        <v>352</v>
      </c>
      <c r="C459" s="2">
        <v>45952</v>
      </c>
      <c r="D459" s="1" t="s">
        <v>3648</v>
      </c>
      <c r="E459" s="1" t="s">
        <v>3651</v>
      </c>
    </row>
    <row r="460" spans="1:5" x14ac:dyDescent="0.3">
      <c r="A460" s="1" t="s">
        <v>2438</v>
      </c>
      <c r="B460" s="1" t="s">
        <v>984</v>
      </c>
      <c r="C460" s="2">
        <v>46112</v>
      </c>
      <c r="D460" s="1" t="s">
        <v>3648</v>
      </c>
      <c r="E460" s="1" t="s">
        <v>3649</v>
      </c>
    </row>
    <row r="461" spans="1:5" x14ac:dyDescent="0.3">
      <c r="A461" s="1" t="s">
        <v>2441</v>
      </c>
      <c r="B461" s="1" t="s">
        <v>988</v>
      </c>
      <c r="C461" s="2">
        <v>45766</v>
      </c>
      <c r="D461" s="1" t="s">
        <v>3648</v>
      </c>
      <c r="E461" s="1" t="s">
        <v>3645</v>
      </c>
    </row>
    <row r="462" spans="1:5" x14ac:dyDescent="0.3">
      <c r="A462" s="1" t="s">
        <v>2443</v>
      </c>
      <c r="B462" s="1" t="s">
        <v>513</v>
      </c>
      <c r="C462" s="2">
        <v>46179</v>
      </c>
      <c r="D462" s="1" t="s">
        <v>3655</v>
      </c>
      <c r="E462" s="1" t="s">
        <v>3651</v>
      </c>
    </row>
    <row r="463" spans="1:5" x14ac:dyDescent="0.3">
      <c r="A463" s="1" t="s">
        <v>2445</v>
      </c>
      <c r="B463" s="1" t="s">
        <v>711</v>
      </c>
      <c r="C463" s="2">
        <v>45995</v>
      </c>
      <c r="D463" s="1" t="s">
        <v>3644</v>
      </c>
      <c r="E463" s="1" t="s">
        <v>3647</v>
      </c>
    </row>
    <row r="464" spans="1:5" x14ac:dyDescent="0.3">
      <c r="A464" s="1" t="s">
        <v>2447</v>
      </c>
      <c r="B464" s="1" t="s">
        <v>1059</v>
      </c>
      <c r="C464" s="2">
        <v>46079</v>
      </c>
      <c r="D464" s="1" t="s">
        <v>3648</v>
      </c>
      <c r="E464" s="1" t="s">
        <v>3649</v>
      </c>
    </row>
    <row r="465" spans="1:5" x14ac:dyDescent="0.3">
      <c r="A465" s="1" t="s">
        <v>2449</v>
      </c>
      <c r="B465" s="1" t="s">
        <v>574</v>
      </c>
      <c r="C465" s="2">
        <v>45980</v>
      </c>
      <c r="D465" s="1" t="s">
        <v>3652</v>
      </c>
      <c r="E465" s="1" t="s">
        <v>3651</v>
      </c>
    </row>
    <row r="466" spans="1:5" x14ac:dyDescent="0.3">
      <c r="A466" s="1" t="s">
        <v>2452</v>
      </c>
      <c r="B466" s="1" t="s">
        <v>81</v>
      </c>
      <c r="C466" s="2">
        <v>45917</v>
      </c>
      <c r="D466" s="1" t="s">
        <v>3648</v>
      </c>
      <c r="E466" s="1" t="s">
        <v>3647</v>
      </c>
    </row>
    <row r="467" spans="1:5" x14ac:dyDescent="0.3">
      <c r="A467" s="1" t="s">
        <v>2454</v>
      </c>
      <c r="B467" s="1" t="s">
        <v>717</v>
      </c>
      <c r="C467" s="2">
        <v>45931</v>
      </c>
      <c r="D467" s="1" t="s">
        <v>3652</v>
      </c>
      <c r="E467" s="1" t="s">
        <v>3651</v>
      </c>
    </row>
    <row r="468" spans="1:5" x14ac:dyDescent="0.3">
      <c r="A468" s="1" t="s">
        <v>2457</v>
      </c>
      <c r="B468" s="1" t="s">
        <v>33</v>
      </c>
      <c r="C468" s="2">
        <v>46041</v>
      </c>
      <c r="D468" s="1" t="s">
        <v>3655</v>
      </c>
      <c r="E468" s="1" t="s">
        <v>3653</v>
      </c>
    </row>
    <row r="469" spans="1:5" x14ac:dyDescent="0.3">
      <c r="A469" s="1" t="s">
        <v>2460</v>
      </c>
      <c r="B469" s="1" t="s">
        <v>176</v>
      </c>
      <c r="C469" s="2">
        <v>46244</v>
      </c>
      <c r="D469" s="1" t="s">
        <v>3648</v>
      </c>
      <c r="E469" s="1" t="s">
        <v>3647</v>
      </c>
    </row>
    <row r="470" spans="1:5" x14ac:dyDescent="0.3">
      <c r="A470" s="1" t="s">
        <v>2463</v>
      </c>
      <c r="B470" s="1" t="s">
        <v>631</v>
      </c>
      <c r="C470" s="2">
        <v>45875</v>
      </c>
      <c r="D470" s="1" t="s">
        <v>3652</v>
      </c>
      <c r="E470" s="1" t="s">
        <v>3651</v>
      </c>
    </row>
    <row r="471" spans="1:5" x14ac:dyDescent="0.3">
      <c r="A471" s="1" t="s">
        <v>2466</v>
      </c>
      <c r="B471" s="1" t="s">
        <v>991</v>
      </c>
      <c r="C471" s="2">
        <v>45744</v>
      </c>
      <c r="D471" s="1" t="s">
        <v>3646</v>
      </c>
      <c r="E471" s="1" t="s">
        <v>3649</v>
      </c>
    </row>
    <row r="472" spans="1:5" x14ac:dyDescent="0.3">
      <c r="A472" s="1" t="s">
        <v>2470</v>
      </c>
      <c r="B472" s="1" t="s">
        <v>412</v>
      </c>
      <c r="C472" s="2">
        <v>45800</v>
      </c>
      <c r="D472" s="1" t="s">
        <v>3646</v>
      </c>
      <c r="E472" s="1" t="s">
        <v>3650</v>
      </c>
    </row>
    <row r="473" spans="1:5" x14ac:dyDescent="0.3">
      <c r="A473" s="1" t="s">
        <v>2473</v>
      </c>
      <c r="B473" s="1" t="s">
        <v>895</v>
      </c>
      <c r="C473" s="2">
        <v>46209</v>
      </c>
      <c r="D473" s="1" t="s">
        <v>3648</v>
      </c>
      <c r="E473" s="1" t="s">
        <v>3651</v>
      </c>
    </row>
    <row r="474" spans="1:5" x14ac:dyDescent="0.3">
      <c r="A474" s="1" t="s">
        <v>2475</v>
      </c>
      <c r="B474" s="1" t="s">
        <v>539</v>
      </c>
      <c r="C474" s="2">
        <v>46261</v>
      </c>
      <c r="D474" s="1" t="s">
        <v>3646</v>
      </c>
      <c r="E474" s="1" t="s">
        <v>3650</v>
      </c>
    </row>
    <row r="475" spans="1:5" x14ac:dyDescent="0.3">
      <c r="A475" s="1" t="s">
        <v>2478</v>
      </c>
      <c r="B475" s="1" t="s">
        <v>81</v>
      </c>
      <c r="C475" s="2">
        <v>45843</v>
      </c>
      <c r="D475" s="1" t="s">
        <v>3648</v>
      </c>
      <c r="E475" s="1" t="s">
        <v>3645</v>
      </c>
    </row>
    <row r="476" spans="1:5" x14ac:dyDescent="0.3">
      <c r="A476" s="1" t="s">
        <v>2481</v>
      </c>
      <c r="B476" s="1" t="s">
        <v>50</v>
      </c>
      <c r="C476" s="2">
        <v>46049</v>
      </c>
      <c r="D476" s="1" t="s">
        <v>3644</v>
      </c>
      <c r="E476" s="1" t="s">
        <v>3650</v>
      </c>
    </row>
    <row r="477" spans="1:5" x14ac:dyDescent="0.3">
      <c r="A477" s="1" t="s">
        <v>2483</v>
      </c>
      <c r="B477" s="1" t="s">
        <v>287</v>
      </c>
      <c r="C477" s="2">
        <v>46089</v>
      </c>
      <c r="D477" s="1" t="s">
        <v>3655</v>
      </c>
      <c r="E477" s="1" t="s">
        <v>3647</v>
      </c>
    </row>
    <row r="478" spans="1:5" x14ac:dyDescent="0.3">
      <c r="A478" s="1" t="s">
        <v>2485</v>
      </c>
      <c r="B478" s="1" t="s">
        <v>166</v>
      </c>
      <c r="C478" s="2">
        <v>45829</v>
      </c>
      <c r="D478" s="1" t="s">
        <v>3648</v>
      </c>
      <c r="E478" s="1" t="s">
        <v>3650</v>
      </c>
    </row>
    <row r="479" spans="1:5" x14ac:dyDescent="0.3">
      <c r="A479" s="1" t="s">
        <v>2487</v>
      </c>
      <c r="B479" s="1" t="s">
        <v>467</v>
      </c>
      <c r="C479" s="2">
        <v>46161</v>
      </c>
      <c r="D479" s="1" t="s">
        <v>3652</v>
      </c>
      <c r="E479" s="1" t="s">
        <v>3647</v>
      </c>
    </row>
    <row r="480" spans="1:5" x14ac:dyDescent="0.3">
      <c r="A480" s="1" t="s">
        <v>2489</v>
      </c>
      <c r="B480" s="1" t="s">
        <v>1012</v>
      </c>
      <c r="C480" s="2">
        <v>45928</v>
      </c>
      <c r="D480" s="1" t="s">
        <v>3648</v>
      </c>
      <c r="E480" s="1" t="s">
        <v>3649</v>
      </c>
    </row>
    <row r="481" spans="1:5" x14ac:dyDescent="0.3">
      <c r="A481" s="1" t="s">
        <v>2492</v>
      </c>
      <c r="B481" s="1" t="s">
        <v>169</v>
      </c>
      <c r="C481" s="2">
        <v>46102</v>
      </c>
      <c r="D481" s="1" t="s">
        <v>3648</v>
      </c>
      <c r="E481" s="1" t="s">
        <v>3645</v>
      </c>
    </row>
    <row r="482" spans="1:5" x14ac:dyDescent="0.3">
      <c r="A482" s="1" t="s">
        <v>2496</v>
      </c>
      <c r="B482" s="1" t="s">
        <v>123</v>
      </c>
      <c r="C482" s="2">
        <v>46001</v>
      </c>
      <c r="D482" s="1" t="s">
        <v>3648</v>
      </c>
      <c r="E482" s="1" t="s">
        <v>3649</v>
      </c>
    </row>
    <row r="483" spans="1:5" x14ac:dyDescent="0.3">
      <c r="A483" s="1" t="s">
        <v>2499</v>
      </c>
      <c r="B483" s="1" t="s">
        <v>162</v>
      </c>
      <c r="C483" s="2">
        <v>46137</v>
      </c>
      <c r="D483" s="1" t="s">
        <v>3648</v>
      </c>
      <c r="E483" s="1" t="s">
        <v>3650</v>
      </c>
    </row>
    <row r="484" spans="1:5" x14ac:dyDescent="0.3">
      <c r="A484" s="1" t="s">
        <v>2501</v>
      </c>
      <c r="B484" s="1" t="s">
        <v>754</v>
      </c>
      <c r="C484" s="2">
        <v>46221</v>
      </c>
      <c r="D484" s="1" t="s">
        <v>3644</v>
      </c>
      <c r="E484" s="1" t="s">
        <v>3645</v>
      </c>
    </row>
    <row r="485" spans="1:5" x14ac:dyDescent="0.3">
      <c r="A485" s="1" t="s">
        <v>2504</v>
      </c>
      <c r="B485" s="1" t="s">
        <v>78</v>
      </c>
      <c r="C485" s="2">
        <v>45942</v>
      </c>
      <c r="D485" s="1" t="s">
        <v>3652</v>
      </c>
      <c r="E485" s="1" t="s">
        <v>3647</v>
      </c>
    </row>
    <row r="486" spans="1:5" x14ac:dyDescent="0.3">
      <c r="A486" s="1" t="s">
        <v>2508</v>
      </c>
      <c r="B486" s="1" t="s">
        <v>924</v>
      </c>
      <c r="C486" s="2">
        <v>45891</v>
      </c>
      <c r="D486" s="1" t="s">
        <v>3648</v>
      </c>
      <c r="E486" s="1" t="s">
        <v>3653</v>
      </c>
    </row>
    <row r="487" spans="1:5" x14ac:dyDescent="0.3">
      <c r="A487" s="1" t="s">
        <v>2512</v>
      </c>
      <c r="B487" s="1" t="s">
        <v>1038</v>
      </c>
      <c r="C487" s="2">
        <v>46080</v>
      </c>
      <c r="D487" s="1" t="s">
        <v>3644</v>
      </c>
      <c r="E487" s="1" t="s">
        <v>3647</v>
      </c>
    </row>
    <row r="488" spans="1:5" x14ac:dyDescent="0.3">
      <c r="A488" s="1" t="s">
        <v>2514</v>
      </c>
      <c r="B488" s="1" t="s">
        <v>367</v>
      </c>
      <c r="C488" s="2">
        <v>45813</v>
      </c>
      <c r="D488" s="1" t="s">
        <v>3652</v>
      </c>
      <c r="E488" s="1" t="s">
        <v>3647</v>
      </c>
    </row>
    <row r="489" spans="1:5" x14ac:dyDescent="0.3">
      <c r="A489" s="1" t="s">
        <v>2516</v>
      </c>
      <c r="B489" s="1" t="s">
        <v>180</v>
      </c>
      <c r="C489" s="2">
        <v>45825</v>
      </c>
      <c r="D489" s="1" t="s">
        <v>3655</v>
      </c>
      <c r="E489" s="1" t="s">
        <v>3645</v>
      </c>
    </row>
    <row r="490" spans="1:5" x14ac:dyDescent="0.3">
      <c r="A490" s="1" t="s">
        <v>2519</v>
      </c>
      <c r="B490" s="1" t="s">
        <v>477</v>
      </c>
      <c r="C490" s="2">
        <v>46176</v>
      </c>
      <c r="D490" s="1" t="s">
        <v>3655</v>
      </c>
      <c r="E490" s="1" t="s">
        <v>3651</v>
      </c>
    </row>
    <row r="491" spans="1:5" x14ac:dyDescent="0.3">
      <c r="A491" s="1" t="s">
        <v>2521</v>
      </c>
      <c r="B491" s="1" t="s">
        <v>517</v>
      </c>
      <c r="C491" s="2">
        <v>45918</v>
      </c>
      <c r="D491" s="1" t="s">
        <v>3648</v>
      </c>
      <c r="E491" s="1" t="s">
        <v>3649</v>
      </c>
    </row>
    <row r="492" spans="1:5" x14ac:dyDescent="0.3">
      <c r="A492" s="1" t="s">
        <v>2524</v>
      </c>
      <c r="B492" s="1" t="s">
        <v>739</v>
      </c>
      <c r="C492" s="2">
        <v>46079</v>
      </c>
      <c r="D492" s="1" t="s">
        <v>3648</v>
      </c>
      <c r="E492" s="1" t="s">
        <v>3651</v>
      </c>
    </row>
    <row r="493" spans="1:5" x14ac:dyDescent="0.3">
      <c r="A493" s="1" t="s">
        <v>2528</v>
      </c>
      <c r="B493" s="1" t="s">
        <v>191</v>
      </c>
      <c r="C493" s="2">
        <v>46047</v>
      </c>
      <c r="D493" s="1" t="s">
        <v>3648</v>
      </c>
      <c r="E493" s="1" t="s">
        <v>3645</v>
      </c>
    </row>
    <row r="494" spans="1:5" x14ac:dyDescent="0.3">
      <c r="A494" s="1" t="s">
        <v>2530</v>
      </c>
      <c r="B494" s="1" t="s">
        <v>840</v>
      </c>
      <c r="C494" s="2">
        <v>46199</v>
      </c>
      <c r="D494" s="1" t="s">
        <v>3648</v>
      </c>
      <c r="E494" s="1" t="s">
        <v>3645</v>
      </c>
    </row>
    <row r="495" spans="1:5" x14ac:dyDescent="0.3">
      <c r="A495" s="1" t="s">
        <v>2533</v>
      </c>
      <c r="B495" s="1" t="s">
        <v>212</v>
      </c>
      <c r="C495" s="2">
        <v>45773</v>
      </c>
      <c r="D495" s="1" t="s">
        <v>3648</v>
      </c>
      <c r="E495" s="1" t="s">
        <v>3649</v>
      </c>
    </row>
    <row r="496" spans="1:5" x14ac:dyDescent="0.3">
      <c r="A496" s="1" t="s">
        <v>2536</v>
      </c>
      <c r="B496" s="1" t="s">
        <v>814</v>
      </c>
      <c r="C496" s="2">
        <v>45822</v>
      </c>
      <c r="D496" s="1" t="s">
        <v>3648</v>
      </c>
      <c r="E496" s="1" t="s">
        <v>3650</v>
      </c>
    </row>
    <row r="497" spans="1:5" x14ac:dyDescent="0.3">
      <c r="A497" s="1" t="s">
        <v>2538</v>
      </c>
      <c r="B497" s="1" t="s">
        <v>963</v>
      </c>
      <c r="C497" s="2">
        <v>45859</v>
      </c>
      <c r="D497" s="1" t="s">
        <v>3648</v>
      </c>
      <c r="E497" s="1" t="s">
        <v>3651</v>
      </c>
    </row>
    <row r="498" spans="1:5" x14ac:dyDescent="0.3">
      <c r="A498" s="1" t="s">
        <v>2540</v>
      </c>
      <c r="B498" s="1" t="s">
        <v>187</v>
      </c>
      <c r="C498" s="2">
        <v>45907</v>
      </c>
      <c r="D498" s="1" t="s">
        <v>3648</v>
      </c>
      <c r="E498" s="1" t="s">
        <v>3651</v>
      </c>
    </row>
    <row r="499" spans="1:5" x14ac:dyDescent="0.3">
      <c r="A499" s="1" t="s">
        <v>2542</v>
      </c>
      <c r="B499" s="1" t="s">
        <v>621</v>
      </c>
      <c r="C499" s="2">
        <v>45893</v>
      </c>
      <c r="D499" s="1" t="s">
        <v>3646</v>
      </c>
      <c r="E499" s="1" t="s">
        <v>3651</v>
      </c>
    </row>
    <row r="500" spans="1:5" x14ac:dyDescent="0.3">
      <c r="A500" s="1" t="s">
        <v>2544</v>
      </c>
      <c r="B500" s="1" t="s">
        <v>560</v>
      </c>
      <c r="C500" s="2">
        <v>45880</v>
      </c>
      <c r="D500" s="1" t="s">
        <v>3648</v>
      </c>
      <c r="E500" s="1" t="s">
        <v>3651</v>
      </c>
    </row>
    <row r="501" spans="1:5" x14ac:dyDescent="0.3">
      <c r="A501" s="1" t="s">
        <v>2548</v>
      </c>
      <c r="B501" s="1" t="s">
        <v>1049</v>
      </c>
      <c r="C501" s="2">
        <v>46087</v>
      </c>
      <c r="D501" s="1" t="s">
        <v>3646</v>
      </c>
      <c r="E501" s="1" t="s">
        <v>3649</v>
      </c>
    </row>
    <row r="502" spans="1:5" x14ac:dyDescent="0.3">
      <c r="A502" s="1" t="s">
        <v>2550</v>
      </c>
      <c r="B502" s="1" t="s">
        <v>1070</v>
      </c>
      <c r="C502" s="2">
        <v>45882</v>
      </c>
      <c r="D502" s="1" t="s">
        <v>3648</v>
      </c>
      <c r="E502" s="1" t="s">
        <v>3647</v>
      </c>
    </row>
    <row r="503" spans="1:5" x14ac:dyDescent="0.3">
      <c r="A503" s="1" t="s">
        <v>2554</v>
      </c>
      <c r="B503" s="1" t="s">
        <v>334</v>
      </c>
      <c r="C503" s="2">
        <v>45977</v>
      </c>
      <c r="D503" s="1" t="s">
        <v>3648</v>
      </c>
      <c r="E503" s="1" t="s">
        <v>3645</v>
      </c>
    </row>
    <row r="504" spans="1:5" x14ac:dyDescent="0.3">
      <c r="A504" s="1" t="s">
        <v>2557</v>
      </c>
      <c r="B504" s="1" t="s">
        <v>517</v>
      </c>
      <c r="C504" s="2">
        <v>46206</v>
      </c>
      <c r="D504" s="1" t="s">
        <v>3648</v>
      </c>
      <c r="E504" s="1" t="s">
        <v>3653</v>
      </c>
    </row>
    <row r="505" spans="1:5" x14ac:dyDescent="0.3">
      <c r="A505" s="1" t="s">
        <v>2559</v>
      </c>
      <c r="B505" s="1" t="s">
        <v>140</v>
      </c>
      <c r="C505" s="2">
        <v>45933</v>
      </c>
      <c r="D505" s="1" t="s">
        <v>3648</v>
      </c>
      <c r="E505" s="1" t="s">
        <v>3645</v>
      </c>
    </row>
    <row r="506" spans="1:5" x14ac:dyDescent="0.3">
      <c r="A506" s="1" t="s">
        <v>2562</v>
      </c>
      <c r="B506" s="1" t="s">
        <v>797</v>
      </c>
      <c r="C506" s="2">
        <v>46055</v>
      </c>
      <c r="D506" s="1" t="s">
        <v>3648</v>
      </c>
      <c r="E506" s="1" t="s">
        <v>3651</v>
      </c>
    </row>
    <row r="507" spans="1:5" x14ac:dyDescent="0.3">
      <c r="A507" s="1" t="s">
        <v>2564</v>
      </c>
      <c r="B507" s="1" t="s">
        <v>685</v>
      </c>
      <c r="C507" s="2">
        <v>46263</v>
      </c>
      <c r="D507" s="1" t="s">
        <v>3648</v>
      </c>
      <c r="E507" s="1" t="s">
        <v>3649</v>
      </c>
    </row>
    <row r="508" spans="1:5" x14ac:dyDescent="0.3">
      <c r="A508" s="1" t="s">
        <v>2567</v>
      </c>
      <c r="B508" s="1" t="s">
        <v>930</v>
      </c>
      <c r="C508" s="2">
        <v>45960</v>
      </c>
      <c r="D508" s="1" t="s">
        <v>3652</v>
      </c>
      <c r="E508" s="1" t="s">
        <v>3649</v>
      </c>
    </row>
    <row r="509" spans="1:5" x14ac:dyDescent="0.3">
      <c r="A509" s="1" t="s">
        <v>2569</v>
      </c>
      <c r="B509" s="1" t="s">
        <v>864</v>
      </c>
      <c r="C509" s="2">
        <v>45834</v>
      </c>
      <c r="D509" s="1" t="s">
        <v>3648</v>
      </c>
      <c r="E509" s="1" t="s">
        <v>3645</v>
      </c>
    </row>
    <row r="510" spans="1:5" x14ac:dyDescent="0.3">
      <c r="A510" s="1" t="s">
        <v>2572</v>
      </c>
      <c r="B510" s="1" t="s">
        <v>28</v>
      </c>
      <c r="C510" s="2">
        <v>45746</v>
      </c>
      <c r="D510" s="1" t="s">
        <v>3644</v>
      </c>
      <c r="E510" s="1" t="s">
        <v>3645</v>
      </c>
    </row>
    <row r="511" spans="1:5" x14ac:dyDescent="0.3">
      <c r="A511" s="1" t="s">
        <v>2574</v>
      </c>
      <c r="B511" s="1" t="s">
        <v>721</v>
      </c>
      <c r="C511" s="2">
        <v>46132</v>
      </c>
      <c r="D511" s="1" t="s">
        <v>3646</v>
      </c>
      <c r="E511" s="1" t="s">
        <v>3645</v>
      </c>
    </row>
    <row r="512" spans="1:5" x14ac:dyDescent="0.3">
      <c r="A512" s="1" t="s">
        <v>2576</v>
      </c>
      <c r="B512" s="1" t="s">
        <v>832</v>
      </c>
      <c r="C512" s="2">
        <v>46096</v>
      </c>
      <c r="D512" s="1" t="s">
        <v>3648</v>
      </c>
      <c r="E512" s="1" t="s">
        <v>3650</v>
      </c>
    </row>
    <row r="513" spans="1:5" x14ac:dyDescent="0.3">
      <c r="A513" s="1" t="s">
        <v>2578</v>
      </c>
      <c r="B513" s="1" t="s">
        <v>273</v>
      </c>
      <c r="C513" s="2">
        <v>46249</v>
      </c>
      <c r="D513" s="1" t="s">
        <v>3648</v>
      </c>
      <c r="E513" s="1" t="s">
        <v>3650</v>
      </c>
    </row>
    <row r="514" spans="1:5" x14ac:dyDescent="0.3">
      <c r="A514" s="1" t="s">
        <v>2581</v>
      </c>
      <c r="B514" s="1" t="s">
        <v>391</v>
      </c>
      <c r="C514" s="2">
        <v>46117</v>
      </c>
      <c r="D514" s="1" t="s">
        <v>3648</v>
      </c>
      <c r="E514" s="1" t="s">
        <v>3649</v>
      </c>
    </row>
    <row r="515" spans="1:5" x14ac:dyDescent="0.3">
      <c r="A515" s="1" t="s">
        <v>2583</v>
      </c>
      <c r="B515" s="1" t="s">
        <v>754</v>
      </c>
      <c r="C515" s="2">
        <v>45777</v>
      </c>
      <c r="D515" s="1" t="s">
        <v>3644</v>
      </c>
      <c r="E515" s="1" t="s">
        <v>3645</v>
      </c>
    </row>
    <row r="516" spans="1:5" x14ac:dyDescent="0.3">
      <c r="A516" s="1" t="s">
        <v>2588</v>
      </c>
      <c r="B516" s="1" t="s">
        <v>924</v>
      </c>
      <c r="C516" s="2">
        <v>45825</v>
      </c>
      <c r="D516" s="1" t="s">
        <v>3644</v>
      </c>
      <c r="E516" s="1" t="s">
        <v>3649</v>
      </c>
    </row>
    <row r="517" spans="1:5" x14ac:dyDescent="0.3">
      <c r="A517" s="1" t="s">
        <v>2590</v>
      </c>
      <c r="B517" s="1" t="s">
        <v>621</v>
      </c>
      <c r="C517" s="2">
        <v>45790</v>
      </c>
      <c r="D517" s="1" t="s">
        <v>3648</v>
      </c>
      <c r="E517" s="1" t="s">
        <v>3647</v>
      </c>
    </row>
    <row r="518" spans="1:5" x14ac:dyDescent="0.3">
      <c r="A518" s="1" t="s">
        <v>2594</v>
      </c>
      <c r="B518" s="1" t="s">
        <v>692</v>
      </c>
      <c r="C518" s="2">
        <v>45768</v>
      </c>
      <c r="D518" s="1" t="s">
        <v>3648</v>
      </c>
      <c r="E518" s="1" t="s">
        <v>3650</v>
      </c>
    </row>
    <row r="519" spans="1:5" x14ac:dyDescent="0.3">
      <c r="A519" s="1" t="s">
        <v>2596</v>
      </c>
      <c r="B519" s="1" t="s">
        <v>391</v>
      </c>
      <c r="C519" s="2">
        <v>46215</v>
      </c>
      <c r="D519" s="1" t="s">
        <v>3652</v>
      </c>
      <c r="E519" s="1" t="s">
        <v>3650</v>
      </c>
    </row>
    <row r="520" spans="1:5" x14ac:dyDescent="0.3">
      <c r="A520" s="1" t="s">
        <v>2598</v>
      </c>
      <c r="B520" s="1" t="s">
        <v>355</v>
      </c>
      <c r="C520" s="2">
        <v>46034</v>
      </c>
      <c r="D520" s="1" t="s">
        <v>3652</v>
      </c>
      <c r="E520" s="1" t="s">
        <v>3650</v>
      </c>
    </row>
    <row r="521" spans="1:5" x14ac:dyDescent="0.3">
      <c r="A521" s="1" t="s">
        <v>2601</v>
      </c>
      <c r="B521" s="1" t="s">
        <v>70</v>
      </c>
      <c r="C521" s="2">
        <v>45748</v>
      </c>
      <c r="D521" s="1" t="s">
        <v>3644</v>
      </c>
      <c r="E521" s="1" t="s">
        <v>3647</v>
      </c>
    </row>
    <row r="522" spans="1:5" x14ac:dyDescent="0.3">
      <c r="A522" s="1" t="s">
        <v>2606</v>
      </c>
      <c r="B522" s="1" t="s">
        <v>410</v>
      </c>
      <c r="C522" s="2">
        <v>45951</v>
      </c>
      <c r="D522" s="1" t="s">
        <v>3648</v>
      </c>
      <c r="E522" s="1" t="s">
        <v>3653</v>
      </c>
    </row>
    <row r="523" spans="1:5" x14ac:dyDescent="0.3">
      <c r="A523" s="1" t="s">
        <v>2608</v>
      </c>
      <c r="B523" s="1" t="s">
        <v>560</v>
      </c>
      <c r="C523" s="2">
        <v>46153</v>
      </c>
      <c r="D523" s="1" t="s">
        <v>3646</v>
      </c>
      <c r="E523" s="1" t="s">
        <v>3651</v>
      </c>
    </row>
    <row r="524" spans="1:5" x14ac:dyDescent="0.3">
      <c r="A524" s="1" t="s">
        <v>2611</v>
      </c>
      <c r="B524" s="1" t="s">
        <v>775</v>
      </c>
      <c r="C524" s="2">
        <v>45779</v>
      </c>
      <c r="D524" s="1" t="s">
        <v>3652</v>
      </c>
      <c r="E524" s="1" t="s">
        <v>3649</v>
      </c>
    </row>
    <row r="525" spans="1:5" x14ac:dyDescent="0.3">
      <c r="A525" s="1" t="s">
        <v>2615</v>
      </c>
      <c r="B525" s="1" t="s">
        <v>582</v>
      </c>
      <c r="C525" s="2">
        <v>45877</v>
      </c>
      <c r="D525" s="1" t="s">
        <v>3648</v>
      </c>
      <c r="E525" s="1" t="s">
        <v>3649</v>
      </c>
    </row>
    <row r="526" spans="1:5" x14ac:dyDescent="0.3">
      <c r="A526" s="1" t="s">
        <v>2618</v>
      </c>
      <c r="B526" s="1" t="s">
        <v>799</v>
      </c>
      <c r="C526" s="2">
        <v>45819</v>
      </c>
      <c r="D526" s="1" t="s">
        <v>3655</v>
      </c>
      <c r="E526" s="1" t="s">
        <v>3651</v>
      </c>
    </row>
    <row r="527" spans="1:5" x14ac:dyDescent="0.3">
      <c r="A527" s="1" t="s">
        <v>2622</v>
      </c>
      <c r="B527" s="1" t="s">
        <v>846</v>
      </c>
      <c r="C527" s="2">
        <v>46092</v>
      </c>
      <c r="D527" s="1" t="s">
        <v>3644</v>
      </c>
      <c r="E527" s="1" t="s">
        <v>3647</v>
      </c>
    </row>
    <row r="528" spans="1:5" x14ac:dyDescent="0.3">
      <c r="A528" s="1" t="s">
        <v>2624</v>
      </c>
      <c r="B528" s="1" t="s">
        <v>1092</v>
      </c>
      <c r="C528" s="2">
        <v>46219</v>
      </c>
      <c r="D528" s="1" t="s">
        <v>3648</v>
      </c>
      <c r="E528" s="1" t="s">
        <v>3650</v>
      </c>
    </row>
    <row r="529" spans="1:5" x14ac:dyDescent="0.3">
      <c r="A529" s="1" t="s">
        <v>2627</v>
      </c>
      <c r="B529" s="1" t="s">
        <v>793</v>
      </c>
      <c r="C529" s="2">
        <v>45903</v>
      </c>
      <c r="D529" s="1" t="s">
        <v>3648</v>
      </c>
      <c r="E529" s="1" t="s">
        <v>3645</v>
      </c>
    </row>
    <row r="530" spans="1:5" x14ac:dyDescent="0.3">
      <c r="A530" s="1" t="s">
        <v>2630</v>
      </c>
      <c r="B530" s="1" t="s">
        <v>1006</v>
      </c>
      <c r="C530" s="2">
        <v>45869</v>
      </c>
      <c r="D530" s="1" t="s">
        <v>3652</v>
      </c>
      <c r="E530" s="1" t="s">
        <v>3651</v>
      </c>
    </row>
    <row r="531" spans="1:5" x14ac:dyDescent="0.3">
      <c r="A531" s="1" t="s">
        <v>2634</v>
      </c>
      <c r="B531" s="1" t="s">
        <v>223</v>
      </c>
      <c r="C531" s="2">
        <v>45889</v>
      </c>
      <c r="D531" s="1" t="s">
        <v>3655</v>
      </c>
      <c r="E531" s="1" t="s">
        <v>3645</v>
      </c>
    </row>
    <row r="532" spans="1:5" x14ac:dyDescent="0.3">
      <c r="A532" s="1" t="s">
        <v>2637</v>
      </c>
      <c r="B532" s="1" t="s">
        <v>330</v>
      </c>
      <c r="C532" s="2">
        <v>46077</v>
      </c>
      <c r="D532" s="1" t="s">
        <v>3652</v>
      </c>
      <c r="E532" s="1" t="s">
        <v>3651</v>
      </c>
    </row>
    <row r="533" spans="1:5" x14ac:dyDescent="0.3">
      <c r="A533" s="1" t="s">
        <v>2639</v>
      </c>
      <c r="B533" s="1" t="s">
        <v>1055</v>
      </c>
      <c r="C533" s="2">
        <v>45805</v>
      </c>
      <c r="D533" s="1" t="s">
        <v>3644</v>
      </c>
      <c r="E533" s="1" t="s">
        <v>3647</v>
      </c>
    </row>
    <row r="534" spans="1:5" x14ac:dyDescent="0.3">
      <c r="A534" s="1" t="s">
        <v>2643</v>
      </c>
      <c r="B534" s="1" t="s">
        <v>631</v>
      </c>
      <c r="C534" s="2">
        <v>46193</v>
      </c>
      <c r="D534" s="1" t="s">
        <v>3644</v>
      </c>
      <c r="E534" s="1" t="s">
        <v>3647</v>
      </c>
    </row>
    <row r="535" spans="1:5" x14ac:dyDescent="0.3">
      <c r="A535" s="1" t="s">
        <v>2645</v>
      </c>
      <c r="B535" s="1" t="s">
        <v>219</v>
      </c>
      <c r="C535" s="2">
        <v>45749</v>
      </c>
      <c r="D535" s="1" t="s">
        <v>3648</v>
      </c>
      <c r="E535" s="1" t="s">
        <v>3645</v>
      </c>
    </row>
    <row r="536" spans="1:5" x14ac:dyDescent="0.3">
      <c r="A536" s="1" t="s">
        <v>2649</v>
      </c>
      <c r="B536" s="1" t="s">
        <v>431</v>
      </c>
      <c r="C536" s="2">
        <v>46097</v>
      </c>
      <c r="D536" s="1" t="s">
        <v>3648</v>
      </c>
      <c r="E536" s="1" t="s">
        <v>3650</v>
      </c>
    </row>
    <row r="537" spans="1:5" x14ac:dyDescent="0.3">
      <c r="A537" s="1" t="s">
        <v>2651</v>
      </c>
      <c r="B537" s="1" t="s">
        <v>1045</v>
      </c>
      <c r="C537" s="2">
        <v>46205</v>
      </c>
      <c r="D537" s="1" t="s">
        <v>3652</v>
      </c>
      <c r="E537" s="1" t="s">
        <v>3650</v>
      </c>
    </row>
    <row r="538" spans="1:5" x14ac:dyDescent="0.3">
      <c r="A538" s="1" t="s">
        <v>2653</v>
      </c>
      <c r="B538" s="1" t="s">
        <v>431</v>
      </c>
      <c r="C538" s="2">
        <v>45912</v>
      </c>
      <c r="D538" s="1" t="s">
        <v>3648</v>
      </c>
      <c r="E538" s="1" t="s">
        <v>3647</v>
      </c>
    </row>
    <row r="539" spans="1:5" x14ac:dyDescent="0.3">
      <c r="A539" s="1" t="s">
        <v>2655</v>
      </c>
      <c r="B539" s="1" t="s">
        <v>873</v>
      </c>
      <c r="C539" s="2">
        <v>45994</v>
      </c>
      <c r="D539" s="1" t="s">
        <v>3655</v>
      </c>
      <c r="E539" s="1" t="s">
        <v>3650</v>
      </c>
    </row>
    <row r="540" spans="1:5" x14ac:dyDescent="0.3">
      <c r="A540" s="1" t="s">
        <v>2658</v>
      </c>
      <c r="B540" s="1" t="s">
        <v>941</v>
      </c>
      <c r="C540" s="2">
        <v>46268</v>
      </c>
      <c r="D540" s="1" t="s">
        <v>3648</v>
      </c>
      <c r="E540" s="1" t="s">
        <v>3653</v>
      </c>
    </row>
    <row r="541" spans="1:5" x14ac:dyDescent="0.3">
      <c r="A541" s="1" t="s">
        <v>2660</v>
      </c>
      <c r="B541" s="1" t="s">
        <v>65</v>
      </c>
      <c r="C541" s="2">
        <v>46030</v>
      </c>
      <c r="D541" s="1" t="s">
        <v>3648</v>
      </c>
      <c r="E541" s="1" t="s">
        <v>3645</v>
      </c>
    </row>
    <row r="542" spans="1:5" x14ac:dyDescent="0.3">
      <c r="A542" s="1" t="s">
        <v>2662</v>
      </c>
      <c r="B542" s="1" t="s">
        <v>785</v>
      </c>
      <c r="C542" s="2">
        <v>45883</v>
      </c>
      <c r="D542" s="1" t="s">
        <v>3644</v>
      </c>
      <c r="E542" s="1" t="s">
        <v>3651</v>
      </c>
    </row>
    <row r="543" spans="1:5" x14ac:dyDescent="0.3">
      <c r="A543" s="1" t="s">
        <v>2664</v>
      </c>
      <c r="B543" s="1" t="s">
        <v>238</v>
      </c>
      <c r="C543" s="2">
        <v>45977</v>
      </c>
      <c r="D543" s="1" t="s">
        <v>3646</v>
      </c>
      <c r="E543" s="1" t="s">
        <v>3649</v>
      </c>
    </row>
    <row r="544" spans="1:5" x14ac:dyDescent="0.3">
      <c r="A544" s="1" t="s">
        <v>2666</v>
      </c>
      <c r="B544" s="1" t="s">
        <v>664</v>
      </c>
      <c r="C544" s="2">
        <v>46265</v>
      </c>
      <c r="D544" s="1" t="s">
        <v>3648</v>
      </c>
      <c r="E544" s="1" t="s">
        <v>3647</v>
      </c>
    </row>
    <row r="545" spans="1:5" x14ac:dyDescent="0.3">
      <c r="A545" s="1" t="s">
        <v>2670</v>
      </c>
      <c r="B545" s="1" t="s">
        <v>402</v>
      </c>
      <c r="C545" s="2">
        <v>46116</v>
      </c>
      <c r="D545" s="1" t="s">
        <v>3648</v>
      </c>
      <c r="E545" s="1" t="s">
        <v>3645</v>
      </c>
    </row>
    <row r="546" spans="1:5" x14ac:dyDescent="0.3">
      <c r="A546" s="1" t="s">
        <v>2675</v>
      </c>
      <c r="B546" s="1" t="s">
        <v>895</v>
      </c>
      <c r="C546" s="2">
        <v>45831</v>
      </c>
      <c r="D546" s="1" t="s">
        <v>3648</v>
      </c>
      <c r="E546" s="1" t="s">
        <v>3647</v>
      </c>
    </row>
    <row r="547" spans="1:5" x14ac:dyDescent="0.3">
      <c r="A547" s="1" t="s">
        <v>2677</v>
      </c>
      <c r="B547" s="1" t="s">
        <v>610</v>
      </c>
      <c r="C547" s="2">
        <v>46061</v>
      </c>
      <c r="D547" s="1" t="s">
        <v>3648</v>
      </c>
      <c r="E547" s="1" t="s">
        <v>3651</v>
      </c>
    </row>
    <row r="548" spans="1:5" x14ac:dyDescent="0.3">
      <c r="A548" s="1" t="s">
        <v>2680</v>
      </c>
      <c r="B548" s="1" t="s">
        <v>234</v>
      </c>
      <c r="C548" s="2">
        <v>46079</v>
      </c>
      <c r="D548" s="1" t="s">
        <v>3648</v>
      </c>
      <c r="E548" s="1" t="s">
        <v>3645</v>
      </c>
    </row>
    <row r="549" spans="1:5" x14ac:dyDescent="0.3">
      <c r="A549" s="1" t="s">
        <v>2684</v>
      </c>
      <c r="B549" s="1" t="s">
        <v>223</v>
      </c>
      <c r="C549" s="2">
        <v>46082</v>
      </c>
      <c r="D549" s="1" t="s">
        <v>3652</v>
      </c>
      <c r="E549" s="1" t="s">
        <v>3649</v>
      </c>
    </row>
    <row r="550" spans="1:5" x14ac:dyDescent="0.3">
      <c r="A550" s="1" t="s">
        <v>2689</v>
      </c>
      <c r="B550" s="1" t="s">
        <v>470</v>
      </c>
      <c r="C550" s="2">
        <v>46043</v>
      </c>
      <c r="D550" s="1" t="s">
        <v>3648</v>
      </c>
      <c r="E550" s="1" t="s">
        <v>3650</v>
      </c>
    </row>
    <row r="551" spans="1:5" x14ac:dyDescent="0.3">
      <c r="A551" s="1" t="s">
        <v>2691</v>
      </c>
      <c r="B551" s="1" t="s">
        <v>316</v>
      </c>
      <c r="C551" s="2">
        <v>46020</v>
      </c>
      <c r="D551" s="1" t="s">
        <v>3648</v>
      </c>
      <c r="E551" s="1" t="s">
        <v>3647</v>
      </c>
    </row>
    <row r="552" spans="1:5" x14ac:dyDescent="0.3">
      <c r="A552" s="1" t="s">
        <v>2693</v>
      </c>
      <c r="B552" s="1" t="s">
        <v>871</v>
      </c>
      <c r="C552" s="2">
        <v>46084</v>
      </c>
      <c r="D552" s="1" t="s">
        <v>3648</v>
      </c>
      <c r="E552" s="1" t="s">
        <v>3647</v>
      </c>
    </row>
    <row r="553" spans="1:5" x14ac:dyDescent="0.3">
      <c r="A553" s="1" t="s">
        <v>2695</v>
      </c>
      <c r="B553" s="1" t="s">
        <v>363</v>
      </c>
      <c r="C553" s="2">
        <v>45903</v>
      </c>
      <c r="D553" s="1" t="s">
        <v>3648</v>
      </c>
      <c r="E553" s="1" t="s">
        <v>3647</v>
      </c>
    </row>
    <row r="554" spans="1:5" x14ac:dyDescent="0.3">
      <c r="A554" s="1" t="s">
        <v>2697</v>
      </c>
      <c r="B554" s="1" t="s">
        <v>750</v>
      </c>
      <c r="C554" s="2">
        <v>45924</v>
      </c>
      <c r="D554" s="1" t="s">
        <v>3648</v>
      </c>
      <c r="E554" s="1" t="s">
        <v>3650</v>
      </c>
    </row>
    <row r="555" spans="1:5" x14ac:dyDescent="0.3">
      <c r="A555" s="1" t="s">
        <v>2699</v>
      </c>
      <c r="B555" s="1" t="s">
        <v>388</v>
      </c>
      <c r="C555" s="2">
        <v>46029</v>
      </c>
      <c r="D555" s="1" t="s">
        <v>3648</v>
      </c>
      <c r="E555" s="1" t="s">
        <v>3647</v>
      </c>
    </row>
    <row r="556" spans="1:5" x14ac:dyDescent="0.3">
      <c r="A556" s="1" t="s">
        <v>2701</v>
      </c>
      <c r="B556" s="1" t="s">
        <v>739</v>
      </c>
      <c r="C556" s="2">
        <v>46174</v>
      </c>
      <c r="D556" s="1" t="s">
        <v>3648</v>
      </c>
      <c r="E556" s="1" t="s">
        <v>3649</v>
      </c>
    </row>
    <row r="557" spans="1:5" x14ac:dyDescent="0.3">
      <c r="A557" s="1" t="s">
        <v>2704</v>
      </c>
      <c r="B557" s="1" t="s">
        <v>402</v>
      </c>
      <c r="C557" s="2">
        <v>45976</v>
      </c>
      <c r="D557" s="1" t="s">
        <v>3648</v>
      </c>
      <c r="E557" s="1" t="s">
        <v>3651</v>
      </c>
    </row>
    <row r="558" spans="1:5" x14ac:dyDescent="0.3">
      <c r="A558" s="1" t="s">
        <v>2706</v>
      </c>
      <c r="B558" s="1" t="s">
        <v>1081</v>
      </c>
      <c r="C558" s="2">
        <v>45934</v>
      </c>
      <c r="D558" s="1" t="s">
        <v>3648</v>
      </c>
      <c r="E558" s="1" t="s">
        <v>3653</v>
      </c>
    </row>
    <row r="559" spans="1:5" x14ac:dyDescent="0.3">
      <c r="A559" s="1" t="s">
        <v>2708</v>
      </c>
      <c r="B559" s="1" t="s">
        <v>1006</v>
      </c>
      <c r="C559" s="2">
        <v>45876</v>
      </c>
      <c r="D559" s="1" t="s">
        <v>3648</v>
      </c>
      <c r="E559" s="1" t="s">
        <v>3645</v>
      </c>
    </row>
    <row r="560" spans="1:5" x14ac:dyDescent="0.3">
      <c r="A560" s="1" t="s">
        <v>2710</v>
      </c>
      <c r="B560" s="1" t="s">
        <v>384</v>
      </c>
      <c r="C560" s="2">
        <v>45900</v>
      </c>
      <c r="D560" s="1" t="s">
        <v>3648</v>
      </c>
      <c r="E560" s="1" t="s">
        <v>3645</v>
      </c>
    </row>
    <row r="561" spans="1:5" x14ac:dyDescent="0.3">
      <c r="A561" s="1" t="s">
        <v>2712</v>
      </c>
      <c r="B561" s="1" t="s">
        <v>920</v>
      </c>
      <c r="C561" s="2">
        <v>45734</v>
      </c>
      <c r="D561" s="1" t="s">
        <v>3648</v>
      </c>
      <c r="E561" s="1" t="s">
        <v>3645</v>
      </c>
    </row>
    <row r="562" spans="1:5" x14ac:dyDescent="0.3">
      <c r="A562" s="1" t="s">
        <v>2716</v>
      </c>
      <c r="B562" s="1" t="s">
        <v>735</v>
      </c>
      <c r="C562" s="2">
        <v>46180</v>
      </c>
      <c r="D562" s="1" t="s">
        <v>3652</v>
      </c>
      <c r="E562" s="1" t="s">
        <v>3650</v>
      </c>
    </row>
    <row r="563" spans="1:5" x14ac:dyDescent="0.3">
      <c r="A563" s="1" t="s">
        <v>2719</v>
      </c>
      <c r="B563" s="1" t="s">
        <v>234</v>
      </c>
      <c r="C563" s="2">
        <v>46198</v>
      </c>
      <c r="D563" s="1" t="s">
        <v>3648</v>
      </c>
      <c r="E563" s="1" t="s">
        <v>3647</v>
      </c>
    </row>
    <row r="564" spans="1:5" x14ac:dyDescent="0.3">
      <c r="A564" s="1" t="s">
        <v>2721</v>
      </c>
      <c r="B564" s="1" t="s">
        <v>341</v>
      </c>
      <c r="C564" s="2">
        <v>45922</v>
      </c>
      <c r="D564" s="1" t="s">
        <v>3646</v>
      </c>
      <c r="E564" s="1" t="s">
        <v>3645</v>
      </c>
    </row>
    <row r="565" spans="1:5" x14ac:dyDescent="0.3">
      <c r="A565" s="1" t="s">
        <v>2724</v>
      </c>
      <c r="B565" s="1" t="s">
        <v>180</v>
      </c>
      <c r="C565" s="2">
        <v>45991</v>
      </c>
      <c r="D565" s="1" t="s">
        <v>3652</v>
      </c>
      <c r="E565" s="1" t="s">
        <v>3645</v>
      </c>
    </row>
    <row r="566" spans="1:5" x14ac:dyDescent="0.3">
      <c r="A566" s="1" t="s">
        <v>2727</v>
      </c>
      <c r="B566" s="1" t="s">
        <v>240</v>
      </c>
      <c r="C566" s="2">
        <v>45738</v>
      </c>
      <c r="D566" s="1" t="s">
        <v>3648</v>
      </c>
      <c r="E566" s="1" t="s">
        <v>3651</v>
      </c>
    </row>
    <row r="567" spans="1:5" x14ac:dyDescent="0.3">
      <c r="A567" s="1" t="s">
        <v>2730</v>
      </c>
      <c r="B567" s="1" t="s">
        <v>359</v>
      </c>
      <c r="C567" s="2">
        <v>46239</v>
      </c>
      <c r="D567" s="1" t="s">
        <v>3648</v>
      </c>
      <c r="E567" s="1" t="s">
        <v>3649</v>
      </c>
    </row>
    <row r="568" spans="1:5" x14ac:dyDescent="0.3">
      <c r="A568" s="1" t="s">
        <v>2732</v>
      </c>
      <c r="B568" s="1" t="s">
        <v>959</v>
      </c>
      <c r="C568" s="2">
        <v>46252</v>
      </c>
      <c r="D568" s="1" t="s">
        <v>3648</v>
      </c>
      <c r="E568" s="1" t="s">
        <v>3650</v>
      </c>
    </row>
    <row r="569" spans="1:5" x14ac:dyDescent="0.3">
      <c r="A569" s="1" t="s">
        <v>2735</v>
      </c>
      <c r="B569" s="1" t="s">
        <v>277</v>
      </c>
      <c r="C569" s="2">
        <v>45995</v>
      </c>
      <c r="D569" s="1" t="s">
        <v>3652</v>
      </c>
      <c r="E569" s="1" t="s">
        <v>3647</v>
      </c>
    </row>
    <row r="570" spans="1:5" x14ac:dyDescent="0.3">
      <c r="A570" s="1" t="s">
        <v>2737</v>
      </c>
      <c r="B570" s="1" t="s">
        <v>367</v>
      </c>
      <c r="C570" s="2">
        <v>45739</v>
      </c>
      <c r="D570" s="1" t="s">
        <v>3648</v>
      </c>
      <c r="E570" s="1" t="s">
        <v>3650</v>
      </c>
    </row>
    <row r="571" spans="1:5" x14ac:dyDescent="0.3">
      <c r="A571" s="1" t="s">
        <v>2740</v>
      </c>
      <c r="B571" s="1" t="s">
        <v>341</v>
      </c>
      <c r="C571" s="2">
        <v>45969</v>
      </c>
      <c r="D571" s="1" t="s">
        <v>3652</v>
      </c>
      <c r="E571" s="1" t="s">
        <v>3647</v>
      </c>
    </row>
    <row r="572" spans="1:5" x14ac:dyDescent="0.3">
      <c r="A572" s="1" t="s">
        <v>2742</v>
      </c>
      <c r="B572" s="1" t="s">
        <v>553</v>
      </c>
      <c r="C572" s="2">
        <v>45894</v>
      </c>
      <c r="D572" s="1" t="s">
        <v>3648</v>
      </c>
      <c r="E572" s="1" t="s">
        <v>3645</v>
      </c>
    </row>
    <row r="573" spans="1:5" x14ac:dyDescent="0.3">
      <c r="A573" s="1" t="s">
        <v>2745</v>
      </c>
      <c r="B573" s="1" t="s">
        <v>850</v>
      </c>
      <c r="C573" s="2">
        <v>45860</v>
      </c>
      <c r="D573" s="1" t="s">
        <v>3652</v>
      </c>
      <c r="E573" s="1" t="s">
        <v>3645</v>
      </c>
    </row>
    <row r="574" spans="1:5" x14ac:dyDescent="0.3">
      <c r="A574" s="1" t="s">
        <v>2747</v>
      </c>
      <c r="B574" s="1" t="s">
        <v>33</v>
      </c>
      <c r="C574" s="2">
        <v>45737</v>
      </c>
      <c r="D574" s="1" t="s">
        <v>3648</v>
      </c>
      <c r="E574" s="1" t="s">
        <v>3649</v>
      </c>
    </row>
    <row r="575" spans="1:5" x14ac:dyDescent="0.3">
      <c r="A575" s="1" t="s">
        <v>2749</v>
      </c>
      <c r="B575" s="1" t="s">
        <v>728</v>
      </c>
      <c r="C575" s="2">
        <v>45938</v>
      </c>
      <c r="D575" s="1" t="s">
        <v>3644</v>
      </c>
      <c r="E575" s="1" t="s">
        <v>3650</v>
      </c>
    </row>
    <row r="576" spans="1:5" x14ac:dyDescent="0.3">
      <c r="A576" s="1" t="s">
        <v>2751</v>
      </c>
      <c r="B576" s="1" t="s">
        <v>930</v>
      </c>
      <c r="C576" s="2">
        <v>45959</v>
      </c>
      <c r="D576" s="1" t="s">
        <v>3648</v>
      </c>
      <c r="E576" s="1" t="s">
        <v>3653</v>
      </c>
    </row>
    <row r="577" spans="1:5" x14ac:dyDescent="0.3">
      <c r="A577" s="1" t="s">
        <v>2753</v>
      </c>
      <c r="B577" s="1" t="s">
        <v>924</v>
      </c>
      <c r="C577" s="2">
        <v>46041</v>
      </c>
      <c r="D577" s="1" t="s">
        <v>3648</v>
      </c>
      <c r="E577" s="1" t="s">
        <v>3647</v>
      </c>
    </row>
    <row r="578" spans="1:5" x14ac:dyDescent="0.3">
      <c r="A578" s="1" t="s">
        <v>2756</v>
      </c>
      <c r="B578" s="1" t="s">
        <v>920</v>
      </c>
      <c r="C578" s="2">
        <v>45950</v>
      </c>
      <c r="D578" s="1" t="s">
        <v>3648</v>
      </c>
      <c r="E578" s="1" t="s">
        <v>3650</v>
      </c>
    </row>
    <row r="579" spans="1:5" x14ac:dyDescent="0.3">
      <c r="A579" s="1" t="s">
        <v>2760</v>
      </c>
      <c r="B579" s="1" t="s">
        <v>78</v>
      </c>
      <c r="C579" s="2">
        <v>45823</v>
      </c>
      <c r="D579" s="1" t="s">
        <v>3655</v>
      </c>
      <c r="E579" s="1" t="s">
        <v>3649</v>
      </c>
    </row>
    <row r="580" spans="1:5" x14ac:dyDescent="0.3">
      <c r="A580" s="1" t="s">
        <v>2762</v>
      </c>
      <c r="B580" s="1" t="s">
        <v>560</v>
      </c>
      <c r="C580" s="2">
        <v>46137</v>
      </c>
      <c r="D580" s="1" t="s">
        <v>3648</v>
      </c>
      <c r="E580" s="1" t="s">
        <v>3649</v>
      </c>
    </row>
    <row r="581" spans="1:5" x14ac:dyDescent="0.3">
      <c r="A581" s="1" t="s">
        <v>2764</v>
      </c>
      <c r="B581" s="1" t="s">
        <v>1010</v>
      </c>
      <c r="C581" s="2">
        <v>45947</v>
      </c>
      <c r="D581" s="1" t="s">
        <v>3648</v>
      </c>
      <c r="E581" s="1" t="s">
        <v>3647</v>
      </c>
    </row>
    <row r="582" spans="1:5" x14ac:dyDescent="0.3">
      <c r="A582" s="1" t="s">
        <v>2768</v>
      </c>
      <c r="B582" s="1" t="s">
        <v>1059</v>
      </c>
      <c r="C582" s="2">
        <v>45941</v>
      </c>
      <c r="D582" s="1" t="s">
        <v>3655</v>
      </c>
      <c r="E582" s="1" t="s">
        <v>3647</v>
      </c>
    </row>
    <row r="583" spans="1:5" x14ac:dyDescent="0.3">
      <c r="A583" s="1" t="s">
        <v>2771</v>
      </c>
      <c r="B583" s="1" t="s">
        <v>1031</v>
      </c>
      <c r="C583" s="2">
        <v>45878</v>
      </c>
      <c r="D583" s="1" t="s">
        <v>3648</v>
      </c>
      <c r="E583" s="1" t="s">
        <v>3650</v>
      </c>
    </row>
    <row r="584" spans="1:5" x14ac:dyDescent="0.3">
      <c r="A584" s="1" t="s">
        <v>2773</v>
      </c>
      <c r="B584" s="1" t="s">
        <v>234</v>
      </c>
      <c r="C584" s="2">
        <v>45965</v>
      </c>
      <c r="D584" s="1" t="s">
        <v>3648</v>
      </c>
      <c r="E584" s="1" t="s">
        <v>3650</v>
      </c>
    </row>
    <row r="585" spans="1:5" x14ac:dyDescent="0.3">
      <c r="A585" s="1" t="s">
        <v>2775</v>
      </c>
      <c r="B585" s="1" t="s">
        <v>696</v>
      </c>
      <c r="C585" s="2">
        <v>45865</v>
      </c>
      <c r="D585" s="1" t="s">
        <v>3648</v>
      </c>
      <c r="E585" s="1" t="s">
        <v>3651</v>
      </c>
    </row>
    <row r="586" spans="1:5" x14ac:dyDescent="0.3">
      <c r="A586" s="1" t="s">
        <v>2777</v>
      </c>
      <c r="B586" s="1" t="s">
        <v>832</v>
      </c>
      <c r="C586" s="2">
        <v>46152</v>
      </c>
      <c r="D586" s="1" t="s">
        <v>3648</v>
      </c>
      <c r="E586" s="1" t="s">
        <v>3647</v>
      </c>
    </row>
    <row r="587" spans="1:5" x14ac:dyDescent="0.3">
      <c r="A587" s="1" t="s">
        <v>2779</v>
      </c>
      <c r="B587" s="1" t="s">
        <v>212</v>
      </c>
      <c r="C587" s="2">
        <v>46232</v>
      </c>
      <c r="D587" s="1" t="s">
        <v>3655</v>
      </c>
      <c r="E587" s="1" t="s">
        <v>3649</v>
      </c>
    </row>
    <row r="588" spans="1:5" x14ac:dyDescent="0.3">
      <c r="A588" s="1" t="s">
        <v>2784</v>
      </c>
      <c r="B588" s="1" t="s">
        <v>570</v>
      </c>
      <c r="C588" s="2">
        <v>46176</v>
      </c>
      <c r="D588" s="1" t="s">
        <v>3646</v>
      </c>
      <c r="E588" s="1" t="s">
        <v>3651</v>
      </c>
    </row>
    <row r="589" spans="1:5" x14ac:dyDescent="0.3">
      <c r="A589" s="1" t="s">
        <v>2789</v>
      </c>
      <c r="B589" s="1" t="s">
        <v>850</v>
      </c>
      <c r="C589" s="2">
        <v>46109</v>
      </c>
      <c r="D589" s="1" t="s">
        <v>3648</v>
      </c>
      <c r="E589" s="1" t="s">
        <v>3651</v>
      </c>
    </row>
    <row r="590" spans="1:5" x14ac:dyDescent="0.3">
      <c r="A590" s="1" t="s">
        <v>2792</v>
      </c>
      <c r="B590" s="1" t="s">
        <v>828</v>
      </c>
      <c r="C590" s="2">
        <v>45890</v>
      </c>
      <c r="D590" s="1" t="s">
        <v>3646</v>
      </c>
      <c r="E590" s="1" t="s">
        <v>3651</v>
      </c>
    </row>
    <row r="591" spans="1:5" x14ac:dyDescent="0.3">
      <c r="A591" s="1" t="s">
        <v>2794</v>
      </c>
      <c r="B591" s="1" t="s">
        <v>459</v>
      </c>
      <c r="C591" s="2">
        <v>46141</v>
      </c>
      <c r="D591" s="1" t="s">
        <v>3648</v>
      </c>
      <c r="E591" s="1" t="s">
        <v>3650</v>
      </c>
    </row>
    <row r="592" spans="1:5" x14ac:dyDescent="0.3">
      <c r="A592" s="1" t="s">
        <v>2796</v>
      </c>
      <c r="B592" s="1" t="s">
        <v>668</v>
      </c>
      <c r="C592" s="2">
        <v>46177</v>
      </c>
      <c r="D592" s="1" t="s">
        <v>3646</v>
      </c>
      <c r="E592" s="1" t="s">
        <v>3650</v>
      </c>
    </row>
    <row r="593" spans="1:5" x14ac:dyDescent="0.3">
      <c r="A593" s="1" t="s">
        <v>2800</v>
      </c>
      <c r="B593" s="1" t="s">
        <v>811</v>
      </c>
      <c r="C593" s="2">
        <v>45960</v>
      </c>
      <c r="D593" s="1" t="s">
        <v>3648</v>
      </c>
      <c r="E593" s="1" t="s">
        <v>3649</v>
      </c>
    </row>
    <row r="594" spans="1:5" x14ac:dyDescent="0.3">
      <c r="A594" s="1" t="s">
        <v>2802</v>
      </c>
      <c r="B594" s="1" t="s">
        <v>402</v>
      </c>
      <c r="C594" s="2">
        <v>46201</v>
      </c>
      <c r="D594" s="1" t="s">
        <v>3646</v>
      </c>
      <c r="E594" s="1" t="s">
        <v>3653</v>
      </c>
    </row>
    <row r="595" spans="1:5" x14ac:dyDescent="0.3">
      <c r="A595" s="1" t="s">
        <v>2805</v>
      </c>
      <c r="B595" s="1" t="s">
        <v>133</v>
      </c>
      <c r="C595" s="2">
        <v>45833</v>
      </c>
      <c r="D595" s="1" t="s">
        <v>3652</v>
      </c>
      <c r="E595" s="1" t="s">
        <v>3650</v>
      </c>
    </row>
    <row r="596" spans="1:5" x14ac:dyDescent="0.3">
      <c r="A596" s="1" t="s">
        <v>2807</v>
      </c>
      <c r="B596" s="1" t="s">
        <v>539</v>
      </c>
      <c r="C596" s="2">
        <v>45892</v>
      </c>
      <c r="D596" s="1" t="s">
        <v>3652</v>
      </c>
      <c r="E596" s="1" t="s">
        <v>3649</v>
      </c>
    </row>
    <row r="597" spans="1:5" x14ac:dyDescent="0.3">
      <c r="A597" s="1" t="s">
        <v>2811</v>
      </c>
      <c r="B597" s="1" t="s">
        <v>617</v>
      </c>
      <c r="C597" s="2">
        <v>46083</v>
      </c>
      <c r="D597" s="1" t="s">
        <v>3644</v>
      </c>
      <c r="E597" s="1" t="s">
        <v>3645</v>
      </c>
    </row>
    <row r="598" spans="1:5" x14ac:dyDescent="0.3">
      <c r="A598" s="1" t="s">
        <v>2814</v>
      </c>
      <c r="B598" s="1" t="s">
        <v>556</v>
      </c>
      <c r="C598" s="2">
        <v>46072</v>
      </c>
      <c r="D598" s="1" t="s">
        <v>3652</v>
      </c>
      <c r="E598" s="1" t="s">
        <v>3650</v>
      </c>
    </row>
    <row r="599" spans="1:5" x14ac:dyDescent="0.3">
      <c r="A599" s="1" t="s">
        <v>2816</v>
      </c>
      <c r="B599" s="1" t="s">
        <v>197</v>
      </c>
      <c r="C599" s="2">
        <v>45883</v>
      </c>
      <c r="D599" s="1" t="s">
        <v>3648</v>
      </c>
      <c r="E599" s="1" t="s">
        <v>3647</v>
      </c>
    </row>
    <row r="600" spans="1:5" x14ac:dyDescent="0.3">
      <c r="A600" s="1" t="s">
        <v>2819</v>
      </c>
      <c r="B600" s="1" t="s">
        <v>133</v>
      </c>
      <c r="C600" s="2">
        <v>46075</v>
      </c>
      <c r="D600" s="1" t="s">
        <v>3644</v>
      </c>
      <c r="E600" s="1" t="s">
        <v>3649</v>
      </c>
    </row>
    <row r="601" spans="1:5" x14ac:dyDescent="0.3">
      <c r="A601" s="1" t="s">
        <v>2821</v>
      </c>
      <c r="B601" s="1" t="s">
        <v>266</v>
      </c>
      <c r="C601" s="2">
        <v>45836</v>
      </c>
      <c r="D601" s="1" t="s">
        <v>3648</v>
      </c>
      <c r="E601" s="1" t="s">
        <v>3645</v>
      </c>
    </row>
    <row r="602" spans="1:5" x14ac:dyDescent="0.3">
      <c r="A602" s="1" t="s">
        <v>2824</v>
      </c>
      <c r="B602" s="1" t="s">
        <v>477</v>
      </c>
      <c r="C602" s="2">
        <v>45744</v>
      </c>
      <c r="D602" s="1" t="s">
        <v>3655</v>
      </c>
      <c r="E602" s="1" t="s">
        <v>3647</v>
      </c>
    </row>
    <row r="603" spans="1:5" x14ac:dyDescent="0.3">
      <c r="A603" s="1" t="s">
        <v>2826</v>
      </c>
      <c r="B603" s="1" t="s">
        <v>920</v>
      </c>
      <c r="C603" s="2">
        <v>45761</v>
      </c>
      <c r="D603" s="1" t="s">
        <v>3648</v>
      </c>
      <c r="E603" s="1" t="s">
        <v>3645</v>
      </c>
    </row>
    <row r="604" spans="1:5" x14ac:dyDescent="0.3">
      <c r="A604" s="1" t="s">
        <v>2829</v>
      </c>
      <c r="B604" s="1" t="s">
        <v>785</v>
      </c>
      <c r="C604" s="2">
        <v>46027</v>
      </c>
      <c r="D604" s="1" t="s">
        <v>3648</v>
      </c>
      <c r="E604" s="1" t="s">
        <v>3651</v>
      </c>
    </row>
    <row r="605" spans="1:5" x14ac:dyDescent="0.3">
      <c r="A605" s="1" t="s">
        <v>2831</v>
      </c>
      <c r="B605" s="1" t="s">
        <v>195</v>
      </c>
      <c r="C605" s="2">
        <v>45835</v>
      </c>
      <c r="D605" s="1" t="s">
        <v>3648</v>
      </c>
      <c r="E605" s="1" t="s">
        <v>3645</v>
      </c>
    </row>
    <row r="606" spans="1:5" x14ac:dyDescent="0.3">
      <c r="A606" s="1" t="s">
        <v>2833</v>
      </c>
      <c r="B606" s="1" t="s">
        <v>699</v>
      </c>
      <c r="C606" s="2">
        <v>45790</v>
      </c>
      <c r="D606" s="1" t="s">
        <v>3648</v>
      </c>
      <c r="E606" s="1" t="s">
        <v>3647</v>
      </c>
    </row>
    <row r="607" spans="1:5" x14ac:dyDescent="0.3">
      <c r="A607" s="1" t="s">
        <v>2836</v>
      </c>
      <c r="B607" s="1" t="s">
        <v>625</v>
      </c>
      <c r="C607" s="2">
        <v>45881</v>
      </c>
      <c r="D607" s="1" t="s">
        <v>3652</v>
      </c>
      <c r="E607" s="1" t="s">
        <v>3651</v>
      </c>
    </row>
    <row r="608" spans="1:5" x14ac:dyDescent="0.3">
      <c r="A608" s="1" t="s">
        <v>2839</v>
      </c>
      <c r="B608" s="1" t="s">
        <v>864</v>
      </c>
      <c r="C608" s="2">
        <v>46125</v>
      </c>
      <c r="D608" s="1" t="s">
        <v>3652</v>
      </c>
      <c r="E608" s="1" t="s">
        <v>3645</v>
      </c>
    </row>
    <row r="609" spans="1:5" x14ac:dyDescent="0.3">
      <c r="A609" s="1" t="s">
        <v>2842</v>
      </c>
      <c r="B609" s="1" t="s">
        <v>140</v>
      </c>
      <c r="C609" s="2">
        <v>46132</v>
      </c>
      <c r="D609" s="1" t="s">
        <v>3655</v>
      </c>
      <c r="E609" s="1" t="s">
        <v>3647</v>
      </c>
    </row>
    <row r="610" spans="1:5" x14ac:dyDescent="0.3">
      <c r="A610" s="1" t="s">
        <v>2845</v>
      </c>
      <c r="B610" s="1" t="s">
        <v>424</v>
      </c>
      <c r="C610" s="2">
        <v>45861</v>
      </c>
      <c r="D610" s="1" t="s">
        <v>3644</v>
      </c>
      <c r="E610" s="1" t="s">
        <v>3649</v>
      </c>
    </row>
    <row r="611" spans="1:5" x14ac:dyDescent="0.3">
      <c r="A611" s="1" t="s">
        <v>2848</v>
      </c>
      <c r="B611" s="1" t="s">
        <v>930</v>
      </c>
      <c r="C611" s="2">
        <v>45816</v>
      </c>
      <c r="D611" s="1" t="s">
        <v>3648</v>
      </c>
      <c r="E611" s="1" t="s">
        <v>3645</v>
      </c>
    </row>
    <row r="612" spans="1:5" x14ac:dyDescent="0.3">
      <c r="A612" s="1" t="s">
        <v>2850</v>
      </c>
      <c r="B612" s="1" t="s">
        <v>642</v>
      </c>
      <c r="C612" s="2">
        <v>46004</v>
      </c>
      <c r="D612" s="1" t="s">
        <v>3648</v>
      </c>
      <c r="E612" s="1" t="s">
        <v>3653</v>
      </c>
    </row>
    <row r="613" spans="1:5" x14ac:dyDescent="0.3">
      <c r="A613" s="1" t="s">
        <v>2852</v>
      </c>
      <c r="B613" s="1" t="s">
        <v>262</v>
      </c>
      <c r="C613" s="2">
        <v>45921</v>
      </c>
      <c r="D613" s="1" t="s">
        <v>3652</v>
      </c>
      <c r="E613" s="1" t="s">
        <v>3647</v>
      </c>
    </row>
    <row r="614" spans="1:5" x14ac:dyDescent="0.3">
      <c r="A614" s="1" t="s">
        <v>2854</v>
      </c>
      <c r="B614" s="1" t="s">
        <v>653</v>
      </c>
      <c r="C614" s="2">
        <v>45904</v>
      </c>
      <c r="D614" s="1" t="s">
        <v>3646</v>
      </c>
      <c r="E614" s="1" t="s">
        <v>3651</v>
      </c>
    </row>
    <row r="615" spans="1:5" x14ac:dyDescent="0.3">
      <c r="A615" s="1" t="s">
        <v>2857</v>
      </c>
      <c r="B615" s="1" t="s">
        <v>109</v>
      </c>
      <c r="C615" s="2">
        <v>46172</v>
      </c>
      <c r="D615" s="1" t="s">
        <v>3648</v>
      </c>
      <c r="E615" s="1" t="s">
        <v>3647</v>
      </c>
    </row>
    <row r="616" spans="1:5" x14ac:dyDescent="0.3">
      <c r="A616" s="1" t="s">
        <v>2860</v>
      </c>
      <c r="B616" s="1" t="s">
        <v>50</v>
      </c>
      <c r="C616" s="2">
        <v>46280</v>
      </c>
      <c r="D616" s="1" t="s">
        <v>3648</v>
      </c>
      <c r="E616" s="1" t="s">
        <v>3649</v>
      </c>
    </row>
    <row r="617" spans="1:5" x14ac:dyDescent="0.3">
      <c r="A617" s="1" t="s">
        <v>2862</v>
      </c>
      <c r="B617" s="1" t="s">
        <v>832</v>
      </c>
      <c r="C617" s="2">
        <v>45988</v>
      </c>
      <c r="D617" s="1" t="s">
        <v>3648</v>
      </c>
      <c r="E617" s="1" t="s">
        <v>3647</v>
      </c>
    </row>
    <row r="618" spans="1:5" x14ac:dyDescent="0.3">
      <c r="A618" s="1" t="s">
        <v>2865</v>
      </c>
      <c r="B618" s="1" t="s">
        <v>395</v>
      </c>
      <c r="C618" s="2">
        <v>46167</v>
      </c>
      <c r="D618" s="1" t="s">
        <v>3644</v>
      </c>
      <c r="E618" s="1" t="s">
        <v>3649</v>
      </c>
    </row>
    <row r="619" spans="1:5" x14ac:dyDescent="0.3">
      <c r="A619" s="1" t="s">
        <v>2870</v>
      </c>
      <c r="B619" s="1" t="s">
        <v>578</v>
      </c>
      <c r="C619" s="2">
        <v>45914</v>
      </c>
      <c r="D619" s="1" t="s">
        <v>3648</v>
      </c>
      <c r="E619" s="1" t="s">
        <v>3645</v>
      </c>
    </row>
    <row r="620" spans="1:5" x14ac:dyDescent="0.3">
      <c r="A620" s="1" t="s">
        <v>2873</v>
      </c>
      <c r="B620" s="1" t="s">
        <v>195</v>
      </c>
      <c r="C620" s="2">
        <v>46196</v>
      </c>
      <c r="D620" s="1" t="s">
        <v>3652</v>
      </c>
      <c r="E620" s="1" t="s">
        <v>3645</v>
      </c>
    </row>
    <row r="621" spans="1:5" x14ac:dyDescent="0.3">
      <c r="A621" s="1" t="s">
        <v>2876</v>
      </c>
      <c r="B621" s="1" t="s">
        <v>176</v>
      </c>
      <c r="C621" s="2">
        <v>46255</v>
      </c>
      <c r="D621" s="1" t="s">
        <v>3648</v>
      </c>
      <c r="E621" s="1" t="s">
        <v>3649</v>
      </c>
    </row>
    <row r="622" spans="1:5" x14ac:dyDescent="0.3">
      <c r="A622" s="1" t="s">
        <v>2879</v>
      </c>
      <c r="B622" s="1" t="s">
        <v>119</v>
      </c>
      <c r="C622" s="2">
        <v>45764</v>
      </c>
      <c r="D622" s="1" t="s">
        <v>3648</v>
      </c>
      <c r="E622" s="1" t="s">
        <v>3645</v>
      </c>
    </row>
    <row r="623" spans="1:5" x14ac:dyDescent="0.3">
      <c r="A623" s="1" t="s">
        <v>2881</v>
      </c>
      <c r="B623" s="1" t="s">
        <v>453</v>
      </c>
      <c r="C623" s="2">
        <v>46159</v>
      </c>
      <c r="D623" s="1" t="s">
        <v>3648</v>
      </c>
      <c r="E623" s="1" t="s">
        <v>3651</v>
      </c>
    </row>
    <row r="624" spans="1:5" x14ac:dyDescent="0.3">
      <c r="A624" s="1" t="s">
        <v>2884</v>
      </c>
      <c r="B624" s="1" t="s">
        <v>197</v>
      </c>
      <c r="C624" s="2">
        <v>45773</v>
      </c>
      <c r="D624" s="1" t="s">
        <v>3648</v>
      </c>
      <c r="E624" s="1" t="s">
        <v>3647</v>
      </c>
    </row>
    <row r="625" spans="1:5" x14ac:dyDescent="0.3">
      <c r="A625" s="1" t="s">
        <v>2886</v>
      </c>
      <c r="B625" s="1" t="s">
        <v>166</v>
      </c>
      <c r="C625" s="2">
        <v>45991</v>
      </c>
      <c r="D625" s="1" t="s">
        <v>3648</v>
      </c>
      <c r="E625" s="1" t="s">
        <v>3649</v>
      </c>
    </row>
    <row r="626" spans="1:5" x14ac:dyDescent="0.3">
      <c r="A626" s="1" t="s">
        <v>2889</v>
      </c>
      <c r="B626" s="1" t="s">
        <v>973</v>
      </c>
      <c r="C626" s="2">
        <v>45839</v>
      </c>
      <c r="D626" s="1" t="s">
        <v>3652</v>
      </c>
      <c r="E626" s="1" t="s">
        <v>3651</v>
      </c>
    </row>
    <row r="627" spans="1:5" x14ac:dyDescent="0.3">
      <c r="A627" s="1" t="s">
        <v>2894</v>
      </c>
      <c r="B627" s="1" t="s">
        <v>33</v>
      </c>
      <c r="C627" s="2">
        <v>46195</v>
      </c>
      <c r="D627" s="1" t="s">
        <v>3652</v>
      </c>
      <c r="E627" s="1" t="s">
        <v>3651</v>
      </c>
    </row>
    <row r="628" spans="1:5" x14ac:dyDescent="0.3">
      <c r="A628" s="1" t="s">
        <v>2896</v>
      </c>
      <c r="B628" s="1" t="s">
        <v>799</v>
      </c>
      <c r="C628" s="2">
        <v>46181</v>
      </c>
      <c r="D628" s="1" t="s">
        <v>3652</v>
      </c>
      <c r="E628" s="1" t="s">
        <v>3647</v>
      </c>
    </row>
    <row r="629" spans="1:5" x14ac:dyDescent="0.3">
      <c r="A629" s="1" t="s">
        <v>2898</v>
      </c>
      <c r="B629" s="1" t="s">
        <v>154</v>
      </c>
      <c r="C629" s="2">
        <v>46187</v>
      </c>
      <c r="D629" s="1" t="s">
        <v>3648</v>
      </c>
      <c r="E629" s="1" t="s">
        <v>3651</v>
      </c>
    </row>
    <row r="630" spans="1:5" x14ac:dyDescent="0.3">
      <c r="A630" s="1" t="s">
        <v>2902</v>
      </c>
      <c r="B630" s="1" t="s">
        <v>212</v>
      </c>
      <c r="C630" s="2">
        <v>45800</v>
      </c>
      <c r="D630" s="1" t="s">
        <v>3648</v>
      </c>
      <c r="E630" s="1" t="s">
        <v>3653</v>
      </c>
    </row>
    <row r="631" spans="1:5" x14ac:dyDescent="0.3">
      <c r="A631" s="1" t="s">
        <v>2904</v>
      </c>
      <c r="B631" s="1" t="s">
        <v>699</v>
      </c>
      <c r="C631" s="2">
        <v>46154</v>
      </c>
      <c r="D631" s="1" t="s">
        <v>3646</v>
      </c>
      <c r="E631" s="1" t="s">
        <v>3649</v>
      </c>
    </row>
    <row r="632" spans="1:5" x14ac:dyDescent="0.3">
      <c r="A632" s="1" t="s">
        <v>2906</v>
      </c>
      <c r="B632" s="1" t="s">
        <v>725</v>
      </c>
      <c r="C632" s="2">
        <v>45870</v>
      </c>
      <c r="D632" s="1" t="s">
        <v>3655</v>
      </c>
      <c r="E632" s="1" t="s">
        <v>3649</v>
      </c>
    </row>
    <row r="633" spans="1:5" x14ac:dyDescent="0.3">
      <c r="A633" s="1" t="s">
        <v>2909</v>
      </c>
      <c r="B633" s="1" t="s">
        <v>287</v>
      </c>
      <c r="C633" s="2">
        <v>46156</v>
      </c>
      <c r="D633" s="1" t="s">
        <v>3648</v>
      </c>
      <c r="E633" s="1" t="s">
        <v>3650</v>
      </c>
    </row>
    <row r="634" spans="1:5" x14ac:dyDescent="0.3">
      <c r="A634" s="1" t="s">
        <v>2911</v>
      </c>
      <c r="B634" s="1" t="s">
        <v>33</v>
      </c>
      <c r="C634" s="2">
        <v>45976</v>
      </c>
      <c r="D634" s="1" t="s">
        <v>3652</v>
      </c>
      <c r="E634" s="1" t="s">
        <v>3649</v>
      </c>
    </row>
    <row r="635" spans="1:5" x14ac:dyDescent="0.3">
      <c r="A635" s="1" t="s">
        <v>2913</v>
      </c>
      <c r="B635" s="1" t="s">
        <v>832</v>
      </c>
      <c r="C635" s="2">
        <v>46138</v>
      </c>
      <c r="D635" s="1" t="s">
        <v>3648</v>
      </c>
      <c r="E635" s="1" t="s">
        <v>3649</v>
      </c>
    </row>
    <row r="636" spans="1:5" x14ac:dyDescent="0.3">
      <c r="A636" s="1" t="s">
        <v>2915</v>
      </c>
      <c r="B636" s="1" t="s">
        <v>302</v>
      </c>
      <c r="C636" s="2">
        <v>45752</v>
      </c>
      <c r="D636" s="1" t="s">
        <v>3646</v>
      </c>
      <c r="E636" s="1" t="s">
        <v>3650</v>
      </c>
    </row>
    <row r="637" spans="1:5" x14ac:dyDescent="0.3">
      <c r="A637" s="1" t="s">
        <v>2920</v>
      </c>
      <c r="B637" s="1" t="s">
        <v>836</v>
      </c>
      <c r="C637" s="2">
        <v>45986</v>
      </c>
      <c r="D637" s="1" t="s">
        <v>3646</v>
      </c>
      <c r="E637" s="1" t="s">
        <v>3651</v>
      </c>
    </row>
    <row r="638" spans="1:5" x14ac:dyDescent="0.3">
      <c r="A638" s="1" t="s">
        <v>2923</v>
      </c>
      <c r="B638" s="1" t="s">
        <v>209</v>
      </c>
      <c r="C638" s="2">
        <v>46156</v>
      </c>
      <c r="D638" s="1" t="s">
        <v>3648</v>
      </c>
      <c r="E638" s="1" t="s">
        <v>3651</v>
      </c>
    </row>
    <row r="639" spans="1:5" x14ac:dyDescent="0.3">
      <c r="A639" s="1" t="s">
        <v>2926</v>
      </c>
      <c r="B639" s="1" t="s">
        <v>728</v>
      </c>
      <c r="C639" s="2">
        <v>46019</v>
      </c>
      <c r="D639" s="1" t="s">
        <v>3648</v>
      </c>
      <c r="E639" s="1" t="s">
        <v>3647</v>
      </c>
    </row>
    <row r="640" spans="1:5" x14ac:dyDescent="0.3">
      <c r="A640" s="1" t="s">
        <v>2928</v>
      </c>
      <c r="B640" s="1" t="s">
        <v>603</v>
      </c>
      <c r="C640" s="2">
        <v>46272</v>
      </c>
      <c r="D640" s="1" t="s">
        <v>3655</v>
      </c>
      <c r="E640" s="1" t="s">
        <v>3649</v>
      </c>
    </row>
    <row r="641" spans="1:5" x14ac:dyDescent="0.3">
      <c r="A641" s="1" t="s">
        <v>2931</v>
      </c>
      <c r="B641" s="1" t="s">
        <v>531</v>
      </c>
      <c r="C641" s="2">
        <v>45993</v>
      </c>
      <c r="D641" s="1" t="s">
        <v>3652</v>
      </c>
      <c r="E641" s="1" t="s">
        <v>3649</v>
      </c>
    </row>
    <row r="642" spans="1:5" x14ac:dyDescent="0.3">
      <c r="A642" s="1" t="s">
        <v>2936</v>
      </c>
      <c r="B642" s="1" t="s">
        <v>1038</v>
      </c>
      <c r="C642" s="2">
        <v>46107</v>
      </c>
      <c r="D642" s="1" t="s">
        <v>3652</v>
      </c>
      <c r="E642" s="1" t="s">
        <v>3650</v>
      </c>
    </row>
    <row r="643" spans="1:5" x14ac:dyDescent="0.3">
      <c r="A643" s="1" t="s">
        <v>2938</v>
      </c>
      <c r="B643" s="1" t="s">
        <v>545</v>
      </c>
      <c r="C643" s="2">
        <v>45905</v>
      </c>
      <c r="D643" s="1" t="s">
        <v>3655</v>
      </c>
      <c r="E643" s="1" t="s">
        <v>3651</v>
      </c>
    </row>
    <row r="644" spans="1:5" x14ac:dyDescent="0.3">
      <c r="A644" s="1" t="s">
        <v>2940</v>
      </c>
      <c r="B644" s="1" t="s">
        <v>578</v>
      </c>
      <c r="C644" s="2">
        <v>45911</v>
      </c>
      <c r="D644" s="1" t="s">
        <v>3648</v>
      </c>
      <c r="E644" s="1" t="s">
        <v>3650</v>
      </c>
    </row>
    <row r="645" spans="1:5" x14ac:dyDescent="0.3">
      <c r="A645" s="1" t="s">
        <v>2942</v>
      </c>
      <c r="B645" s="1" t="s">
        <v>955</v>
      </c>
      <c r="C645" s="2">
        <v>46078</v>
      </c>
      <c r="D645" s="1" t="s">
        <v>3648</v>
      </c>
      <c r="E645" s="1" t="s">
        <v>3647</v>
      </c>
    </row>
    <row r="646" spans="1:5" x14ac:dyDescent="0.3">
      <c r="A646" s="1" t="s">
        <v>2944</v>
      </c>
      <c r="B646" s="1" t="s">
        <v>567</v>
      </c>
      <c r="C646" s="2">
        <v>45757</v>
      </c>
      <c r="D646" s="1" t="s">
        <v>3652</v>
      </c>
      <c r="E646" s="1" t="s">
        <v>3649</v>
      </c>
    </row>
    <row r="647" spans="1:5" x14ac:dyDescent="0.3">
      <c r="A647" s="1" t="s">
        <v>2947</v>
      </c>
      <c r="B647" s="1" t="s">
        <v>930</v>
      </c>
      <c r="C647" s="2">
        <v>46247</v>
      </c>
      <c r="D647" s="1" t="s">
        <v>3648</v>
      </c>
      <c r="E647" s="1" t="s">
        <v>3649</v>
      </c>
    </row>
    <row r="648" spans="1:5" x14ac:dyDescent="0.3">
      <c r="A648" s="1" t="s">
        <v>2949</v>
      </c>
      <c r="B648" s="1" t="s">
        <v>938</v>
      </c>
      <c r="C648" s="2">
        <v>46019</v>
      </c>
      <c r="D648" s="1" t="s">
        <v>3652</v>
      </c>
      <c r="E648" s="1" t="s">
        <v>3653</v>
      </c>
    </row>
    <row r="649" spans="1:5" x14ac:dyDescent="0.3">
      <c r="A649" s="1" t="s">
        <v>2952</v>
      </c>
      <c r="B649" s="1" t="s">
        <v>154</v>
      </c>
      <c r="C649" s="2">
        <v>45872</v>
      </c>
      <c r="D649" s="1" t="s">
        <v>3648</v>
      </c>
      <c r="E649" s="1" t="s">
        <v>3651</v>
      </c>
    </row>
    <row r="650" spans="1:5" x14ac:dyDescent="0.3">
      <c r="A650" s="1" t="s">
        <v>2954</v>
      </c>
      <c r="B650" s="1" t="s">
        <v>685</v>
      </c>
      <c r="C650" s="2">
        <v>46083</v>
      </c>
      <c r="D650" s="1" t="s">
        <v>3644</v>
      </c>
      <c r="E650" s="1" t="s">
        <v>3649</v>
      </c>
    </row>
    <row r="651" spans="1:5" x14ac:dyDescent="0.3">
      <c r="A651" s="1" t="s">
        <v>2958</v>
      </c>
      <c r="B651" s="1" t="s">
        <v>735</v>
      </c>
      <c r="C651" s="2">
        <v>45842</v>
      </c>
      <c r="D651" s="1" t="s">
        <v>3646</v>
      </c>
      <c r="E651" s="1" t="s">
        <v>3650</v>
      </c>
    </row>
    <row r="652" spans="1:5" x14ac:dyDescent="0.3">
      <c r="A652" s="1" t="s">
        <v>2962</v>
      </c>
      <c r="B652" s="1" t="s">
        <v>797</v>
      </c>
      <c r="C652" s="2">
        <v>46220</v>
      </c>
      <c r="D652" s="1" t="s">
        <v>3648</v>
      </c>
      <c r="E652" s="1" t="s">
        <v>3649</v>
      </c>
    </row>
    <row r="653" spans="1:5" x14ac:dyDescent="0.3">
      <c r="A653" s="1" t="s">
        <v>2965</v>
      </c>
      <c r="B653" s="1" t="s">
        <v>887</v>
      </c>
      <c r="C653" s="2">
        <v>46207</v>
      </c>
      <c r="D653" s="1" t="s">
        <v>3644</v>
      </c>
      <c r="E653" s="1" t="s">
        <v>3651</v>
      </c>
    </row>
    <row r="654" spans="1:5" x14ac:dyDescent="0.3">
      <c r="A654" s="1" t="s">
        <v>2968</v>
      </c>
      <c r="B654" s="1" t="s">
        <v>50</v>
      </c>
      <c r="C654" s="2">
        <v>45853</v>
      </c>
      <c r="D654" s="1" t="s">
        <v>3652</v>
      </c>
      <c r="E654" s="1" t="s">
        <v>3651</v>
      </c>
    </row>
    <row r="655" spans="1:5" x14ac:dyDescent="0.3">
      <c r="A655" s="1" t="s">
        <v>2971</v>
      </c>
      <c r="B655" s="1" t="s">
        <v>506</v>
      </c>
      <c r="C655" s="2">
        <v>45795</v>
      </c>
      <c r="D655" s="1" t="s">
        <v>3648</v>
      </c>
      <c r="E655" s="1" t="s">
        <v>3651</v>
      </c>
    </row>
    <row r="656" spans="1:5" x14ac:dyDescent="0.3">
      <c r="A656" s="1" t="s">
        <v>2974</v>
      </c>
      <c r="B656" s="1" t="s">
        <v>754</v>
      </c>
      <c r="C656" s="2">
        <v>46080</v>
      </c>
      <c r="D656" s="1" t="s">
        <v>3648</v>
      </c>
      <c r="E656" s="1" t="s">
        <v>3650</v>
      </c>
    </row>
    <row r="657" spans="1:5" x14ac:dyDescent="0.3">
      <c r="A657" s="1" t="s">
        <v>2976</v>
      </c>
      <c r="B657" s="1" t="s">
        <v>785</v>
      </c>
      <c r="C657" s="2">
        <v>45911</v>
      </c>
      <c r="D657" s="1" t="s">
        <v>3648</v>
      </c>
      <c r="E657" s="1" t="s">
        <v>3647</v>
      </c>
    </row>
    <row r="658" spans="1:5" x14ac:dyDescent="0.3">
      <c r="A658" s="1" t="s">
        <v>2978</v>
      </c>
      <c r="B658" s="1" t="s">
        <v>176</v>
      </c>
      <c r="C658" s="2">
        <v>45825</v>
      </c>
      <c r="D658" s="1" t="s">
        <v>3652</v>
      </c>
      <c r="E658" s="1" t="s">
        <v>3650</v>
      </c>
    </row>
    <row r="659" spans="1:5" x14ac:dyDescent="0.3">
      <c r="A659" s="1" t="s">
        <v>2981</v>
      </c>
      <c r="B659" s="1" t="s">
        <v>305</v>
      </c>
      <c r="C659" s="2">
        <v>45885</v>
      </c>
      <c r="D659" s="1" t="s">
        <v>3648</v>
      </c>
      <c r="E659" s="1" t="s">
        <v>3645</v>
      </c>
    </row>
    <row r="660" spans="1:5" x14ac:dyDescent="0.3">
      <c r="A660" s="1" t="s">
        <v>2983</v>
      </c>
      <c r="B660" s="1" t="s">
        <v>169</v>
      </c>
      <c r="C660" s="2">
        <v>45799</v>
      </c>
      <c r="D660" s="1" t="s">
        <v>3648</v>
      </c>
      <c r="E660" s="1" t="s">
        <v>3649</v>
      </c>
    </row>
    <row r="661" spans="1:5" x14ac:dyDescent="0.3">
      <c r="A661" s="1" t="s">
        <v>2985</v>
      </c>
      <c r="B661" s="1" t="s">
        <v>309</v>
      </c>
      <c r="C661" s="2">
        <v>46166</v>
      </c>
      <c r="D661" s="1" t="s">
        <v>3648</v>
      </c>
      <c r="E661" s="1" t="s">
        <v>3647</v>
      </c>
    </row>
    <row r="662" spans="1:5" x14ac:dyDescent="0.3">
      <c r="A662" s="1" t="s">
        <v>2988</v>
      </c>
      <c r="B662" s="1" t="s">
        <v>50</v>
      </c>
      <c r="C662" s="2">
        <v>45738</v>
      </c>
      <c r="D662" s="1" t="s">
        <v>3652</v>
      </c>
      <c r="E662" s="1" t="s">
        <v>3651</v>
      </c>
    </row>
    <row r="663" spans="1:5" x14ac:dyDescent="0.3">
      <c r="A663" s="1" t="s">
        <v>2991</v>
      </c>
      <c r="B663" s="1" t="s">
        <v>592</v>
      </c>
      <c r="C663" s="2">
        <v>45757</v>
      </c>
      <c r="D663" s="1" t="s">
        <v>3652</v>
      </c>
      <c r="E663" s="1" t="s">
        <v>3649</v>
      </c>
    </row>
    <row r="664" spans="1:5" x14ac:dyDescent="0.3">
      <c r="A664" s="1" t="s">
        <v>2993</v>
      </c>
      <c r="B664" s="1" t="s">
        <v>130</v>
      </c>
      <c r="C664" s="2">
        <v>46163</v>
      </c>
      <c r="D664" s="1" t="s">
        <v>3648</v>
      </c>
      <c r="E664" s="1" t="s">
        <v>3647</v>
      </c>
    </row>
    <row r="665" spans="1:5" x14ac:dyDescent="0.3">
      <c r="A665" s="1" t="s">
        <v>2997</v>
      </c>
      <c r="B665" s="1" t="s">
        <v>238</v>
      </c>
      <c r="C665" s="2">
        <v>45994</v>
      </c>
      <c r="D665" s="1" t="s">
        <v>3648</v>
      </c>
      <c r="E665" s="1" t="s">
        <v>3650</v>
      </c>
    </row>
    <row r="666" spans="1:5" x14ac:dyDescent="0.3">
      <c r="A666" s="1" t="s">
        <v>3000</v>
      </c>
      <c r="B666" s="1" t="s">
        <v>126</v>
      </c>
      <c r="C666" s="2">
        <v>46060</v>
      </c>
      <c r="D666" s="1" t="s">
        <v>3648</v>
      </c>
      <c r="E666" s="1" t="s">
        <v>3653</v>
      </c>
    </row>
    <row r="667" spans="1:5" x14ac:dyDescent="0.3">
      <c r="A667" s="1" t="s">
        <v>3003</v>
      </c>
      <c r="B667" s="1" t="s">
        <v>345</v>
      </c>
      <c r="C667" s="2">
        <v>45937</v>
      </c>
      <c r="D667" s="1" t="s">
        <v>3648</v>
      </c>
      <c r="E667" s="1" t="s">
        <v>3649</v>
      </c>
    </row>
    <row r="668" spans="1:5" x14ac:dyDescent="0.3">
      <c r="A668" s="1" t="s">
        <v>3005</v>
      </c>
      <c r="B668" s="1" t="s">
        <v>39</v>
      </c>
      <c r="C668" s="2">
        <v>45783</v>
      </c>
      <c r="D668" s="1" t="s">
        <v>3648</v>
      </c>
      <c r="E668" s="1" t="s">
        <v>3645</v>
      </c>
    </row>
    <row r="669" spans="1:5" x14ac:dyDescent="0.3">
      <c r="A669" s="1" t="s">
        <v>3008</v>
      </c>
      <c r="B669" s="1" t="s">
        <v>981</v>
      </c>
      <c r="C669" s="2">
        <v>45820</v>
      </c>
      <c r="D669" s="1" t="s">
        <v>3648</v>
      </c>
      <c r="E669" s="1" t="s">
        <v>3645</v>
      </c>
    </row>
    <row r="670" spans="1:5" x14ac:dyDescent="0.3">
      <c r="A670" s="1" t="s">
        <v>3011</v>
      </c>
      <c r="B670" s="1" t="s">
        <v>330</v>
      </c>
      <c r="C670" s="2">
        <v>45784</v>
      </c>
      <c r="D670" s="1" t="s">
        <v>3648</v>
      </c>
      <c r="E670" s="1" t="s">
        <v>3645</v>
      </c>
    </row>
    <row r="671" spans="1:5" x14ac:dyDescent="0.3">
      <c r="A671" s="1" t="s">
        <v>3013</v>
      </c>
      <c r="B671" s="1" t="s">
        <v>240</v>
      </c>
      <c r="C671" s="2">
        <v>46073</v>
      </c>
      <c r="D671" s="1" t="s">
        <v>3655</v>
      </c>
      <c r="E671" s="1" t="s">
        <v>3651</v>
      </c>
    </row>
    <row r="672" spans="1:5" x14ac:dyDescent="0.3">
      <c r="A672" s="1" t="s">
        <v>3015</v>
      </c>
      <c r="B672" s="1" t="s">
        <v>639</v>
      </c>
      <c r="C672" s="2">
        <v>46244</v>
      </c>
      <c r="D672" s="1" t="s">
        <v>3646</v>
      </c>
      <c r="E672" s="1" t="s">
        <v>3645</v>
      </c>
    </row>
    <row r="673" spans="1:5" x14ac:dyDescent="0.3">
      <c r="A673" s="1" t="s">
        <v>3018</v>
      </c>
      <c r="B673" s="1" t="s">
        <v>984</v>
      </c>
      <c r="C673" s="2">
        <v>46280</v>
      </c>
      <c r="D673" s="1" t="s">
        <v>3648</v>
      </c>
      <c r="E673" s="1" t="s">
        <v>3650</v>
      </c>
    </row>
    <row r="674" spans="1:5" x14ac:dyDescent="0.3">
      <c r="A674" s="1" t="s">
        <v>3020</v>
      </c>
      <c r="B674" s="1" t="s">
        <v>166</v>
      </c>
      <c r="C674" s="2">
        <v>46076</v>
      </c>
      <c r="D674" s="1" t="s">
        <v>3648</v>
      </c>
      <c r="E674" s="1" t="s">
        <v>3650</v>
      </c>
    </row>
    <row r="675" spans="1:5" x14ac:dyDescent="0.3">
      <c r="A675" s="1" t="s">
        <v>3023</v>
      </c>
      <c r="B675" s="1" t="s">
        <v>685</v>
      </c>
      <c r="C675" s="2">
        <v>45766</v>
      </c>
      <c r="D675" s="1" t="s">
        <v>3648</v>
      </c>
      <c r="E675" s="1" t="s">
        <v>3650</v>
      </c>
    </row>
    <row r="676" spans="1:5" x14ac:dyDescent="0.3">
      <c r="A676" s="1" t="s">
        <v>3025</v>
      </c>
      <c r="B676" s="1" t="s">
        <v>330</v>
      </c>
      <c r="C676" s="2">
        <v>46087</v>
      </c>
      <c r="D676" s="1" t="s">
        <v>3648</v>
      </c>
      <c r="E676" s="1" t="s">
        <v>3645</v>
      </c>
    </row>
    <row r="677" spans="1:5" x14ac:dyDescent="0.3">
      <c r="A677" s="1" t="s">
        <v>3027</v>
      </c>
      <c r="B677" s="1" t="s">
        <v>212</v>
      </c>
      <c r="C677" s="2">
        <v>46118</v>
      </c>
      <c r="D677" s="1" t="s">
        <v>3646</v>
      </c>
      <c r="E677" s="1" t="s">
        <v>3651</v>
      </c>
    </row>
    <row r="678" spans="1:5" x14ac:dyDescent="0.3">
      <c r="A678" s="1" t="s">
        <v>3030</v>
      </c>
      <c r="B678" s="1" t="s">
        <v>441</v>
      </c>
      <c r="C678" s="2">
        <v>46167</v>
      </c>
      <c r="D678" s="1" t="s">
        <v>3655</v>
      </c>
      <c r="E678" s="1" t="s">
        <v>3651</v>
      </c>
    </row>
    <row r="679" spans="1:5" x14ac:dyDescent="0.3">
      <c r="A679" s="1" t="s">
        <v>3034</v>
      </c>
      <c r="B679" s="1" t="s">
        <v>105</v>
      </c>
      <c r="C679" s="2">
        <v>45802</v>
      </c>
      <c r="D679" s="1" t="s">
        <v>3646</v>
      </c>
      <c r="E679" s="1" t="s">
        <v>3651</v>
      </c>
    </row>
    <row r="680" spans="1:5" x14ac:dyDescent="0.3">
      <c r="A680" s="1" t="s">
        <v>3036</v>
      </c>
      <c r="B680" s="1" t="s">
        <v>474</v>
      </c>
      <c r="C680" s="2">
        <v>45861</v>
      </c>
      <c r="D680" s="1" t="s">
        <v>3648</v>
      </c>
      <c r="E680" s="1" t="s">
        <v>3645</v>
      </c>
    </row>
    <row r="681" spans="1:5" x14ac:dyDescent="0.3">
      <c r="A681" s="1" t="s">
        <v>3039</v>
      </c>
      <c r="B681" s="1" t="s">
        <v>728</v>
      </c>
      <c r="C681" s="2">
        <v>46271</v>
      </c>
      <c r="D681" s="1" t="s">
        <v>3644</v>
      </c>
      <c r="E681" s="1" t="s">
        <v>3649</v>
      </c>
    </row>
    <row r="682" spans="1:5" x14ac:dyDescent="0.3">
      <c r="A682" s="1" t="s">
        <v>3042</v>
      </c>
      <c r="B682" s="1" t="s">
        <v>88</v>
      </c>
      <c r="C682" s="2">
        <v>46166</v>
      </c>
      <c r="D682" s="1" t="s">
        <v>3652</v>
      </c>
      <c r="E682" s="1" t="s">
        <v>3647</v>
      </c>
    </row>
    <row r="683" spans="1:5" x14ac:dyDescent="0.3">
      <c r="A683" s="1" t="s">
        <v>3044</v>
      </c>
      <c r="B683" s="1" t="s">
        <v>434</v>
      </c>
      <c r="C683" s="2">
        <v>46148</v>
      </c>
      <c r="D683" s="1" t="s">
        <v>3648</v>
      </c>
      <c r="E683" s="1" t="s">
        <v>3647</v>
      </c>
    </row>
    <row r="684" spans="1:5" x14ac:dyDescent="0.3">
      <c r="A684" s="1" t="s">
        <v>3049</v>
      </c>
      <c r="B684" s="1" t="s">
        <v>610</v>
      </c>
      <c r="C684" s="2">
        <v>46175</v>
      </c>
      <c r="D684" s="1" t="s">
        <v>3648</v>
      </c>
      <c r="E684" s="1" t="s">
        <v>3653</v>
      </c>
    </row>
    <row r="685" spans="1:5" x14ac:dyDescent="0.3">
      <c r="A685" s="1" t="s">
        <v>3051</v>
      </c>
      <c r="B685" s="1" t="s">
        <v>166</v>
      </c>
      <c r="C685" s="2">
        <v>45974</v>
      </c>
      <c r="D685" s="1" t="s">
        <v>3652</v>
      </c>
      <c r="E685" s="1" t="s">
        <v>3651</v>
      </c>
    </row>
    <row r="686" spans="1:5" x14ac:dyDescent="0.3">
      <c r="A686" s="1" t="s">
        <v>3054</v>
      </c>
      <c r="B686" s="1" t="s">
        <v>945</v>
      </c>
      <c r="C686" s="2">
        <v>45839</v>
      </c>
      <c r="D686" s="1" t="s">
        <v>3652</v>
      </c>
      <c r="E686" s="1" t="s">
        <v>3651</v>
      </c>
    </row>
    <row r="687" spans="1:5" x14ac:dyDescent="0.3">
      <c r="A687" s="1" t="s">
        <v>3056</v>
      </c>
      <c r="B687" s="1" t="s">
        <v>352</v>
      </c>
      <c r="C687" s="2">
        <v>46111</v>
      </c>
      <c r="D687" s="1" t="s">
        <v>3648</v>
      </c>
      <c r="E687" s="1" t="s">
        <v>3650</v>
      </c>
    </row>
    <row r="688" spans="1:5" x14ac:dyDescent="0.3">
      <c r="A688" s="1" t="s">
        <v>3058</v>
      </c>
      <c r="B688" s="1" t="s">
        <v>109</v>
      </c>
      <c r="C688" s="2">
        <v>45930</v>
      </c>
      <c r="D688" s="1" t="s">
        <v>3644</v>
      </c>
      <c r="E688" s="1" t="s">
        <v>3651</v>
      </c>
    </row>
    <row r="689" spans="1:5" x14ac:dyDescent="0.3">
      <c r="A689" s="1" t="s">
        <v>3060</v>
      </c>
      <c r="B689" s="1" t="s">
        <v>877</v>
      </c>
      <c r="C689" s="2">
        <v>45807</v>
      </c>
      <c r="D689" s="1" t="s">
        <v>3646</v>
      </c>
      <c r="E689" s="1" t="s">
        <v>3645</v>
      </c>
    </row>
    <row r="690" spans="1:5" x14ac:dyDescent="0.3">
      <c r="A690" s="1" t="s">
        <v>3062</v>
      </c>
      <c r="B690" s="1" t="s">
        <v>625</v>
      </c>
      <c r="C690" s="2">
        <v>46226</v>
      </c>
      <c r="D690" s="1" t="s">
        <v>3648</v>
      </c>
      <c r="E690" s="1" t="s">
        <v>3647</v>
      </c>
    </row>
    <row r="691" spans="1:5" x14ac:dyDescent="0.3">
      <c r="A691" s="1" t="s">
        <v>3067</v>
      </c>
      <c r="B691" s="1" t="s">
        <v>33</v>
      </c>
      <c r="C691" s="2">
        <v>45999</v>
      </c>
      <c r="D691" s="1" t="s">
        <v>3648</v>
      </c>
      <c r="E691" s="1" t="s">
        <v>3645</v>
      </c>
    </row>
    <row r="692" spans="1:5" x14ac:dyDescent="0.3">
      <c r="A692" s="1" t="s">
        <v>3069</v>
      </c>
      <c r="B692" s="1" t="s">
        <v>1055</v>
      </c>
      <c r="C692" s="2">
        <v>45973</v>
      </c>
      <c r="D692" s="1" t="s">
        <v>3655</v>
      </c>
      <c r="E692" s="1" t="s">
        <v>3650</v>
      </c>
    </row>
    <row r="693" spans="1:5" x14ac:dyDescent="0.3">
      <c r="A693" s="1" t="s">
        <v>3072</v>
      </c>
      <c r="B693" s="1" t="s">
        <v>470</v>
      </c>
      <c r="C693" s="2">
        <v>45895</v>
      </c>
      <c r="D693" s="1" t="s">
        <v>3648</v>
      </c>
      <c r="E693" s="1" t="s">
        <v>3650</v>
      </c>
    </row>
    <row r="694" spans="1:5" x14ac:dyDescent="0.3">
      <c r="A694" s="1" t="s">
        <v>3075</v>
      </c>
      <c r="B694" s="1" t="s">
        <v>926</v>
      </c>
      <c r="C694" s="2">
        <v>46115</v>
      </c>
      <c r="D694" s="1" t="s">
        <v>3644</v>
      </c>
      <c r="E694" s="1" t="s">
        <v>3649</v>
      </c>
    </row>
    <row r="695" spans="1:5" x14ac:dyDescent="0.3">
      <c r="A695" s="1" t="s">
        <v>3077</v>
      </c>
      <c r="B695" s="1" t="s">
        <v>1024</v>
      </c>
      <c r="C695" s="2">
        <v>45837</v>
      </c>
      <c r="D695" s="1" t="s">
        <v>3655</v>
      </c>
      <c r="E695" s="1" t="s">
        <v>3649</v>
      </c>
    </row>
    <row r="696" spans="1:5" x14ac:dyDescent="0.3">
      <c r="A696" s="1" t="s">
        <v>3079</v>
      </c>
      <c r="B696" s="1" t="s">
        <v>302</v>
      </c>
      <c r="C696" s="2">
        <v>45836</v>
      </c>
      <c r="D696" s="1" t="s">
        <v>3648</v>
      </c>
      <c r="E696" s="1" t="s">
        <v>3647</v>
      </c>
    </row>
    <row r="697" spans="1:5" x14ac:dyDescent="0.3">
      <c r="A697" s="1" t="s">
        <v>3082</v>
      </c>
      <c r="B697" s="1" t="s">
        <v>65</v>
      </c>
      <c r="C697" s="2">
        <v>45924</v>
      </c>
      <c r="D697" s="1" t="s">
        <v>3648</v>
      </c>
      <c r="E697" s="1" t="s">
        <v>3645</v>
      </c>
    </row>
    <row r="698" spans="1:5" x14ac:dyDescent="0.3">
      <c r="A698" s="1" t="s">
        <v>3085</v>
      </c>
      <c r="B698" s="1" t="s">
        <v>33</v>
      </c>
      <c r="C698" s="2">
        <v>46135</v>
      </c>
      <c r="D698" s="1" t="s">
        <v>3644</v>
      </c>
      <c r="E698" s="1" t="s">
        <v>3651</v>
      </c>
    </row>
    <row r="699" spans="1:5" x14ac:dyDescent="0.3">
      <c r="A699" s="1" t="s">
        <v>3087</v>
      </c>
      <c r="B699" s="1" t="s">
        <v>713</v>
      </c>
      <c r="C699" s="2">
        <v>45884</v>
      </c>
      <c r="D699" s="1" t="s">
        <v>3646</v>
      </c>
      <c r="E699" s="1" t="s">
        <v>3645</v>
      </c>
    </row>
    <row r="700" spans="1:5" x14ac:dyDescent="0.3">
      <c r="A700" s="1" t="s">
        <v>3089</v>
      </c>
      <c r="B700" s="1" t="s">
        <v>216</v>
      </c>
      <c r="C700" s="2">
        <v>46189</v>
      </c>
      <c r="D700" s="1" t="s">
        <v>3648</v>
      </c>
      <c r="E700" s="1" t="s">
        <v>3649</v>
      </c>
    </row>
    <row r="701" spans="1:5" x14ac:dyDescent="0.3">
      <c r="A701" s="1" t="s">
        <v>3091</v>
      </c>
      <c r="B701" s="1" t="s">
        <v>793</v>
      </c>
      <c r="C701" s="2">
        <v>46235</v>
      </c>
      <c r="D701" s="1" t="s">
        <v>3648</v>
      </c>
      <c r="E701" s="1" t="s">
        <v>3651</v>
      </c>
    </row>
    <row r="702" spans="1:5" x14ac:dyDescent="0.3">
      <c r="A702" s="1" t="s">
        <v>3093</v>
      </c>
      <c r="B702" s="1" t="s">
        <v>283</v>
      </c>
      <c r="C702" s="2">
        <v>46037</v>
      </c>
      <c r="D702" s="1" t="s">
        <v>3655</v>
      </c>
      <c r="E702" s="1" t="s">
        <v>3653</v>
      </c>
    </row>
    <row r="703" spans="1:5" x14ac:dyDescent="0.3">
      <c r="A703" s="1" t="s">
        <v>3095</v>
      </c>
      <c r="B703" s="1" t="s">
        <v>195</v>
      </c>
      <c r="C703" s="2">
        <v>45771</v>
      </c>
      <c r="D703" s="1" t="s">
        <v>3648</v>
      </c>
      <c r="E703" s="1" t="s">
        <v>3649</v>
      </c>
    </row>
    <row r="704" spans="1:5" x14ac:dyDescent="0.3">
      <c r="A704" s="1" t="s">
        <v>3097</v>
      </c>
      <c r="B704" s="1" t="s">
        <v>977</v>
      </c>
      <c r="C704" s="2">
        <v>45818</v>
      </c>
      <c r="D704" s="1" t="s">
        <v>3648</v>
      </c>
      <c r="E704" s="1" t="s">
        <v>3645</v>
      </c>
    </row>
    <row r="705" spans="1:5" x14ac:dyDescent="0.3">
      <c r="A705" s="1" t="s">
        <v>3099</v>
      </c>
      <c r="B705" s="1" t="s">
        <v>864</v>
      </c>
      <c r="C705" s="2">
        <v>45896</v>
      </c>
      <c r="D705" s="1" t="s">
        <v>3644</v>
      </c>
      <c r="E705" s="1" t="s">
        <v>3651</v>
      </c>
    </row>
    <row r="706" spans="1:5" x14ac:dyDescent="0.3">
      <c r="A706" s="1" t="s">
        <v>3103</v>
      </c>
      <c r="B706" s="1" t="s">
        <v>1088</v>
      </c>
      <c r="C706" s="2">
        <v>45878</v>
      </c>
      <c r="D706" s="1" t="s">
        <v>3648</v>
      </c>
      <c r="E706" s="1" t="s">
        <v>3649</v>
      </c>
    </row>
    <row r="707" spans="1:5" x14ac:dyDescent="0.3">
      <c r="A707" s="1" t="s">
        <v>3107</v>
      </c>
      <c r="B707" s="1" t="s">
        <v>746</v>
      </c>
      <c r="C707" s="2">
        <v>45935</v>
      </c>
      <c r="D707" s="1" t="s">
        <v>3648</v>
      </c>
      <c r="E707" s="1" t="s">
        <v>3650</v>
      </c>
    </row>
    <row r="708" spans="1:5" x14ac:dyDescent="0.3">
      <c r="A708" s="1" t="s">
        <v>3109</v>
      </c>
      <c r="B708" s="1" t="s">
        <v>137</v>
      </c>
      <c r="C708" s="2">
        <v>45734</v>
      </c>
      <c r="D708" s="1" t="s">
        <v>3648</v>
      </c>
      <c r="E708" s="1" t="s">
        <v>3649</v>
      </c>
    </row>
    <row r="709" spans="1:5" x14ac:dyDescent="0.3">
      <c r="A709" s="1" t="s">
        <v>3111</v>
      </c>
      <c r="B709" s="1" t="s">
        <v>459</v>
      </c>
      <c r="C709" s="2">
        <v>46083</v>
      </c>
      <c r="D709" s="1" t="s">
        <v>3648</v>
      </c>
      <c r="E709" s="1" t="s">
        <v>3645</v>
      </c>
    </row>
    <row r="710" spans="1:5" x14ac:dyDescent="0.3">
      <c r="A710" s="1" t="s">
        <v>3114</v>
      </c>
      <c r="B710" s="1" t="s">
        <v>746</v>
      </c>
      <c r="C710" s="2">
        <v>45941</v>
      </c>
      <c r="D710" s="1" t="s">
        <v>3655</v>
      </c>
      <c r="E710" s="1" t="s">
        <v>3645</v>
      </c>
    </row>
    <row r="711" spans="1:5" x14ac:dyDescent="0.3">
      <c r="A711" s="1" t="s">
        <v>3117</v>
      </c>
      <c r="B711" s="1" t="s">
        <v>606</v>
      </c>
      <c r="C711" s="2">
        <v>45835</v>
      </c>
      <c r="D711" s="1" t="s">
        <v>3648</v>
      </c>
      <c r="E711" s="1" t="s">
        <v>3649</v>
      </c>
    </row>
    <row r="712" spans="1:5" x14ac:dyDescent="0.3">
      <c r="A712" s="1" t="s">
        <v>3121</v>
      </c>
      <c r="B712" s="1" t="s">
        <v>162</v>
      </c>
      <c r="C712" s="2">
        <v>45744</v>
      </c>
      <c r="D712" s="1" t="s">
        <v>3644</v>
      </c>
      <c r="E712" s="1" t="s">
        <v>3649</v>
      </c>
    </row>
    <row r="713" spans="1:5" x14ac:dyDescent="0.3">
      <c r="A713" s="1" t="s">
        <v>3123</v>
      </c>
      <c r="B713" s="1" t="s">
        <v>1096</v>
      </c>
      <c r="C713" s="2">
        <v>46203</v>
      </c>
      <c r="D713" s="1" t="s">
        <v>3648</v>
      </c>
      <c r="E713" s="1" t="s">
        <v>3651</v>
      </c>
    </row>
    <row r="714" spans="1:5" x14ac:dyDescent="0.3">
      <c r="A714" s="1" t="s">
        <v>3127</v>
      </c>
      <c r="B714" s="1" t="s">
        <v>326</v>
      </c>
      <c r="C714" s="2">
        <v>46159</v>
      </c>
      <c r="D714" s="1" t="s">
        <v>3648</v>
      </c>
      <c r="E714" s="1" t="s">
        <v>3645</v>
      </c>
    </row>
    <row r="715" spans="1:5" x14ac:dyDescent="0.3">
      <c r="A715" s="1" t="s">
        <v>3130</v>
      </c>
      <c r="B715" s="1" t="s">
        <v>771</v>
      </c>
      <c r="C715" s="2">
        <v>45864</v>
      </c>
      <c r="D715" s="1" t="s">
        <v>3648</v>
      </c>
      <c r="E715" s="1" t="s">
        <v>3645</v>
      </c>
    </row>
    <row r="716" spans="1:5" x14ac:dyDescent="0.3">
      <c r="A716" s="1" t="s">
        <v>3134</v>
      </c>
      <c r="B716" s="1" t="s">
        <v>406</v>
      </c>
      <c r="C716" s="2">
        <v>46129</v>
      </c>
      <c r="D716" s="1" t="s">
        <v>3648</v>
      </c>
      <c r="E716" s="1" t="s">
        <v>3647</v>
      </c>
    </row>
    <row r="717" spans="1:5" x14ac:dyDescent="0.3">
      <c r="A717" s="1" t="s">
        <v>3136</v>
      </c>
      <c r="B717" s="1" t="s">
        <v>510</v>
      </c>
      <c r="C717" s="2">
        <v>46094</v>
      </c>
      <c r="D717" s="1" t="s">
        <v>3646</v>
      </c>
      <c r="E717" s="1" t="s">
        <v>3651</v>
      </c>
    </row>
    <row r="718" spans="1:5" x14ac:dyDescent="0.3">
      <c r="A718" s="1" t="s">
        <v>3139</v>
      </c>
      <c r="B718" s="1" t="s">
        <v>312</v>
      </c>
      <c r="C718" s="2">
        <v>46029</v>
      </c>
      <c r="D718" s="1" t="s">
        <v>3646</v>
      </c>
      <c r="E718" s="1" t="s">
        <v>3645</v>
      </c>
    </row>
    <row r="719" spans="1:5" x14ac:dyDescent="0.3">
      <c r="A719" s="1" t="s">
        <v>3141</v>
      </c>
      <c r="B719" s="1" t="s">
        <v>97</v>
      </c>
      <c r="C719" s="2">
        <v>45946</v>
      </c>
      <c r="D719" s="1" t="s">
        <v>3648</v>
      </c>
      <c r="E719" s="1" t="s">
        <v>3645</v>
      </c>
    </row>
    <row r="720" spans="1:5" x14ac:dyDescent="0.3">
      <c r="A720" s="1" t="s">
        <v>3143</v>
      </c>
      <c r="B720" s="1" t="s">
        <v>295</v>
      </c>
      <c r="C720" s="2">
        <v>46021</v>
      </c>
      <c r="D720" s="1" t="s">
        <v>3648</v>
      </c>
      <c r="E720" s="1" t="s">
        <v>3653</v>
      </c>
    </row>
    <row r="721" spans="1:5" x14ac:dyDescent="0.3">
      <c r="A721" s="1" t="s">
        <v>3145</v>
      </c>
      <c r="B721" s="1" t="s">
        <v>481</v>
      </c>
      <c r="C721" s="2">
        <v>46006</v>
      </c>
      <c r="D721" s="1" t="s">
        <v>3644</v>
      </c>
      <c r="E721" s="1" t="s">
        <v>3647</v>
      </c>
    </row>
    <row r="722" spans="1:5" x14ac:dyDescent="0.3">
      <c r="A722" s="1" t="s">
        <v>3148</v>
      </c>
      <c r="B722" s="1" t="s">
        <v>963</v>
      </c>
      <c r="C722" s="2">
        <v>46036</v>
      </c>
      <c r="D722" s="1" t="s">
        <v>3648</v>
      </c>
      <c r="E722" s="1" t="s">
        <v>3645</v>
      </c>
    </row>
    <row r="723" spans="1:5" x14ac:dyDescent="0.3">
      <c r="A723" s="1" t="s">
        <v>3152</v>
      </c>
      <c r="B723" s="1" t="s">
        <v>502</v>
      </c>
      <c r="C723" s="2">
        <v>46069</v>
      </c>
      <c r="D723" s="1" t="s">
        <v>3646</v>
      </c>
      <c r="E723" s="1" t="s">
        <v>3649</v>
      </c>
    </row>
    <row r="724" spans="1:5" x14ac:dyDescent="0.3">
      <c r="A724" s="1" t="s">
        <v>3154</v>
      </c>
      <c r="B724" s="1" t="s">
        <v>78</v>
      </c>
      <c r="C724" s="2">
        <v>45910</v>
      </c>
      <c r="D724" s="1" t="s">
        <v>3644</v>
      </c>
      <c r="E724" s="1" t="s">
        <v>3647</v>
      </c>
    </row>
    <row r="725" spans="1:5" x14ac:dyDescent="0.3">
      <c r="A725" s="1" t="s">
        <v>3158</v>
      </c>
      <c r="B725" s="1" t="s">
        <v>1041</v>
      </c>
      <c r="C725" s="2">
        <v>46085</v>
      </c>
      <c r="D725" s="1" t="s">
        <v>3655</v>
      </c>
      <c r="E725" s="1" t="s">
        <v>3649</v>
      </c>
    </row>
    <row r="726" spans="1:5" x14ac:dyDescent="0.3">
      <c r="A726" s="1" t="s">
        <v>3160</v>
      </c>
      <c r="B726" s="1" t="s">
        <v>197</v>
      </c>
      <c r="C726" s="2">
        <v>45794</v>
      </c>
      <c r="D726" s="1" t="s">
        <v>3648</v>
      </c>
      <c r="E726" s="1" t="s">
        <v>3649</v>
      </c>
    </row>
    <row r="727" spans="1:5" x14ac:dyDescent="0.3">
      <c r="A727" s="1" t="s">
        <v>3163</v>
      </c>
      <c r="B727" s="1" t="s">
        <v>248</v>
      </c>
      <c r="C727" s="2">
        <v>46020</v>
      </c>
      <c r="D727" s="1" t="s">
        <v>3648</v>
      </c>
      <c r="E727" s="1" t="s">
        <v>3649</v>
      </c>
    </row>
    <row r="728" spans="1:5" x14ac:dyDescent="0.3">
      <c r="A728" s="1" t="s">
        <v>3165</v>
      </c>
      <c r="B728" s="1" t="s">
        <v>262</v>
      </c>
      <c r="C728" s="2">
        <v>45770</v>
      </c>
      <c r="D728" s="1" t="s">
        <v>3648</v>
      </c>
      <c r="E728" s="1" t="s">
        <v>3647</v>
      </c>
    </row>
    <row r="729" spans="1:5" x14ac:dyDescent="0.3">
      <c r="A729" s="1" t="s">
        <v>3167</v>
      </c>
      <c r="B729" s="1" t="s">
        <v>707</v>
      </c>
      <c r="C729" s="2">
        <v>46191</v>
      </c>
      <c r="D729" s="1" t="s">
        <v>3652</v>
      </c>
      <c r="E729" s="1" t="s">
        <v>3651</v>
      </c>
    </row>
    <row r="730" spans="1:5" x14ac:dyDescent="0.3">
      <c r="A730" s="1" t="s">
        <v>3170</v>
      </c>
      <c r="B730" s="1" t="s">
        <v>1092</v>
      </c>
      <c r="C730" s="2">
        <v>45805</v>
      </c>
      <c r="D730" s="1" t="s">
        <v>3652</v>
      </c>
      <c r="E730" s="1" t="s">
        <v>3651</v>
      </c>
    </row>
    <row r="731" spans="1:5" x14ac:dyDescent="0.3">
      <c r="A731" s="1" t="s">
        <v>3174</v>
      </c>
      <c r="B731" s="1" t="s">
        <v>63</v>
      </c>
      <c r="C731" s="2">
        <v>46212</v>
      </c>
      <c r="D731" s="1" t="s">
        <v>3644</v>
      </c>
      <c r="E731" s="1" t="s">
        <v>3649</v>
      </c>
    </row>
    <row r="732" spans="1:5" x14ac:dyDescent="0.3">
      <c r="A732" s="1" t="s">
        <v>3176</v>
      </c>
      <c r="B732" s="1" t="s">
        <v>840</v>
      </c>
      <c r="C732" s="2">
        <v>45844</v>
      </c>
      <c r="D732" s="1" t="s">
        <v>3646</v>
      </c>
      <c r="E732" s="1" t="s">
        <v>3651</v>
      </c>
    </row>
    <row r="733" spans="1:5" x14ac:dyDescent="0.3">
      <c r="A733" s="1" t="s">
        <v>3178</v>
      </c>
      <c r="B733" s="1" t="s">
        <v>631</v>
      </c>
      <c r="C733" s="2">
        <v>45999</v>
      </c>
      <c r="D733" s="1" t="s">
        <v>3648</v>
      </c>
      <c r="E733" s="1" t="s">
        <v>3647</v>
      </c>
    </row>
    <row r="734" spans="1:5" x14ac:dyDescent="0.3">
      <c r="A734" s="1" t="s">
        <v>3180</v>
      </c>
      <c r="B734" s="1" t="s">
        <v>115</v>
      </c>
      <c r="C734" s="2">
        <v>45788</v>
      </c>
      <c r="D734" s="1" t="s">
        <v>3648</v>
      </c>
      <c r="E734" s="1" t="s">
        <v>3650</v>
      </c>
    </row>
    <row r="735" spans="1:5" x14ac:dyDescent="0.3">
      <c r="A735" s="1" t="s">
        <v>3183</v>
      </c>
      <c r="B735" s="1" t="s">
        <v>818</v>
      </c>
      <c r="C735" s="2">
        <v>46046</v>
      </c>
      <c r="D735" s="1" t="s">
        <v>3646</v>
      </c>
      <c r="E735" s="1" t="s">
        <v>3647</v>
      </c>
    </row>
    <row r="736" spans="1:5" x14ac:dyDescent="0.3">
      <c r="A736" s="1" t="s">
        <v>3185</v>
      </c>
      <c r="B736" s="1" t="s">
        <v>934</v>
      </c>
      <c r="C736" s="2">
        <v>46192</v>
      </c>
      <c r="D736" s="1" t="s">
        <v>3648</v>
      </c>
      <c r="E736" s="1" t="s">
        <v>3647</v>
      </c>
    </row>
    <row r="737" spans="1:5" x14ac:dyDescent="0.3">
      <c r="A737" s="1" t="s">
        <v>3189</v>
      </c>
      <c r="B737" s="1" t="s">
        <v>341</v>
      </c>
      <c r="C737" s="2">
        <v>46094</v>
      </c>
      <c r="D737" s="1" t="s">
        <v>3648</v>
      </c>
      <c r="E737" s="1" t="s">
        <v>3649</v>
      </c>
    </row>
    <row r="738" spans="1:5" x14ac:dyDescent="0.3">
      <c r="A738" s="1" t="s">
        <v>3192</v>
      </c>
      <c r="B738" s="1" t="s">
        <v>527</v>
      </c>
      <c r="C738" s="2">
        <v>46022</v>
      </c>
      <c r="D738" s="1" t="s">
        <v>3648</v>
      </c>
      <c r="E738" s="1" t="s">
        <v>3653</v>
      </c>
    </row>
    <row r="739" spans="1:5" x14ac:dyDescent="0.3">
      <c r="A739" s="1" t="s">
        <v>3194</v>
      </c>
      <c r="B739" s="1" t="s">
        <v>298</v>
      </c>
      <c r="C739" s="2">
        <v>46118</v>
      </c>
      <c r="D739" s="1" t="s">
        <v>3648</v>
      </c>
      <c r="E739" s="1" t="s">
        <v>3650</v>
      </c>
    </row>
    <row r="740" spans="1:5" x14ac:dyDescent="0.3">
      <c r="A740" s="1" t="s">
        <v>3198</v>
      </c>
      <c r="B740" s="1" t="s">
        <v>474</v>
      </c>
      <c r="C740" s="2">
        <v>45874</v>
      </c>
      <c r="D740" s="1" t="s">
        <v>3652</v>
      </c>
      <c r="E740" s="1" t="s">
        <v>3647</v>
      </c>
    </row>
    <row r="741" spans="1:5" x14ac:dyDescent="0.3">
      <c r="A741" s="1" t="s">
        <v>3201</v>
      </c>
      <c r="B741" s="1" t="s">
        <v>778</v>
      </c>
      <c r="C741" s="2">
        <v>45934</v>
      </c>
      <c r="D741" s="1" t="s">
        <v>3646</v>
      </c>
      <c r="E741" s="1" t="s">
        <v>3647</v>
      </c>
    </row>
    <row r="742" spans="1:5" x14ac:dyDescent="0.3">
      <c r="A742" s="1" t="s">
        <v>3205</v>
      </c>
      <c r="B742" s="1" t="s">
        <v>137</v>
      </c>
      <c r="C742" s="2">
        <v>46066</v>
      </c>
      <c r="D742" s="1" t="s">
        <v>3648</v>
      </c>
      <c r="E742" s="1" t="s">
        <v>3647</v>
      </c>
    </row>
    <row r="743" spans="1:5" x14ac:dyDescent="0.3">
      <c r="A743" s="1" t="s">
        <v>3207</v>
      </c>
      <c r="B743" s="1" t="s">
        <v>277</v>
      </c>
      <c r="C743" s="2">
        <v>45772</v>
      </c>
      <c r="D743" s="1" t="s">
        <v>3648</v>
      </c>
      <c r="E743" s="1" t="s">
        <v>3650</v>
      </c>
    </row>
    <row r="744" spans="1:5" x14ac:dyDescent="0.3">
      <c r="A744" s="1" t="s">
        <v>3210</v>
      </c>
      <c r="B744" s="1" t="s">
        <v>481</v>
      </c>
      <c r="C744" s="2">
        <v>46243</v>
      </c>
      <c r="D744" s="1" t="s">
        <v>3652</v>
      </c>
      <c r="E744" s="1" t="s">
        <v>3650</v>
      </c>
    </row>
    <row r="745" spans="1:5" x14ac:dyDescent="0.3">
      <c r="A745" s="1" t="s">
        <v>3212</v>
      </c>
      <c r="B745" s="1" t="s">
        <v>54</v>
      </c>
      <c r="C745" s="2">
        <v>45848</v>
      </c>
      <c r="D745" s="1" t="s">
        <v>3644</v>
      </c>
      <c r="E745" s="1" t="s">
        <v>3645</v>
      </c>
    </row>
    <row r="746" spans="1:5" x14ac:dyDescent="0.3">
      <c r="A746" s="1" t="s">
        <v>3214</v>
      </c>
      <c r="B746" s="1" t="s">
        <v>902</v>
      </c>
      <c r="C746" s="2">
        <v>46003</v>
      </c>
      <c r="D746" s="1" t="s">
        <v>3648</v>
      </c>
      <c r="E746" s="1" t="s">
        <v>3647</v>
      </c>
    </row>
    <row r="747" spans="1:5" x14ac:dyDescent="0.3">
      <c r="A747" s="1" t="s">
        <v>3216</v>
      </c>
      <c r="B747" s="1" t="s">
        <v>656</v>
      </c>
      <c r="C747" s="2">
        <v>46221</v>
      </c>
      <c r="D747" s="1" t="s">
        <v>3646</v>
      </c>
      <c r="E747" s="1" t="s">
        <v>3650</v>
      </c>
    </row>
    <row r="748" spans="1:5" x14ac:dyDescent="0.3">
      <c r="A748" s="1" t="s">
        <v>3218</v>
      </c>
      <c r="B748" s="1" t="s">
        <v>613</v>
      </c>
      <c r="C748" s="2">
        <v>45777</v>
      </c>
      <c r="D748" s="1" t="s">
        <v>3648</v>
      </c>
      <c r="E748" s="1" t="s">
        <v>3649</v>
      </c>
    </row>
    <row r="749" spans="1:5" x14ac:dyDescent="0.3">
      <c r="A749" s="1" t="s">
        <v>3220</v>
      </c>
      <c r="B749" s="1" t="s">
        <v>70</v>
      </c>
      <c r="C749" s="2">
        <v>46172</v>
      </c>
      <c r="D749" s="1" t="s">
        <v>3648</v>
      </c>
      <c r="E749" s="1" t="s">
        <v>3649</v>
      </c>
    </row>
    <row r="750" spans="1:5" x14ac:dyDescent="0.3">
      <c r="A750" s="1" t="s">
        <v>3223</v>
      </c>
      <c r="B750" s="1" t="s">
        <v>78</v>
      </c>
      <c r="C750" s="2">
        <v>45767</v>
      </c>
      <c r="D750" s="1" t="s">
        <v>3646</v>
      </c>
      <c r="E750" s="1" t="s">
        <v>3645</v>
      </c>
    </row>
    <row r="751" spans="1:5" x14ac:dyDescent="0.3">
      <c r="A751" s="1" t="s">
        <v>3226</v>
      </c>
      <c r="B751" s="1" t="s">
        <v>130</v>
      </c>
      <c r="C751" s="2">
        <v>46039</v>
      </c>
      <c r="D751" s="1" t="s">
        <v>3646</v>
      </c>
      <c r="E751" s="1" t="s">
        <v>3647</v>
      </c>
    </row>
    <row r="752" spans="1:5" x14ac:dyDescent="0.3">
      <c r="A752" s="1" t="s">
        <v>3231</v>
      </c>
      <c r="B752" s="1" t="s">
        <v>995</v>
      </c>
      <c r="C752" s="2">
        <v>46248</v>
      </c>
      <c r="D752" s="1" t="s">
        <v>3648</v>
      </c>
      <c r="E752" s="1" t="s">
        <v>3650</v>
      </c>
    </row>
    <row r="753" spans="1:5" x14ac:dyDescent="0.3">
      <c r="A753" s="1" t="s">
        <v>3233</v>
      </c>
      <c r="B753" s="1" t="s">
        <v>453</v>
      </c>
      <c r="C753" s="2">
        <v>45961</v>
      </c>
      <c r="D753" s="1" t="s">
        <v>3644</v>
      </c>
      <c r="E753" s="1" t="s">
        <v>3651</v>
      </c>
    </row>
    <row r="754" spans="1:5" x14ac:dyDescent="0.3">
      <c r="A754" s="1" t="s">
        <v>3235</v>
      </c>
      <c r="B754" s="1" t="s">
        <v>477</v>
      </c>
      <c r="C754" s="2">
        <v>45936</v>
      </c>
      <c r="D754" s="1" t="s">
        <v>3652</v>
      </c>
      <c r="E754" s="1" t="s">
        <v>3645</v>
      </c>
    </row>
    <row r="755" spans="1:5" x14ac:dyDescent="0.3">
      <c r="A755" s="1" t="s">
        <v>3237</v>
      </c>
      <c r="B755" s="1" t="s">
        <v>1002</v>
      </c>
      <c r="C755" s="2">
        <v>46122</v>
      </c>
      <c r="D755" s="1" t="s">
        <v>3646</v>
      </c>
      <c r="E755" s="1" t="s">
        <v>3651</v>
      </c>
    </row>
    <row r="756" spans="1:5" x14ac:dyDescent="0.3">
      <c r="A756" s="1" t="s">
        <v>3239</v>
      </c>
      <c r="B756" s="1" t="s">
        <v>427</v>
      </c>
      <c r="C756" s="2">
        <v>46185</v>
      </c>
      <c r="D756" s="1" t="s">
        <v>3652</v>
      </c>
      <c r="E756" s="1" t="s">
        <v>3653</v>
      </c>
    </row>
    <row r="757" spans="1:5" x14ac:dyDescent="0.3">
      <c r="A757" s="1" t="s">
        <v>3241</v>
      </c>
      <c r="B757" s="1" t="s">
        <v>735</v>
      </c>
      <c r="C757" s="2">
        <v>45879</v>
      </c>
      <c r="D757" s="1" t="s">
        <v>3648</v>
      </c>
      <c r="E757" s="1" t="s">
        <v>3649</v>
      </c>
    </row>
    <row r="758" spans="1:5" x14ac:dyDescent="0.3">
      <c r="A758" s="1" t="s">
        <v>3243</v>
      </c>
      <c r="B758" s="1" t="s">
        <v>348</v>
      </c>
      <c r="C758" s="2">
        <v>45756</v>
      </c>
      <c r="D758" s="1" t="s">
        <v>3648</v>
      </c>
      <c r="E758" s="1" t="s">
        <v>3645</v>
      </c>
    </row>
    <row r="759" spans="1:5" x14ac:dyDescent="0.3">
      <c r="A759" s="1" t="s">
        <v>3245</v>
      </c>
      <c r="B759" s="1" t="s">
        <v>682</v>
      </c>
      <c r="C759" s="2">
        <v>45772</v>
      </c>
      <c r="D759" s="1" t="s">
        <v>3646</v>
      </c>
      <c r="E759" s="1" t="s">
        <v>3651</v>
      </c>
    </row>
    <row r="760" spans="1:5" x14ac:dyDescent="0.3">
      <c r="A760" s="1" t="s">
        <v>3247</v>
      </c>
      <c r="B760" s="1" t="s">
        <v>670</v>
      </c>
      <c r="C760" s="2">
        <v>45900</v>
      </c>
      <c r="D760" s="1" t="s">
        <v>3644</v>
      </c>
      <c r="E760" s="1" t="s">
        <v>3650</v>
      </c>
    </row>
    <row r="761" spans="1:5" x14ac:dyDescent="0.3">
      <c r="A761" s="1" t="s">
        <v>3251</v>
      </c>
      <c r="B761" s="1" t="s">
        <v>283</v>
      </c>
      <c r="C761" s="2">
        <v>46251</v>
      </c>
      <c r="D761" s="1" t="s">
        <v>3652</v>
      </c>
      <c r="E761" s="1" t="s">
        <v>3649</v>
      </c>
    </row>
    <row r="762" spans="1:5" x14ac:dyDescent="0.3">
      <c r="A762" s="1" t="s">
        <v>3254</v>
      </c>
      <c r="B762" s="1" t="s">
        <v>926</v>
      </c>
      <c r="C762" s="2">
        <v>46260</v>
      </c>
      <c r="D762" s="1" t="s">
        <v>3648</v>
      </c>
      <c r="E762" s="1" t="s">
        <v>3649</v>
      </c>
    </row>
    <row r="763" spans="1:5" x14ac:dyDescent="0.3">
      <c r="A763" s="1" t="s">
        <v>3256</v>
      </c>
      <c r="B763" s="1" t="s">
        <v>924</v>
      </c>
      <c r="C763" s="2">
        <v>45787</v>
      </c>
      <c r="D763" s="1" t="s">
        <v>3648</v>
      </c>
      <c r="E763" s="1" t="s">
        <v>3651</v>
      </c>
    </row>
    <row r="764" spans="1:5" x14ac:dyDescent="0.3">
      <c r="A764" s="1" t="s">
        <v>3258</v>
      </c>
      <c r="B764" s="1" t="s">
        <v>453</v>
      </c>
      <c r="C764" s="2">
        <v>46131</v>
      </c>
      <c r="D764" s="1" t="s">
        <v>3652</v>
      </c>
      <c r="E764" s="1" t="s">
        <v>3651</v>
      </c>
    </row>
    <row r="765" spans="1:5" x14ac:dyDescent="0.3">
      <c r="A765" s="1" t="s">
        <v>3260</v>
      </c>
      <c r="B765" s="1" t="s">
        <v>988</v>
      </c>
      <c r="C765" s="2">
        <v>46025</v>
      </c>
      <c r="D765" s="1" t="s">
        <v>3648</v>
      </c>
      <c r="E765" s="1" t="s">
        <v>3645</v>
      </c>
    </row>
    <row r="766" spans="1:5" x14ac:dyDescent="0.3">
      <c r="A766" s="1" t="s">
        <v>3263</v>
      </c>
      <c r="B766" s="1" t="s">
        <v>395</v>
      </c>
      <c r="C766" s="2">
        <v>45837</v>
      </c>
      <c r="D766" s="1" t="s">
        <v>3646</v>
      </c>
      <c r="E766" s="1" t="s">
        <v>3645</v>
      </c>
    </row>
    <row r="767" spans="1:5" x14ac:dyDescent="0.3">
      <c r="A767" s="1" t="s">
        <v>3265</v>
      </c>
      <c r="B767" s="1" t="s">
        <v>348</v>
      </c>
      <c r="C767" s="2">
        <v>46022</v>
      </c>
      <c r="D767" s="1" t="s">
        <v>3646</v>
      </c>
      <c r="E767" s="1" t="s">
        <v>3645</v>
      </c>
    </row>
    <row r="768" spans="1:5" x14ac:dyDescent="0.3">
      <c r="A768" s="1" t="s">
        <v>3268</v>
      </c>
      <c r="B768" s="1" t="s">
        <v>133</v>
      </c>
      <c r="C768" s="2">
        <v>45870</v>
      </c>
      <c r="D768" s="1" t="s">
        <v>3648</v>
      </c>
      <c r="E768" s="1" t="s">
        <v>3650</v>
      </c>
    </row>
    <row r="769" spans="1:5" x14ac:dyDescent="0.3">
      <c r="A769" s="1" t="s">
        <v>3271</v>
      </c>
      <c r="B769" s="1" t="s">
        <v>283</v>
      </c>
      <c r="C769" s="2">
        <v>46076</v>
      </c>
      <c r="D769" s="1" t="s">
        <v>3655</v>
      </c>
      <c r="E769" s="1" t="s">
        <v>3650</v>
      </c>
    </row>
    <row r="770" spans="1:5" x14ac:dyDescent="0.3">
      <c r="A770" s="1" t="s">
        <v>3274</v>
      </c>
      <c r="B770" s="1" t="s">
        <v>692</v>
      </c>
      <c r="C770" s="2">
        <v>45832</v>
      </c>
      <c r="D770" s="1" t="s">
        <v>3644</v>
      </c>
      <c r="E770" s="1" t="s">
        <v>3645</v>
      </c>
    </row>
    <row r="771" spans="1:5" x14ac:dyDescent="0.3">
      <c r="A771" s="1" t="s">
        <v>3276</v>
      </c>
      <c r="B771" s="1" t="s">
        <v>750</v>
      </c>
      <c r="C771" s="2">
        <v>46144</v>
      </c>
      <c r="D771" s="1" t="s">
        <v>3652</v>
      </c>
      <c r="E771" s="1" t="s">
        <v>3645</v>
      </c>
    </row>
    <row r="772" spans="1:5" x14ac:dyDescent="0.3">
      <c r="A772" s="1" t="s">
        <v>3279</v>
      </c>
      <c r="B772" s="1" t="s">
        <v>578</v>
      </c>
      <c r="C772" s="2">
        <v>45961</v>
      </c>
      <c r="D772" s="1" t="s">
        <v>3648</v>
      </c>
      <c r="E772" s="1" t="s">
        <v>3649</v>
      </c>
    </row>
    <row r="773" spans="1:5" x14ac:dyDescent="0.3">
      <c r="A773" s="1" t="s">
        <v>3283</v>
      </c>
      <c r="B773" s="1" t="s">
        <v>825</v>
      </c>
      <c r="C773" s="2">
        <v>45791</v>
      </c>
      <c r="D773" s="1" t="s">
        <v>3655</v>
      </c>
      <c r="E773" s="1" t="s">
        <v>3647</v>
      </c>
    </row>
    <row r="774" spans="1:5" x14ac:dyDescent="0.3">
      <c r="A774" s="1" t="s">
        <v>3285</v>
      </c>
      <c r="B774" s="1" t="s">
        <v>606</v>
      </c>
      <c r="C774" s="2">
        <v>46083</v>
      </c>
      <c r="D774" s="1" t="s">
        <v>3648</v>
      </c>
      <c r="E774" s="1" t="s">
        <v>3653</v>
      </c>
    </row>
    <row r="775" spans="1:5" x14ac:dyDescent="0.3">
      <c r="A775" s="1" t="s">
        <v>3287</v>
      </c>
      <c r="B775" s="1" t="s">
        <v>1053</v>
      </c>
      <c r="C775" s="2">
        <v>45930</v>
      </c>
      <c r="D775" s="1" t="s">
        <v>3652</v>
      </c>
      <c r="E775" s="1" t="s">
        <v>3650</v>
      </c>
    </row>
    <row r="776" spans="1:5" x14ac:dyDescent="0.3">
      <c r="A776" s="1" t="s">
        <v>3289</v>
      </c>
      <c r="B776" s="1" t="s">
        <v>678</v>
      </c>
      <c r="C776" s="2">
        <v>45985</v>
      </c>
      <c r="D776" s="1" t="s">
        <v>3648</v>
      </c>
      <c r="E776" s="1" t="s">
        <v>3650</v>
      </c>
    </row>
    <row r="777" spans="1:5" x14ac:dyDescent="0.3">
      <c r="A777" s="1" t="s">
        <v>3292</v>
      </c>
      <c r="B777" s="1" t="s">
        <v>345</v>
      </c>
      <c r="C777" s="2">
        <v>46098</v>
      </c>
      <c r="D777" s="1" t="s">
        <v>3648</v>
      </c>
      <c r="E777" s="1" t="s">
        <v>3645</v>
      </c>
    </row>
    <row r="778" spans="1:5" x14ac:dyDescent="0.3">
      <c r="A778" s="1" t="s">
        <v>3296</v>
      </c>
      <c r="B778" s="1" t="s">
        <v>259</v>
      </c>
      <c r="C778" s="2">
        <v>46217</v>
      </c>
      <c r="D778" s="1" t="s">
        <v>3648</v>
      </c>
      <c r="E778" s="1" t="s">
        <v>3651</v>
      </c>
    </row>
    <row r="779" spans="1:5" x14ac:dyDescent="0.3">
      <c r="A779" s="1" t="s">
        <v>3298</v>
      </c>
      <c r="B779" s="1" t="s">
        <v>1074</v>
      </c>
      <c r="C779" s="2">
        <v>45825</v>
      </c>
      <c r="D779" s="1" t="s">
        <v>3648</v>
      </c>
      <c r="E779" s="1" t="s">
        <v>3650</v>
      </c>
    </row>
    <row r="780" spans="1:5" x14ac:dyDescent="0.3">
      <c r="A780" s="1" t="s">
        <v>3300</v>
      </c>
      <c r="B780" s="1" t="s">
        <v>81</v>
      </c>
      <c r="C780" s="2">
        <v>45832</v>
      </c>
      <c r="D780" s="1" t="s">
        <v>3648</v>
      </c>
      <c r="E780" s="1" t="s">
        <v>3645</v>
      </c>
    </row>
    <row r="781" spans="1:5" x14ac:dyDescent="0.3">
      <c r="A781" s="1" t="s">
        <v>3303</v>
      </c>
      <c r="B781" s="1" t="s">
        <v>431</v>
      </c>
      <c r="C781" s="2">
        <v>45954</v>
      </c>
      <c r="D781" s="1" t="s">
        <v>3652</v>
      </c>
      <c r="E781" s="1" t="s">
        <v>3651</v>
      </c>
    </row>
    <row r="782" spans="1:5" x14ac:dyDescent="0.3">
      <c r="A782" s="1" t="s">
        <v>3306</v>
      </c>
      <c r="B782" s="1" t="s">
        <v>934</v>
      </c>
      <c r="C782" s="2">
        <v>45918</v>
      </c>
      <c r="D782" s="1" t="s">
        <v>3648</v>
      </c>
      <c r="E782" s="1" t="s">
        <v>3651</v>
      </c>
    </row>
    <row r="783" spans="1:5" x14ac:dyDescent="0.3">
      <c r="A783" s="1" t="s">
        <v>3310</v>
      </c>
      <c r="B783" s="1" t="s">
        <v>459</v>
      </c>
      <c r="C783" s="2">
        <v>45820</v>
      </c>
      <c r="D783" s="1" t="s">
        <v>3648</v>
      </c>
      <c r="E783" s="1" t="s">
        <v>3645</v>
      </c>
    </row>
    <row r="784" spans="1:5" x14ac:dyDescent="0.3">
      <c r="A784" s="1" t="s">
        <v>3313</v>
      </c>
      <c r="B784" s="1" t="s">
        <v>330</v>
      </c>
      <c r="C784" s="2">
        <v>46281</v>
      </c>
      <c r="D784" s="1" t="s">
        <v>3652</v>
      </c>
      <c r="E784" s="1" t="s">
        <v>3651</v>
      </c>
    </row>
    <row r="785" spans="1:5" x14ac:dyDescent="0.3">
      <c r="A785" s="1" t="s">
        <v>3315</v>
      </c>
      <c r="B785" s="1" t="s">
        <v>639</v>
      </c>
      <c r="C785" s="2">
        <v>45976</v>
      </c>
      <c r="D785" s="1" t="s">
        <v>3648</v>
      </c>
      <c r="E785" s="1" t="s">
        <v>3645</v>
      </c>
    </row>
    <row r="786" spans="1:5" x14ac:dyDescent="0.3">
      <c r="A786" s="1" t="s">
        <v>3318</v>
      </c>
      <c r="B786" s="1" t="s">
        <v>410</v>
      </c>
      <c r="C786" s="2">
        <v>45927</v>
      </c>
      <c r="D786" s="1" t="s">
        <v>3648</v>
      </c>
      <c r="E786" s="1" t="s">
        <v>3651</v>
      </c>
    </row>
    <row r="787" spans="1:5" x14ac:dyDescent="0.3">
      <c r="A787" s="1" t="s">
        <v>3321</v>
      </c>
      <c r="B787" s="1" t="s">
        <v>668</v>
      </c>
      <c r="C787" s="2">
        <v>45906</v>
      </c>
      <c r="D787" s="1" t="s">
        <v>3648</v>
      </c>
      <c r="E787" s="1" t="s">
        <v>3651</v>
      </c>
    </row>
    <row r="788" spans="1:5" x14ac:dyDescent="0.3">
      <c r="A788" s="1" t="s">
        <v>3323</v>
      </c>
      <c r="B788" s="1" t="s">
        <v>10</v>
      </c>
      <c r="C788" s="2">
        <v>46277</v>
      </c>
      <c r="D788" s="1" t="s">
        <v>3648</v>
      </c>
      <c r="E788" s="1" t="s">
        <v>3647</v>
      </c>
    </row>
    <row r="789" spans="1:5" x14ac:dyDescent="0.3">
      <c r="A789" s="1" t="s">
        <v>3325</v>
      </c>
      <c r="B789" s="1" t="s">
        <v>793</v>
      </c>
      <c r="C789" s="2">
        <v>45911</v>
      </c>
      <c r="D789" s="1" t="s">
        <v>3644</v>
      </c>
      <c r="E789" s="1" t="s">
        <v>3647</v>
      </c>
    </row>
    <row r="790" spans="1:5" x14ac:dyDescent="0.3">
      <c r="A790" s="1" t="s">
        <v>3328</v>
      </c>
      <c r="B790" s="1" t="s">
        <v>926</v>
      </c>
      <c r="C790" s="2">
        <v>45937</v>
      </c>
      <c r="D790" s="1" t="s">
        <v>3646</v>
      </c>
      <c r="E790" s="1" t="s">
        <v>3645</v>
      </c>
    </row>
    <row r="791" spans="1:5" x14ac:dyDescent="0.3">
      <c r="A791" s="1" t="s">
        <v>3330</v>
      </c>
      <c r="B791" s="1" t="s">
        <v>1024</v>
      </c>
      <c r="C791" s="2">
        <v>46152</v>
      </c>
      <c r="D791" s="1" t="s">
        <v>3648</v>
      </c>
      <c r="E791" s="1" t="s">
        <v>3647</v>
      </c>
    </row>
    <row r="792" spans="1:5" x14ac:dyDescent="0.3">
      <c r="A792" s="1" t="s">
        <v>3332</v>
      </c>
      <c r="B792" s="1" t="s">
        <v>1081</v>
      </c>
      <c r="C792" s="2">
        <v>45969</v>
      </c>
      <c r="D792" s="1" t="s">
        <v>3652</v>
      </c>
      <c r="E792" s="1" t="s">
        <v>3653</v>
      </c>
    </row>
    <row r="793" spans="1:5" x14ac:dyDescent="0.3">
      <c r="A793" s="1" t="s">
        <v>3334</v>
      </c>
      <c r="B793" s="1" t="s">
        <v>438</v>
      </c>
      <c r="C793" s="2">
        <v>46131</v>
      </c>
      <c r="D793" s="1" t="s">
        <v>3648</v>
      </c>
      <c r="E793" s="1" t="s">
        <v>3651</v>
      </c>
    </row>
    <row r="794" spans="1:5" x14ac:dyDescent="0.3">
      <c r="A794" s="1" t="s">
        <v>3337</v>
      </c>
      <c r="B794" s="1" t="s">
        <v>85</v>
      </c>
      <c r="C794" s="2">
        <v>46067</v>
      </c>
      <c r="D794" s="1" t="s">
        <v>3648</v>
      </c>
      <c r="E794" s="1" t="s">
        <v>3645</v>
      </c>
    </row>
    <row r="795" spans="1:5" x14ac:dyDescent="0.3">
      <c r="A795" s="1" t="s">
        <v>3340</v>
      </c>
      <c r="B795" s="1" t="s">
        <v>502</v>
      </c>
      <c r="C795" s="2">
        <v>46042</v>
      </c>
      <c r="D795" s="1" t="s">
        <v>3644</v>
      </c>
      <c r="E795" s="1" t="s">
        <v>3651</v>
      </c>
    </row>
    <row r="796" spans="1:5" x14ac:dyDescent="0.3">
      <c r="A796" s="1" t="s">
        <v>3343</v>
      </c>
      <c r="B796" s="1" t="s">
        <v>653</v>
      </c>
      <c r="C796" s="2">
        <v>45851</v>
      </c>
      <c r="D796" s="1" t="s">
        <v>3648</v>
      </c>
      <c r="E796" s="1" t="s">
        <v>3647</v>
      </c>
    </row>
    <row r="797" spans="1:5" x14ac:dyDescent="0.3">
      <c r="A797" s="1" t="s">
        <v>3346</v>
      </c>
      <c r="B797" s="1" t="s">
        <v>320</v>
      </c>
      <c r="C797" s="2">
        <v>46153</v>
      </c>
      <c r="D797" s="1" t="s">
        <v>3655</v>
      </c>
      <c r="E797" s="1" t="s">
        <v>3650</v>
      </c>
    </row>
    <row r="798" spans="1:5" x14ac:dyDescent="0.3">
      <c r="A798" s="1" t="s">
        <v>3350</v>
      </c>
      <c r="B798" s="1" t="s">
        <v>195</v>
      </c>
      <c r="C798" s="2">
        <v>46241</v>
      </c>
      <c r="D798" s="1" t="s">
        <v>3648</v>
      </c>
      <c r="E798" s="1" t="s">
        <v>3650</v>
      </c>
    </row>
    <row r="799" spans="1:5" x14ac:dyDescent="0.3">
      <c r="A799" s="1" t="s">
        <v>3352</v>
      </c>
      <c r="B799" s="1" t="s">
        <v>909</v>
      </c>
      <c r="C799" s="2">
        <v>45873</v>
      </c>
      <c r="D799" s="1" t="s">
        <v>3655</v>
      </c>
      <c r="E799" s="1" t="s">
        <v>3647</v>
      </c>
    </row>
    <row r="800" spans="1:5" x14ac:dyDescent="0.3">
      <c r="A800" s="1" t="s">
        <v>3354</v>
      </c>
      <c r="B800" s="1" t="s">
        <v>326</v>
      </c>
      <c r="C800" s="2">
        <v>46260</v>
      </c>
      <c r="D800" s="1" t="s">
        <v>3652</v>
      </c>
      <c r="E800" s="1" t="s">
        <v>3647</v>
      </c>
    </row>
    <row r="801" spans="1:5" x14ac:dyDescent="0.3">
      <c r="A801" s="1" t="s">
        <v>3356</v>
      </c>
      <c r="B801" s="1" t="s">
        <v>312</v>
      </c>
      <c r="C801" s="2">
        <v>45979</v>
      </c>
      <c r="D801" s="1" t="s">
        <v>3648</v>
      </c>
      <c r="E801" s="1" t="s">
        <v>3645</v>
      </c>
    </row>
    <row r="802" spans="1:5" x14ac:dyDescent="0.3">
      <c r="A802" s="1" t="s">
        <v>3359</v>
      </c>
      <c r="B802" s="1" t="s">
        <v>402</v>
      </c>
      <c r="C802" s="2">
        <v>45951</v>
      </c>
      <c r="D802" s="1" t="s">
        <v>3644</v>
      </c>
      <c r="E802" s="1" t="s">
        <v>3647</v>
      </c>
    </row>
    <row r="803" spans="1:5" x14ac:dyDescent="0.3">
      <c r="A803" s="1" t="s">
        <v>3362</v>
      </c>
      <c r="B803" s="1" t="s">
        <v>1038</v>
      </c>
      <c r="C803" s="2">
        <v>46132</v>
      </c>
      <c r="D803" s="1" t="s">
        <v>3655</v>
      </c>
      <c r="E803" s="1" t="s">
        <v>3650</v>
      </c>
    </row>
    <row r="804" spans="1:5" x14ac:dyDescent="0.3">
      <c r="A804" s="1" t="s">
        <v>3364</v>
      </c>
      <c r="B804" s="1" t="s">
        <v>510</v>
      </c>
      <c r="C804" s="2">
        <v>46272</v>
      </c>
      <c r="D804" s="1" t="s">
        <v>3652</v>
      </c>
      <c r="E804" s="1" t="s">
        <v>3645</v>
      </c>
    </row>
    <row r="805" spans="1:5" x14ac:dyDescent="0.3">
      <c r="A805" s="1" t="s">
        <v>3367</v>
      </c>
      <c r="B805" s="1" t="s">
        <v>459</v>
      </c>
      <c r="C805" s="2">
        <v>46060</v>
      </c>
      <c r="D805" s="1" t="s">
        <v>3648</v>
      </c>
      <c r="E805" s="1" t="s">
        <v>3647</v>
      </c>
    </row>
    <row r="806" spans="1:5" x14ac:dyDescent="0.3">
      <c r="A806" s="1" t="s">
        <v>3369</v>
      </c>
      <c r="B806" s="1" t="s">
        <v>1070</v>
      </c>
      <c r="C806" s="2">
        <v>46017</v>
      </c>
      <c r="D806" s="1" t="s">
        <v>3648</v>
      </c>
      <c r="E806" s="1" t="s">
        <v>3647</v>
      </c>
    </row>
    <row r="807" spans="1:5" x14ac:dyDescent="0.3">
      <c r="A807" s="1" t="s">
        <v>3371</v>
      </c>
      <c r="B807" s="1" t="s">
        <v>305</v>
      </c>
      <c r="C807" s="2">
        <v>46278</v>
      </c>
      <c r="D807" s="1" t="s">
        <v>3648</v>
      </c>
      <c r="E807" s="1" t="s">
        <v>3651</v>
      </c>
    </row>
    <row r="808" spans="1:5" x14ac:dyDescent="0.3">
      <c r="A808" s="1" t="s">
        <v>3374</v>
      </c>
      <c r="B808" s="1" t="s">
        <v>807</v>
      </c>
      <c r="C808" s="2">
        <v>45899</v>
      </c>
      <c r="D808" s="1" t="s">
        <v>3648</v>
      </c>
      <c r="E808" s="1" t="s">
        <v>3650</v>
      </c>
    </row>
    <row r="809" spans="1:5" x14ac:dyDescent="0.3">
      <c r="A809" s="1" t="s">
        <v>3377</v>
      </c>
      <c r="B809" s="1" t="s">
        <v>902</v>
      </c>
      <c r="C809" s="2">
        <v>45898</v>
      </c>
      <c r="D809" s="1" t="s">
        <v>3648</v>
      </c>
      <c r="E809" s="1" t="s">
        <v>3651</v>
      </c>
    </row>
    <row r="810" spans="1:5" x14ac:dyDescent="0.3">
      <c r="A810" s="1" t="s">
        <v>3379</v>
      </c>
      <c r="B810" s="1" t="s">
        <v>402</v>
      </c>
      <c r="C810" s="2">
        <v>45855</v>
      </c>
      <c r="D810" s="1" t="s">
        <v>3648</v>
      </c>
      <c r="E810" s="1" t="s">
        <v>3653</v>
      </c>
    </row>
    <row r="811" spans="1:5" x14ac:dyDescent="0.3">
      <c r="A811" s="1" t="s">
        <v>3382</v>
      </c>
      <c r="B811" s="1" t="s">
        <v>560</v>
      </c>
      <c r="C811" s="2">
        <v>46202</v>
      </c>
      <c r="D811" s="1" t="s">
        <v>3644</v>
      </c>
      <c r="E811" s="1" t="s">
        <v>3647</v>
      </c>
    </row>
    <row r="812" spans="1:5" x14ac:dyDescent="0.3">
      <c r="A812" s="1" t="s">
        <v>3385</v>
      </c>
      <c r="B812" s="1" t="s">
        <v>238</v>
      </c>
      <c r="C812" s="2">
        <v>45745</v>
      </c>
      <c r="D812" s="1" t="s">
        <v>3648</v>
      </c>
      <c r="E812" s="1" t="s">
        <v>3647</v>
      </c>
    </row>
    <row r="813" spans="1:5" x14ac:dyDescent="0.3">
      <c r="A813" s="1" t="s">
        <v>3387</v>
      </c>
      <c r="B813" s="1" t="s">
        <v>887</v>
      </c>
      <c r="C813" s="2">
        <v>46184</v>
      </c>
      <c r="D813" s="1" t="s">
        <v>3648</v>
      </c>
      <c r="E813" s="1" t="s">
        <v>3645</v>
      </c>
    </row>
    <row r="814" spans="1:5" x14ac:dyDescent="0.3">
      <c r="A814" s="1" t="s">
        <v>3389</v>
      </c>
      <c r="B814" s="1" t="s">
        <v>191</v>
      </c>
      <c r="C814" s="2">
        <v>46111</v>
      </c>
      <c r="D814" s="1" t="s">
        <v>3652</v>
      </c>
      <c r="E814" s="1" t="s">
        <v>3647</v>
      </c>
    </row>
    <row r="815" spans="1:5" x14ac:dyDescent="0.3">
      <c r="A815" s="1" t="s">
        <v>3392</v>
      </c>
      <c r="B815" s="1" t="s">
        <v>363</v>
      </c>
      <c r="C815" s="2">
        <v>45885</v>
      </c>
      <c r="D815" s="1" t="s">
        <v>3648</v>
      </c>
      <c r="E815" s="1" t="s">
        <v>3647</v>
      </c>
    </row>
    <row r="816" spans="1:5" x14ac:dyDescent="0.3">
      <c r="A816" s="1" t="s">
        <v>3394</v>
      </c>
      <c r="B816" s="1" t="s">
        <v>703</v>
      </c>
      <c r="C816" s="2">
        <v>46037</v>
      </c>
      <c r="D816" s="1" t="s">
        <v>3648</v>
      </c>
      <c r="E816" s="1" t="s">
        <v>3651</v>
      </c>
    </row>
    <row r="817" spans="1:5" x14ac:dyDescent="0.3">
      <c r="A817" s="1" t="s">
        <v>3398</v>
      </c>
      <c r="B817" s="1" t="s">
        <v>506</v>
      </c>
      <c r="C817" s="2">
        <v>46038</v>
      </c>
      <c r="D817" s="1" t="s">
        <v>3648</v>
      </c>
      <c r="E817" s="1" t="s">
        <v>3645</v>
      </c>
    </row>
    <row r="818" spans="1:5" x14ac:dyDescent="0.3">
      <c r="A818" s="1" t="s">
        <v>3400</v>
      </c>
      <c r="B818" s="1" t="s">
        <v>438</v>
      </c>
      <c r="C818" s="2">
        <v>46241</v>
      </c>
      <c r="D818" s="1" t="s">
        <v>3646</v>
      </c>
      <c r="E818" s="1" t="s">
        <v>3650</v>
      </c>
    </row>
    <row r="819" spans="1:5" x14ac:dyDescent="0.3">
      <c r="A819" s="1" t="s">
        <v>3402</v>
      </c>
      <c r="B819" s="1" t="s">
        <v>137</v>
      </c>
      <c r="C819" s="2">
        <v>45818</v>
      </c>
      <c r="D819" s="1" t="s">
        <v>3648</v>
      </c>
      <c r="E819" s="1" t="s">
        <v>3651</v>
      </c>
    </row>
    <row r="820" spans="1:5" x14ac:dyDescent="0.3">
      <c r="A820" s="1" t="s">
        <v>3405</v>
      </c>
      <c r="B820" s="1" t="s">
        <v>180</v>
      </c>
      <c r="C820" s="2">
        <v>45754</v>
      </c>
      <c r="D820" s="1" t="s">
        <v>3652</v>
      </c>
      <c r="E820" s="1" t="s">
        <v>3650</v>
      </c>
    </row>
    <row r="821" spans="1:5" x14ac:dyDescent="0.3">
      <c r="A821" s="1" t="s">
        <v>3410</v>
      </c>
      <c r="B821" s="1" t="s">
        <v>782</v>
      </c>
      <c r="C821" s="2">
        <v>45928</v>
      </c>
      <c r="D821" s="1" t="s">
        <v>3644</v>
      </c>
      <c r="E821" s="1" t="s">
        <v>3650</v>
      </c>
    </row>
    <row r="822" spans="1:5" x14ac:dyDescent="0.3">
      <c r="A822" s="1" t="s">
        <v>3412</v>
      </c>
      <c r="B822" s="1" t="s">
        <v>441</v>
      </c>
      <c r="C822" s="2">
        <v>45809</v>
      </c>
      <c r="D822" s="1" t="s">
        <v>3652</v>
      </c>
      <c r="E822" s="1" t="s">
        <v>3647</v>
      </c>
    </row>
    <row r="823" spans="1:5" x14ac:dyDescent="0.3">
      <c r="A823" s="1" t="s">
        <v>3414</v>
      </c>
      <c r="B823" s="1" t="s">
        <v>981</v>
      </c>
      <c r="C823" s="2">
        <v>45935</v>
      </c>
      <c r="D823" s="1" t="s">
        <v>3648</v>
      </c>
      <c r="E823" s="1" t="s">
        <v>3650</v>
      </c>
    </row>
    <row r="824" spans="1:5" x14ac:dyDescent="0.3">
      <c r="A824" s="1" t="s">
        <v>3416</v>
      </c>
      <c r="B824" s="1" t="s">
        <v>895</v>
      </c>
      <c r="C824" s="2">
        <v>46053</v>
      </c>
      <c r="D824" s="1" t="s">
        <v>3652</v>
      </c>
      <c r="E824" s="1" t="s">
        <v>3649</v>
      </c>
    </row>
    <row r="825" spans="1:5" x14ac:dyDescent="0.3">
      <c r="A825" s="1" t="s">
        <v>3418</v>
      </c>
      <c r="B825" s="1" t="s">
        <v>895</v>
      </c>
      <c r="C825" s="2">
        <v>45861</v>
      </c>
      <c r="D825" s="1" t="s">
        <v>3648</v>
      </c>
      <c r="E825" s="1" t="s">
        <v>3647</v>
      </c>
    </row>
    <row r="826" spans="1:5" x14ac:dyDescent="0.3">
      <c r="A826" s="1" t="s">
        <v>3420</v>
      </c>
      <c r="B826" s="1" t="s">
        <v>85</v>
      </c>
      <c r="C826" s="2">
        <v>46178</v>
      </c>
      <c r="D826" s="1" t="s">
        <v>3648</v>
      </c>
      <c r="E826" s="1" t="s">
        <v>3650</v>
      </c>
    </row>
    <row r="827" spans="1:5" x14ac:dyDescent="0.3">
      <c r="A827" s="1" t="s">
        <v>3423</v>
      </c>
      <c r="B827" s="1" t="s">
        <v>1070</v>
      </c>
      <c r="C827" s="2">
        <v>45784</v>
      </c>
      <c r="D827" s="1" t="s">
        <v>3652</v>
      </c>
      <c r="E827" s="1" t="s">
        <v>3650</v>
      </c>
    </row>
    <row r="828" spans="1:5" x14ac:dyDescent="0.3">
      <c r="A828" s="1" t="s">
        <v>3426</v>
      </c>
      <c r="B828" s="1" t="s">
        <v>295</v>
      </c>
      <c r="C828" s="2">
        <v>45953</v>
      </c>
      <c r="D828" s="1" t="s">
        <v>3648</v>
      </c>
      <c r="E828" s="1" t="s">
        <v>3653</v>
      </c>
    </row>
    <row r="829" spans="1:5" x14ac:dyDescent="0.3">
      <c r="A829" s="1" t="s">
        <v>3430</v>
      </c>
      <c r="B829" s="1" t="s">
        <v>846</v>
      </c>
      <c r="C829" s="2">
        <v>46236</v>
      </c>
      <c r="D829" s="1" t="s">
        <v>3648</v>
      </c>
      <c r="E829" s="1" t="s">
        <v>3649</v>
      </c>
    </row>
    <row r="830" spans="1:5" x14ac:dyDescent="0.3">
      <c r="A830" s="1" t="s">
        <v>3435</v>
      </c>
      <c r="B830" s="1" t="s">
        <v>412</v>
      </c>
      <c r="C830" s="2">
        <v>46136</v>
      </c>
      <c r="D830" s="1" t="s">
        <v>3646</v>
      </c>
      <c r="E830" s="1" t="s">
        <v>3649</v>
      </c>
    </row>
    <row r="831" spans="1:5" x14ac:dyDescent="0.3">
      <c r="A831" s="1" t="s">
        <v>3439</v>
      </c>
      <c r="B831" s="1" t="s">
        <v>101</v>
      </c>
      <c r="C831" s="2">
        <v>46130</v>
      </c>
      <c r="D831" s="1" t="s">
        <v>3648</v>
      </c>
      <c r="E831" s="1" t="s">
        <v>3647</v>
      </c>
    </row>
    <row r="832" spans="1:5" x14ac:dyDescent="0.3">
      <c r="A832" s="1" t="s">
        <v>3443</v>
      </c>
      <c r="B832" s="1" t="s">
        <v>395</v>
      </c>
      <c r="C832" s="2">
        <v>46168</v>
      </c>
      <c r="D832" s="1" t="s">
        <v>3644</v>
      </c>
      <c r="E832" s="1" t="s">
        <v>3649</v>
      </c>
    </row>
    <row r="833" spans="1:5" x14ac:dyDescent="0.3">
      <c r="A833" s="1" t="s">
        <v>3446</v>
      </c>
      <c r="B833" s="1" t="s">
        <v>498</v>
      </c>
      <c r="C833" s="2">
        <v>45828</v>
      </c>
      <c r="D833" s="1" t="s">
        <v>3648</v>
      </c>
      <c r="E833" s="1" t="s">
        <v>3651</v>
      </c>
    </row>
    <row r="834" spans="1:5" x14ac:dyDescent="0.3">
      <c r="A834" s="1" t="s">
        <v>3449</v>
      </c>
      <c r="B834" s="1" t="s">
        <v>183</v>
      </c>
      <c r="C834" s="2">
        <v>46186</v>
      </c>
      <c r="D834" s="1" t="s">
        <v>3648</v>
      </c>
      <c r="E834" s="1" t="s">
        <v>3647</v>
      </c>
    </row>
    <row r="835" spans="1:5" x14ac:dyDescent="0.3">
      <c r="A835" s="1" t="s">
        <v>3451</v>
      </c>
      <c r="B835" s="1" t="s">
        <v>1034</v>
      </c>
      <c r="C835" s="2">
        <v>46111</v>
      </c>
      <c r="D835" s="1" t="s">
        <v>3648</v>
      </c>
      <c r="E835" s="1" t="s">
        <v>3645</v>
      </c>
    </row>
    <row r="836" spans="1:5" x14ac:dyDescent="0.3">
      <c r="A836" s="1" t="s">
        <v>3453</v>
      </c>
      <c r="B836" s="1" t="s">
        <v>977</v>
      </c>
      <c r="C836" s="2">
        <v>46049</v>
      </c>
      <c r="D836" s="1" t="s">
        <v>3648</v>
      </c>
      <c r="E836" s="1" t="s">
        <v>3651</v>
      </c>
    </row>
    <row r="837" spans="1:5" x14ac:dyDescent="0.3">
      <c r="A837" s="1" t="s">
        <v>3457</v>
      </c>
      <c r="B837" s="1" t="s">
        <v>50</v>
      </c>
      <c r="C837" s="2">
        <v>46231</v>
      </c>
      <c r="D837" s="1" t="s">
        <v>3648</v>
      </c>
      <c r="E837" s="1" t="s">
        <v>3647</v>
      </c>
    </row>
    <row r="838" spans="1:5" x14ac:dyDescent="0.3">
      <c r="A838" s="1" t="s">
        <v>3461</v>
      </c>
      <c r="B838" s="1" t="s">
        <v>230</v>
      </c>
      <c r="C838" s="2">
        <v>46060</v>
      </c>
      <c r="D838" s="1" t="s">
        <v>3648</v>
      </c>
      <c r="E838" s="1" t="s">
        <v>3649</v>
      </c>
    </row>
    <row r="839" spans="1:5" x14ac:dyDescent="0.3">
      <c r="A839" s="1" t="s">
        <v>3463</v>
      </c>
      <c r="B839" s="1" t="s">
        <v>1063</v>
      </c>
      <c r="C839" s="2">
        <v>45898</v>
      </c>
      <c r="D839" s="1" t="s">
        <v>3652</v>
      </c>
      <c r="E839" s="1" t="s">
        <v>3651</v>
      </c>
    </row>
    <row r="840" spans="1:5" x14ac:dyDescent="0.3">
      <c r="A840" s="1" t="s">
        <v>3465</v>
      </c>
      <c r="B840" s="1" t="s">
        <v>219</v>
      </c>
      <c r="C840" s="2">
        <v>46134</v>
      </c>
      <c r="D840" s="1" t="s">
        <v>3652</v>
      </c>
      <c r="E840" s="1" t="s">
        <v>3651</v>
      </c>
    </row>
    <row r="841" spans="1:5" x14ac:dyDescent="0.3">
      <c r="A841" s="1" t="s">
        <v>3467</v>
      </c>
      <c r="B841" s="1" t="s">
        <v>549</v>
      </c>
      <c r="C841" s="2">
        <v>46049</v>
      </c>
      <c r="D841" s="1" t="s">
        <v>3646</v>
      </c>
      <c r="E841" s="1" t="s">
        <v>3645</v>
      </c>
    </row>
    <row r="842" spans="1:5" x14ac:dyDescent="0.3">
      <c r="A842" s="1" t="s">
        <v>3469</v>
      </c>
      <c r="B842" s="1" t="s">
        <v>778</v>
      </c>
      <c r="C842" s="2">
        <v>45777</v>
      </c>
      <c r="D842" s="1" t="s">
        <v>3648</v>
      </c>
      <c r="E842" s="1" t="s">
        <v>3647</v>
      </c>
    </row>
    <row r="843" spans="1:5" x14ac:dyDescent="0.3">
      <c r="A843" s="1" t="s">
        <v>3473</v>
      </c>
      <c r="B843" s="1" t="s">
        <v>1070</v>
      </c>
      <c r="C843" s="2">
        <v>45764</v>
      </c>
      <c r="D843" s="1" t="s">
        <v>3652</v>
      </c>
      <c r="E843" s="1" t="s">
        <v>3651</v>
      </c>
    </row>
    <row r="844" spans="1:5" x14ac:dyDescent="0.3">
      <c r="A844" s="1" t="s">
        <v>3478</v>
      </c>
      <c r="B844" s="1" t="s">
        <v>341</v>
      </c>
      <c r="C844" s="2">
        <v>46156</v>
      </c>
      <c r="D844" s="1" t="s">
        <v>3648</v>
      </c>
      <c r="E844" s="1" t="s">
        <v>3649</v>
      </c>
    </row>
    <row r="845" spans="1:5" x14ac:dyDescent="0.3">
      <c r="A845" s="1" t="s">
        <v>3480</v>
      </c>
      <c r="B845" s="1" t="s">
        <v>760</v>
      </c>
      <c r="C845" s="2">
        <v>45924</v>
      </c>
      <c r="D845" s="1" t="s">
        <v>3648</v>
      </c>
      <c r="E845" s="1" t="s">
        <v>3645</v>
      </c>
    </row>
    <row r="846" spans="1:5" x14ac:dyDescent="0.3">
      <c r="A846" s="1" t="s">
        <v>3483</v>
      </c>
      <c r="B846" s="1" t="s">
        <v>459</v>
      </c>
      <c r="C846" s="2">
        <v>46181</v>
      </c>
      <c r="D846" s="1" t="s">
        <v>3648</v>
      </c>
      <c r="E846" s="1" t="s">
        <v>3653</v>
      </c>
    </row>
    <row r="847" spans="1:5" x14ac:dyDescent="0.3">
      <c r="A847" s="1" t="s">
        <v>3486</v>
      </c>
      <c r="B847" s="1" t="s">
        <v>895</v>
      </c>
      <c r="C847" s="2">
        <v>45962</v>
      </c>
      <c r="D847" s="1" t="s">
        <v>3644</v>
      </c>
      <c r="E847" s="1" t="s">
        <v>3645</v>
      </c>
    </row>
    <row r="848" spans="1:5" x14ac:dyDescent="0.3">
      <c r="A848" s="1" t="s">
        <v>3489</v>
      </c>
      <c r="B848" s="1" t="s">
        <v>59</v>
      </c>
      <c r="C848" s="2">
        <v>46209</v>
      </c>
      <c r="D848" s="1" t="s">
        <v>3648</v>
      </c>
      <c r="E848" s="1" t="s">
        <v>3645</v>
      </c>
    </row>
    <row r="849" spans="1:5" x14ac:dyDescent="0.3">
      <c r="A849" s="1" t="s">
        <v>3492</v>
      </c>
      <c r="B849" s="1" t="s">
        <v>596</v>
      </c>
      <c r="C849" s="2">
        <v>46210</v>
      </c>
      <c r="D849" s="1" t="s">
        <v>3648</v>
      </c>
      <c r="E849" s="1" t="s">
        <v>3647</v>
      </c>
    </row>
    <row r="850" spans="1:5" x14ac:dyDescent="0.3">
      <c r="A850" s="1" t="s">
        <v>3496</v>
      </c>
      <c r="B850" s="1" t="s">
        <v>205</v>
      </c>
      <c r="C850" s="2">
        <v>45858</v>
      </c>
      <c r="D850" s="1" t="s">
        <v>3644</v>
      </c>
      <c r="E850" s="1" t="s">
        <v>3649</v>
      </c>
    </row>
    <row r="851" spans="1:5" x14ac:dyDescent="0.3">
      <c r="A851" s="1" t="s">
        <v>3498</v>
      </c>
      <c r="B851" s="1" t="s">
        <v>269</v>
      </c>
      <c r="C851" s="2">
        <v>46091</v>
      </c>
      <c r="D851" s="1" t="s">
        <v>3648</v>
      </c>
      <c r="E851" s="1" t="s">
        <v>3647</v>
      </c>
    </row>
    <row r="852" spans="1:5" x14ac:dyDescent="0.3">
      <c r="A852" s="1" t="s">
        <v>3502</v>
      </c>
      <c r="B852" s="1" t="s">
        <v>613</v>
      </c>
      <c r="C852" s="2">
        <v>46064</v>
      </c>
      <c r="D852" s="1" t="s">
        <v>3648</v>
      </c>
      <c r="E852" s="1" t="s">
        <v>3647</v>
      </c>
    </row>
    <row r="853" spans="1:5" x14ac:dyDescent="0.3">
      <c r="A853" s="1" t="s">
        <v>3506</v>
      </c>
      <c r="B853" s="1" t="s">
        <v>187</v>
      </c>
      <c r="C853" s="2">
        <v>45740</v>
      </c>
      <c r="D853" s="1" t="s">
        <v>3648</v>
      </c>
      <c r="E853" s="1" t="s">
        <v>3649</v>
      </c>
    </row>
    <row r="854" spans="1:5" x14ac:dyDescent="0.3">
      <c r="A854" s="1" t="s">
        <v>3509</v>
      </c>
      <c r="B854" s="1" t="s">
        <v>771</v>
      </c>
      <c r="C854" s="2">
        <v>46160</v>
      </c>
      <c r="D854" s="1" t="s">
        <v>3655</v>
      </c>
      <c r="E854" s="1" t="s">
        <v>3650</v>
      </c>
    </row>
    <row r="855" spans="1:5" x14ac:dyDescent="0.3">
      <c r="A855" s="1" t="s">
        <v>3512</v>
      </c>
      <c r="B855" s="1" t="s">
        <v>711</v>
      </c>
      <c r="C855" s="2">
        <v>45943</v>
      </c>
      <c r="D855" s="1" t="s">
        <v>3646</v>
      </c>
      <c r="E855" s="1" t="s">
        <v>3650</v>
      </c>
    </row>
    <row r="856" spans="1:5" x14ac:dyDescent="0.3">
      <c r="A856" s="1" t="s">
        <v>3517</v>
      </c>
      <c r="B856" s="1" t="s">
        <v>316</v>
      </c>
      <c r="C856" s="2">
        <v>45901</v>
      </c>
      <c r="D856" s="1" t="s">
        <v>3648</v>
      </c>
      <c r="E856" s="1" t="s">
        <v>3650</v>
      </c>
    </row>
    <row r="857" spans="1:5" x14ac:dyDescent="0.3">
      <c r="A857" s="1" t="s">
        <v>3519</v>
      </c>
      <c r="B857" s="1" t="s">
        <v>764</v>
      </c>
      <c r="C857" s="2">
        <v>45756</v>
      </c>
      <c r="D857" s="1" t="s">
        <v>3648</v>
      </c>
      <c r="E857" s="1" t="s">
        <v>3650</v>
      </c>
    </row>
    <row r="858" spans="1:5" x14ac:dyDescent="0.3">
      <c r="A858" s="1" t="s">
        <v>3521</v>
      </c>
      <c r="B858" s="1" t="s">
        <v>1067</v>
      </c>
      <c r="C858" s="2">
        <v>46029</v>
      </c>
      <c r="D858" s="1" t="s">
        <v>3648</v>
      </c>
      <c r="E858" s="1" t="s">
        <v>3649</v>
      </c>
    </row>
    <row r="859" spans="1:5" x14ac:dyDescent="0.3">
      <c r="A859" s="1" t="s">
        <v>3525</v>
      </c>
      <c r="B859" s="1" t="s">
        <v>391</v>
      </c>
      <c r="C859" s="2">
        <v>45815</v>
      </c>
      <c r="D859" s="1" t="s">
        <v>3646</v>
      </c>
      <c r="E859" s="1" t="s">
        <v>3649</v>
      </c>
    </row>
    <row r="860" spans="1:5" x14ac:dyDescent="0.3">
      <c r="A860" s="1" t="s">
        <v>3527</v>
      </c>
      <c r="B860" s="1" t="s">
        <v>81</v>
      </c>
      <c r="C860" s="2">
        <v>46009</v>
      </c>
      <c r="D860" s="1" t="s">
        <v>3648</v>
      </c>
      <c r="E860" s="1" t="s">
        <v>3645</v>
      </c>
    </row>
    <row r="861" spans="1:5" x14ac:dyDescent="0.3">
      <c r="A861" s="1" t="s">
        <v>3530</v>
      </c>
      <c r="B861" s="1" t="s">
        <v>388</v>
      </c>
      <c r="C861" s="2">
        <v>45854</v>
      </c>
      <c r="D861" s="1" t="s">
        <v>3648</v>
      </c>
      <c r="E861" s="1" t="s">
        <v>3647</v>
      </c>
    </row>
    <row r="862" spans="1:5" x14ac:dyDescent="0.3">
      <c r="A862" s="1" t="s">
        <v>3532</v>
      </c>
      <c r="B862" s="1" t="s">
        <v>948</v>
      </c>
      <c r="C862" s="2">
        <v>45761</v>
      </c>
      <c r="D862" s="1" t="s">
        <v>3648</v>
      </c>
      <c r="E862" s="1" t="s">
        <v>3651</v>
      </c>
    </row>
    <row r="863" spans="1:5" x14ac:dyDescent="0.3">
      <c r="A863" s="1" t="s">
        <v>3535</v>
      </c>
      <c r="B863" s="1" t="s">
        <v>78</v>
      </c>
      <c r="C863" s="2">
        <v>46134</v>
      </c>
      <c r="D863" s="1" t="s">
        <v>3648</v>
      </c>
      <c r="E863" s="1" t="s">
        <v>3647</v>
      </c>
    </row>
    <row r="864" spans="1:5" x14ac:dyDescent="0.3">
      <c r="A864" s="1" t="s">
        <v>3537</v>
      </c>
      <c r="B864" s="1" t="s">
        <v>842</v>
      </c>
      <c r="C864" s="2">
        <v>45949</v>
      </c>
      <c r="D864" s="1" t="s">
        <v>3648</v>
      </c>
      <c r="E864" s="1" t="s">
        <v>3653</v>
      </c>
    </row>
    <row r="865" spans="1:5" x14ac:dyDescent="0.3">
      <c r="A865" s="1" t="s">
        <v>3540</v>
      </c>
      <c r="B865" s="1" t="s">
        <v>891</v>
      </c>
      <c r="C865" s="2">
        <v>45978</v>
      </c>
      <c r="D865" s="1" t="s">
        <v>3652</v>
      </c>
      <c r="E865" s="1" t="s">
        <v>3645</v>
      </c>
    </row>
    <row r="866" spans="1:5" x14ac:dyDescent="0.3">
      <c r="A866" s="1" t="s">
        <v>3542</v>
      </c>
      <c r="B866" s="1" t="s">
        <v>656</v>
      </c>
      <c r="C866" s="2">
        <v>46060</v>
      </c>
      <c r="D866" s="1" t="s">
        <v>3648</v>
      </c>
      <c r="E866" s="1" t="s">
        <v>3645</v>
      </c>
    </row>
    <row r="867" spans="1:5" x14ac:dyDescent="0.3">
      <c r="A867" s="1" t="s">
        <v>3544</v>
      </c>
      <c r="B867" s="1" t="s">
        <v>191</v>
      </c>
      <c r="C867" s="2">
        <v>46010</v>
      </c>
      <c r="D867" s="1" t="s">
        <v>3648</v>
      </c>
      <c r="E867" s="1" t="s">
        <v>3647</v>
      </c>
    </row>
    <row r="868" spans="1:5" x14ac:dyDescent="0.3">
      <c r="A868" s="1" t="s">
        <v>3546</v>
      </c>
      <c r="B868" s="1" t="s">
        <v>115</v>
      </c>
      <c r="C868" s="2">
        <v>45855</v>
      </c>
      <c r="D868" s="1" t="s">
        <v>3648</v>
      </c>
      <c r="E868" s="1" t="s">
        <v>3650</v>
      </c>
    </row>
    <row r="869" spans="1:5" x14ac:dyDescent="0.3">
      <c r="A869" s="1" t="s">
        <v>3551</v>
      </c>
      <c r="B869" s="1" t="s">
        <v>416</v>
      </c>
      <c r="C869" s="2">
        <v>45892</v>
      </c>
      <c r="D869" s="1" t="s">
        <v>3646</v>
      </c>
      <c r="E869" s="1" t="s">
        <v>3649</v>
      </c>
    </row>
    <row r="870" spans="1:5" x14ac:dyDescent="0.3">
      <c r="A870" s="1" t="s">
        <v>3556</v>
      </c>
      <c r="B870" s="1" t="s">
        <v>402</v>
      </c>
      <c r="C870" s="2">
        <v>45950</v>
      </c>
      <c r="D870" s="1" t="s">
        <v>3648</v>
      </c>
      <c r="E870" s="1" t="s">
        <v>3647</v>
      </c>
    </row>
    <row r="871" spans="1:5" x14ac:dyDescent="0.3">
      <c r="A871" s="1" t="s">
        <v>3558</v>
      </c>
      <c r="B871" s="1" t="s">
        <v>963</v>
      </c>
      <c r="C871" s="2">
        <v>45806</v>
      </c>
      <c r="D871" s="1" t="s">
        <v>3648</v>
      </c>
      <c r="E871" s="1" t="s">
        <v>3651</v>
      </c>
    </row>
    <row r="872" spans="1:5" x14ac:dyDescent="0.3">
      <c r="A872" s="1" t="s">
        <v>3560</v>
      </c>
      <c r="B872" s="1" t="s">
        <v>891</v>
      </c>
      <c r="C872" s="2">
        <v>45779</v>
      </c>
      <c r="D872" s="1" t="s">
        <v>3646</v>
      </c>
      <c r="E872" s="1" t="s">
        <v>3649</v>
      </c>
    </row>
    <row r="873" spans="1:5" x14ac:dyDescent="0.3">
      <c r="A873" s="1" t="s">
        <v>3563</v>
      </c>
      <c r="B873" s="1" t="s">
        <v>33</v>
      </c>
      <c r="C873" s="2">
        <v>46047</v>
      </c>
      <c r="D873" s="1" t="s">
        <v>3648</v>
      </c>
      <c r="E873" s="1" t="s">
        <v>3650</v>
      </c>
    </row>
    <row r="874" spans="1:5" x14ac:dyDescent="0.3">
      <c r="A874" s="1" t="s">
        <v>3568</v>
      </c>
      <c r="B874" s="1" t="s">
        <v>584</v>
      </c>
      <c r="C874" s="2">
        <v>45761</v>
      </c>
      <c r="D874" s="1" t="s">
        <v>3655</v>
      </c>
      <c r="E874" s="1" t="s">
        <v>3645</v>
      </c>
    </row>
    <row r="875" spans="1:5" x14ac:dyDescent="0.3">
      <c r="A875" s="1" t="s">
        <v>3570</v>
      </c>
      <c r="B875" s="1" t="s">
        <v>799</v>
      </c>
      <c r="C875" s="2">
        <v>45952</v>
      </c>
      <c r="D875" s="1" t="s">
        <v>3646</v>
      </c>
      <c r="E875" s="1" t="s">
        <v>3645</v>
      </c>
    </row>
    <row r="876" spans="1:5" x14ac:dyDescent="0.3">
      <c r="A876" s="1" t="s">
        <v>3572</v>
      </c>
      <c r="B876" s="1" t="s">
        <v>868</v>
      </c>
      <c r="C876" s="2">
        <v>45780</v>
      </c>
      <c r="D876" s="1" t="s">
        <v>3648</v>
      </c>
      <c r="E876" s="1" t="s">
        <v>3647</v>
      </c>
    </row>
    <row r="877" spans="1:5" x14ac:dyDescent="0.3">
      <c r="A877" s="1" t="s">
        <v>3575</v>
      </c>
      <c r="B877" s="1" t="s">
        <v>578</v>
      </c>
      <c r="C877" s="2">
        <v>46008</v>
      </c>
      <c r="D877" s="1" t="s">
        <v>3652</v>
      </c>
      <c r="E877" s="1" t="s">
        <v>3650</v>
      </c>
    </row>
    <row r="878" spans="1:5" x14ac:dyDescent="0.3">
      <c r="A878" s="1" t="s">
        <v>3577</v>
      </c>
      <c r="B878" s="1" t="s">
        <v>754</v>
      </c>
      <c r="C878" s="2">
        <v>46158</v>
      </c>
      <c r="D878" s="1" t="s">
        <v>3652</v>
      </c>
      <c r="E878" s="1" t="s">
        <v>3651</v>
      </c>
    </row>
    <row r="879" spans="1:5" x14ac:dyDescent="0.3">
      <c r="A879" s="1" t="s">
        <v>3579</v>
      </c>
      <c r="B879" s="1" t="s">
        <v>959</v>
      </c>
      <c r="C879" s="2">
        <v>45805</v>
      </c>
      <c r="D879" s="1" t="s">
        <v>3644</v>
      </c>
      <c r="E879" s="1" t="s">
        <v>3645</v>
      </c>
    </row>
    <row r="880" spans="1:5" x14ac:dyDescent="0.3">
      <c r="A880" s="1" t="s">
        <v>3582</v>
      </c>
      <c r="B880" s="1" t="s">
        <v>1053</v>
      </c>
      <c r="C880" s="2">
        <v>45807</v>
      </c>
      <c r="D880" s="1" t="s">
        <v>3652</v>
      </c>
      <c r="E880" s="1" t="s">
        <v>3650</v>
      </c>
    </row>
    <row r="881" spans="1:5" x14ac:dyDescent="0.3">
      <c r="A881" s="1" t="s">
        <v>3584</v>
      </c>
      <c r="B881" s="1" t="s">
        <v>541</v>
      </c>
      <c r="C881" s="2">
        <v>46040</v>
      </c>
      <c r="D881" s="1" t="s">
        <v>3648</v>
      </c>
      <c r="E881" s="1" t="s">
        <v>3651</v>
      </c>
    </row>
    <row r="882" spans="1:5" x14ac:dyDescent="0.3">
      <c r="A882" s="1" t="s">
        <v>3588</v>
      </c>
      <c r="B882" s="1" t="s">
        <v>905</v>
      </c>
      <c r="C882" s="2">
        <v>46001</v>
      </c>
      <c r="D882" s="1" t="s">
        <v>3648</v>
      </c>
      <c r="E882" s="1" t="s">
        <v>3653</v>
      </c>
    </row>
    <row r="883" spans="1:5" x14ac:dyDescent="0.3">
      <c r="A883" s="1" t="s">
        <v>3592</v>
      </c>
      <c r="B883" s="1" t="s">
        <v>531</v>
      </c>
      <c r="C883" s="2">
        <v>46091</v>
      </c>
      <c r="D883" s="1" t="s">
        <v>3652</v>
      </c>
      <c r="E883" s="1" t="s">
        <v>3645</v>
      </c>
    </row>
    <row r="884" spans="1:5" x14ac:dyDescent="0.3">
      <c r="A884" s="1" t="s">
        <v>3594</v>
      </c>
      <c r="B884" s="1" t="s">
        <v>502</v>
      </c>
      <c r="C884" s="2">
        <v>45841</v>
      </c>
      <c r="D884" s="1" t="s">
        <v>3652</v>
      </c>
      <c r="E884" s="1" t="s">
        <v>3645</v>
      </c>
    </row>
    <row r="885" spans="1:5" x14ac:dyDescent="0.3">
      <c r="A885" s="1" t="s">
        <v>3599</v>
      </c>
      <c r="B885" s="1" t="s">
        <v>369</v>
      </c>
      <c r="C885" s="2">
        <v>46071</v>
      </c>
      <c r="D885" s="1" t="s">
        <v>3648</v>
      </c>
      <c r="E885" s="1" t="s">
        <v>3649</v>
      </c>
    </row>
    <row r="886" spans="1:5" x14ac:dyDescent="0.3">
      <c r="A886" s="1" t="s">
        <v>3601</v>
      </c>
      <c r="B886" s="1" t="s">
        <v>130</v>
      </c>
      <c r="C886" s="2">
        <v>46137</v>
      </c>
      <c r="D886" s="1" t="s">
        <v>3646</v>
      </c>
      <c r="E886" s="1" t="s">
        <v>3650</v>
      </c>
    </row>
    <row r="887" spans="1:5" x14ac:dyDescent="0.3">
      <c r="A887" s="1" t="s">
        <v>3603</v>
      </c>
      <c r="B887" s="1" t="s">
        <v>764</v>
      </c>
      <c r="C887" s="2">
        <v>45868</v>
      </c>
      <c r="D887" s="1" t="s">
        <v>3652</v>
      </c>
      <c r="E887" s="1" t="s">
        <v>3649</v>
      </c>
    </row>
    <row r="888" spans="1:5" x14ac:dyDescent="0.3">
      <c r="A888" s="1" t="s">
        <v>3605</v>
      </c>
      <c r="B888" s="1" t="s">
        <v>70</v>
      </c>
      <c r="C888" s="2">
        <v>45773</v>
      </c>
      <c r="D888" s="1" t="s">
        <v>3652</v>
      </c>
      <c r="E888" s="1" t="s">
        <v>3645</v>
      </c>
    </row>
    <row r="889" spans="1:5" x14ac:dyDescent="0.3">
      <c r="A889" s="1" t="s">
        <v>3607</v>
      </c>
      <c r="B889" s="1" t="s">
        <v>498</v>
      </c>
      <c r="C889" s="2">
        <v>46159</v>
      </c>
      <c r="D889" s="1" t="s">
        <v>3646</v>
      </c>
      <c r="E889" s="1" t="s">
        <v>3647</v>
      </c>
    </row>
    <row r="890" spans="1:5" x14ac:dyDescent="0.3">
      <c r="A890" s="1" t="s">
        <v>3610</v>
      </c>
      <c r="B890" s="1" t="s">
        <v>735</v>
      </c>
      <c r="C890" s="2">
        <v>45911</v>
      </c>
      <c r="D890" s="1" t="s">
        <v>3655</v>
      </c>
      <c r="E890" s="1" t="s">
        <v>3650</v>
      </c>
    </row>
    <row r="891" spans="1:5" x14ac:dyDescent="0.3">
      <c r="A891" s="1" t="s">
        <v>3612</v>
      </c>
      <c r="B891" s="1" t="s">
        <v>1070</v>
      </c>
      <c r="C891" s="2">
        <v>46240</v>
      </c>
      <c r="D891" s="1" t="s">
        <v>3646</v>
      </c>
      <c r="E891" s="1" t="s">
        <v>3645</v>
      </c>
    </row>
    <row r="892" spans="1:5" x14ac:dyDescent="0.3">
      <c r="A892" s="1" t="s">
        <v>3614</v>
      </c>
      <c r="B892" s="1" t="s">
        <v>431</v>
      </c>
      <c r="C892" s="2">
        <v>45783</v>
      </c>
      <c r="D892" s="1" t="s">
        <v>3652</v>
      </c>
      <c r="E892" s="1" t="s">
        <v>3647</v>
      </c>
    </row>
    <row r="893" spans="1:5" x14ac:dyDescent="0.3">
      <c r="A893" s="1" t="s">
        <v>3616</v>
      </c>
      <c r="B893" s="1" t="s">
        <v>682</v>
      </c>
      <c r="C893" s="2">
        <v>46102</v>
      </c>
      <c r="D893" s="1" t="s">
        <v>3648</v>
      </c>
      <c r="E893" s="1" t="s">
        <v>3649</v>
      </c>
    </row>
    <row r="894" spans="1:5" x14ac:dyDescent="0.3">
      <c r="A894" s="1" t="s">
        <v>3619</v>
      </c>
      <c r="B894" s="1" t="s">
        <v>1045</v>
      </c>
      <c r="C894" s="2">
        <v>45966</v>
      </c>
      <c r="D894" s="1" t="s">
        <v>3648</v>
      </c>
      <c r="E894" s="1" t="s">
        <v>3651</v>
      </c>
    </row>
    <row r="895" spans="1:5" x14ac:dyDescent="0.3">
      <c r="A895" s="1" t="s">
        <v>3622</v>
      </c>
      <c r="B895" s="1" t="s">
        <v>887</v>
      </c>
      <c r="C895" s="2">
        <v>45924</v>
      </c>
      <c r="D895" s="1" t="s">
        <v>3648</v>
      </c>
      <c r="E895" s="1" t="s">
        <v>3645</v>
      </c>
    </row>
    <row r="896" spans="1:5" x14ac:dyDescent="0.3">
      <c r="A896" s="1" t="s">
        <v>3626</v>
      </c>
      <c r="B896" s="1" t="s">
        <v>1049</v>
      </c>
      <c r="C896" s="2">
        <v>45909</v>
      </c>
      <c r="D896" s="1" t="s">
        <v>3655</v>
      </c>
      <c r="E896" s="1" t="s">
        <v>3649</v>
      </c>
    </row>
    <row r="897" spans="1:5" x14ac:dyDescent="0.3">
      <c r="A897" s="1" t="s">
        <v>3629</v>
      </c>
      <c r="B897" s="1" t="s">
        <v>639</v>
      </c>
      <c r="C897" s="2">
        <v>46059</v>
      </c>
      <c r="D897" s="1" t="s">
        <v>3652</v>
      </c>
      <c r="E897" s="1" t="s">
        <v>3649</v>
      </c>
    </row>
    <row r="898" spans="1:5" x14ac:dyDescent="0.3">
      <c r="A898" s="1" t="s">
        <v>3631</v>
      </c>
      <c r="B898" s="1" t="s">
        <v>674</v>
      </c>
      <c r="C898" s="2">
        <v>45747</v>
      </c>
      <c r="D898" s="1" t="s">
        <v>3648</v>
      </c>
      <c r="E898" s="1" t="s">
        <v>3645</v>
      </c>
    </row>
    <row r="899" spans="1:5" x14ac:dyDescent="0.3">
      <c r="A899" s="1" t="s">
        <v>3634</v>
      </c>
      <c r="B899" s="1" t="s">
        <v>797</v>
      </c>
      <c r="C899" s="2">
        <v>45901</v>
      </c>
      <c r="D899" s="1" t="s">
        <v>3655</v>
      </c>
      <c r="E899" s="1" t="s">
        <v>3645</v>
      </c>
    </row>
    <row r="900" spans="1:5" x14ac:dyDescent="0.3">
      <c r="A900" s="1" t="s">
        <v>3638</v>
      </c>
      <c r="B900" s="1" t="s">
        <v>707</v>
      </c>
      <c r="C900" s="2">
        <v>46275</v>
      </c>
      <c r="D900" s="1" t="s">
        <v>3648</v>
      </c>
      <c r="E900" s="1" t="s">
        <v>3653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workbookViewId="0">
      <selection sqref="A1:G81"/>
    </sheetView>
  </sheetViews>
  <sheetFormatPr defaultRowHeight="14.4" x14ac:dyDescent="0.3"/>
  <cols>
    <col min="1" max="1" width="12.44140625" bestFit="1" customWidth="1"/>
    <col min="2" max="2" width="16.33203125" bestFit="1" customWidth="1"/>
    <col min="3" max="3" width="14.21875" bestFit="1" customWidth="1"/>
    <col min="4" max="4" width="11.6640625" bestFit="1" customWidth="1"/>
    <col min="5" max="5" width="11" bestFit="1" customWidth="1"/>
    <col min="6" max="6" width="11.44140625" bestFit="1" customWidth="1"/>
    <col min="7" max="7" width="19.88671875" bestFit="1" customWidth="1"/>
  </cols>
  <sheetData>
    <row r="1" spans="1:7" x14ac:dyDescent="0.3">
      <c r="A1" s="1" t="s">
        <v>1100</v>
      </c>
      <c r="B1" s="1" t="s">
        <v>3656</v>
      </c>
      <c r="C1" s="1" t="s">
        <v>3657</v>
      </c>
      <c r="D1" s="1" t="s">
        <v>3658</v>
      </c>
      <c r="E1" s="1" t="s">
        <v>3659</v>
      </c>
      <c r="F1" s="1" t="s">
        <v>3660</v>
      </c>
      <c r="G1" s="1" t="s">
        <v>3661</v>
      </c>
    </row>
    <row r="2" spans="1:7" x14ac:dyDescent="0.3">
      <c r="A2" s="1" t="s">
        <v>1130</v>
      </c>
      <c r="B2" s="1" t="s">
        <v>3662</v>
      </c>
      <c r="C2" s="1" t="s">
        <v>3663</v>
      </c>
      <c r="D2" s="1">
        <v>2400</v>
      </c>
      <c r="E2" s="1">
        <v>1170</v>
      </c>
      <c r="F2" s="1">
        <v>326</v>
      </c>
      <c r="G2" s="1" t="b">
        <v>0</v>
      </c>
    </row>
    <row r="3" spans="1:7" x14ac:dyDescent="0.3">
      <c r="A3" s="1" t="s">
        <v>1146</v>
      </c>
      <c r="B3" s="1" t="s">
        <v>3664</v>
      </c>
      <c r="C3" s="1" t="s">
        <v>3665</v>
      </c>
      <c r="D3" s="1">
        <v>1630</v>
      </c>
      <c r="E3" s="1">
        <v>1080</v>
      </c>
      <c r="F3" s="1">
        <v>145</v>
      </c>
      <c r="G3" s="1" t="b">
        <v>0</v>
      </c>
    </row>
    <row r="4" spans="1:7" x14ac:dyDescent="0.3">
      <c r="A4" s="1" t="s">
        <v>1288</v>
      </c>
      <c r="B4" s="1" t="s">
        <v>3666</v>
      </c>
      <c r="C4" s="1" t="s">
        <v>3665</v>
      </c>
      <c r="D4" s="1">
        <v>2580</v>
      </c>
      <c r="E4" s="1">
        <v>1370</v>
      </c>
      <c r="F4" s="1">
        <v>494</v>
      </c>
      <c r="G4" s="1" t="b">
        <v>0</v>
      </c>
    </row>
    <row r="5" spans="1:7" x14ac:dyDescent="0.3">
      <c r="A5" s="1" t="s">
        <v>1249</v>
      </c>
      <c r="B5" s="1" t="s">
        <v>3667</v>
      </c>
      <c r="C5" s="1" t="s">
        <v>3663</v>
      </c>
      <c r="D5" s="1">
        <v>3630</v>
      </c>
      <c r="E5" s="1">
        <v>2480</v>
      </c>
      <c r="F5" s="1">
        <v>58</v>
      </c>
      <c r="G5" s="1" t="b">
        <v>0</v>
      </c>
    </row>
    <row r="6" spans="1:7" x14ac:dyDescent="0.3">
      <c r="A6" s="1" t="s">
        <v>1393</v>
      </c>
      <c r="B6" s="1" t="s">
        <v>3668</v>
      </c>
      <c r="C6" s="1" t="s">
        <v>3663</v>
      </c>
      <c r="D6" s="1">
        <v>1520</v>
      </c>
      <c r="E6" s="1">
        <v>830</v>
      </c>
      <c r="F6" s="1">
        <v>322</v>
      </c>
      <c r="G6" s="1" t="b">
        <v>0</v>
      </c>
    </row>
    <row r="7" spans="1:7" x14ac:dyDescent="0.3">
      <c r="A7" s="1" t="s">
        <v>1157</v>
      </c>
      <c r="B7" s="1" t="s">
        <v>3669</v>
      </c>
      <c r="C7" s="1" t="s">
        <v>3670</v>
      </c>
      <c r="D7" s="1">
        <v>1520</v>
      </c>
      <c r="E7" s="1">
        <v>680</v>
      </c>
      <c r="F7" s="1">
        <v>485</v>
      </c>
      <c r="G7" s="1" t="b">
        <v>0</v>
      </c>
    </row>
    <row r="8" spans="1:7" x14ac:dyDescent="0.3">
      <c r="A8" s="1" t="s">
        <v>1118</v>
      </c>
      <c r="B8" s="1" t="s">
        <v>3671</v>
      </c>
      <c r="C8" s="1" t="s">
        <v>3672</v>
      </c>
      <c r="D8" s="1">
        <v>5550</v>
      </c>
      <c r="E8" s="1">
        <v>38750</v>
      </c>
      <c r="F8" s="1">
        <v>285</v>
      </c>
      <c r="G8" s="1" t="b">
        <v>0</v>
      </c>
    </row>
    <row r="9" spans="1:7" x14ac:dyDescent="0.3">
      <c r="A9" s="1" t="s">
        <v>1242</v>
      </c>
      <c r="B9" s="1" t="s">
        <v>3673</v>
      </c>
      <c r="C9" s="1" t="s">
        <v>3665</v>
      </c>
      <c r="D9" s="1">
        <v>2720</v>
      </c>
      <c r="E9" s="1">
        <v>1720</v>
      </c>
      <c r="F9" s="1">
        <v>230</v>
      </c>
      <c r="G9" s="1" t="b">
        <v>0</v>
      </c>
    </row>
    <row r="10" spans="1:7" x14ac:dyDescent="0.3">
      <c r="A10" s="1" t="s">
        <v>1656</v>
      </c>
      <c r="B10" s="1" t="s">
        <v>3674</v>
      </c>
      <c r="C10" s="1" t="s">
        <v>3665</v>
      </c>
      <c r="D10" s="1">
        <v>1240</v>
      </c>
      <c r="E10" s="1">
        <v>820</v>
      </c>
      <c r="F10" s="1">
        <v>156</v>
      </c>
      <c r="G10" s="1" t="b">
        <v>0</v>
      </c>
    </row>
    <row r="11" spans="1:7" x14ac:dyDescent="0.3">
      <c r="A11" s="1" t="s">
        <v>1111</v>
      </c>
      <c r="B11" s="1" t="s">
        <v>3675</v>
      </c>
      <c r="C11" s="1" t="s">
        <v>3676</v>
      </c>
      <c r="D11" s="1">
        <v>2450</v>
      </c>
      <c r="E11" s="1">
        <v>1020</v>
      </c>
      <c r="F11" s="1">
        <v>485</v>
      </c>
      <c r="G11" s="1" t="b">
        <v>0</v>
      </c>
    </row>
    <row r="12" spans="1:7" x14ac:dyDescent="0.3">
      <c r="A12" s="1" t="s">
        <v>1602</v>
      </c>
      <c r="B12" s="1" t="s">
        <v>3677</v>
      </c>
      <c r="C12" s="1" t="s">
        <v>3678</v>
      </c>
      <c r="D12" s="1">
        <v>1240</v>
      </c>
      <c r="E12" s="1">
        <v>570</v>
      </c>
      <c r="F12" s="1">
        <v>80</v>
      </c>
      <c r="G12" s="1" t="b">
        <v>0</v>
      </c>
    </row>
    <row r="13" spans="1:7" x14ac:dyDescent="0.3">
      <c r="A13" s="1" t="s">
        <v>1216</v>
      </c>
      <c r="B13" s="1" t="s">
        <v>3679</v>
      </c>
      <c r="C13" s="1" t="s">
        <v>3678</v>
      </c>
      <c r="D13" s="1">
        <v>1240</v>
      </c>
      <c r="E13" s="1">
        <v>700</v>
      </c>
      <c r="F13" s="1">
        <v>1</v>
      </c>
      <c r="G13" s="1" t="b">
        <v>0</v>
      </c>
    </row>
    <row r="14" spans="1:7" x14ac:dyDescent="0.3">
      <c r="A14" s="1" t="s">
        <v>1219</v>
      </c>
      <c r="B14" s="1" t="s">
        <v>3680</v>
      </c>
      <c r="C14" s="1" t="s">
        <v>3665</v>
      </c>
      <c r="D14" s="1">
        <v>2090</v>
      </c>
      <c r="E14" s="1">
        <v>1270</v>
      </c>
      <c r="F14" s="1">
        <v>149</v>
      </c>
      <c r="G14" s="1" t="b">
        <v>0</v>
      </c>
    </row>
    <row r="15" spans="1:7" x14ac:dyDescent="0.3">
      <c r="A15" s="1" t="s">
        <v>1199</v>
      </c>
      <c r="B15" s="1" t="s">
        <v>3681</v>
      </c>
      <c r="C15" s="1" t="s">
        <v>3663</v>
      </c>
      <c r="D15" s="1">
        <v>99</v>
      </c>
      <c r="E15" s="1">
        <v>50</v>
      </c>
      <c r="F15" s="1">
        <v>359</v>
      </c>
      <c r="G15" s="1" t="b">
        <v>0</v>
      </c>
    </row>
    <row r="16" spans="1:7" x14ac:dyDescent="0.3">
      <c r="A16" s="1" t="s">
        <v>1213</v>
      </c>
      <c r="B16" s="1" t="s">
        <v>3682</v>
      </c>
      <c r="C16" s="1" t="s">
        <v>3665</v>
      </c>
      <c r="D16" s="1">
        <v>1765</v>
      </c>
      <c r="E16" s="1">
        <v>60</v>
      </c>
      <c r="F16" s="1">
        <v>403</v>
      </c>
      <c r="G16" s="1" t="b">
        <v>1</v>
      </c>
    </row>
    <row r="17" spans="1:7" x14ac:dyDescent="0.3">
      <c r="A17" s="1" t="s">
        <v>1106</v>
      </c>
      <c r="B17" s="1" t="s">
        <v>3683</v>
      </c>
      <c r="C17" s="1" t="s">
        <v>3670</v>
      </c>
      <c r="D17" s="1">
        <v>1130</v>
      </c>
      <c r="E17" s="1">
        <v>600</v>
      </c>
      <c r="F17" s="1">
        <v>115</v>
      </c>
      <c r="G17" s="1" t="b">
        <v>0</v>
      </c>
    </row>
    <row r="18" spans="1:7" x14ac:dyDescent="0.3">
      <c r="A18" s="1" t="s">
        <v>1330</v>
      </c>
      <c r="B18" s="1" t="s">
        <v>3684</v>
      </c>
      <c r="C18" s="1" t="s">
        <v>3670</v>
      </c>
      <c r="D18" s="1">
        <v>580</v>
      </c>
      <c r="E18" s="1">
        <v>390</v>
      </c>
      <c r="F18" s="1">
        <v>36</v>
      </c>
      <c r="G18" s="1" t="b">
        <v>0</v>
      </c>
    </row>
    <row r="19" spans="1:7" x14ac:dyDescent="0.3">
      <c r="A19" s="1" t="s">
        <v>1163</v>
      </c>
      <c r="B19" s="1" t="s">
        <v>3685</v>
      </c>
      <c r="C19" s="1" t="s">
        <v>3663</v>
      </c>
      <c r="D19" s="1">
        <v>2180</v>
      </c>
      <c r="E19" s="1">
        <v>1390</v>
      </c>
      <c r="F19" s="1">
        <v>383</v>
      </c>
      <c r="G19" s="1" t="b">
        <v>0</v>
      </c>
    </row>
    <row r="20" spans="1:7" x14ac:dyDescent="0.3">
      <c r="A20" s="1" t="s">
        <v>1459</v>
      </c>
      <c r="B20" s="1" t="s">
        <v>3686</v>
      </c>
      <c r="C20" s="1" t="s">
        <v>3676</v>
      </c>
      <c r="D20" s="1">
        <v>710</v>
      </c>
      <c r="E20" s="1">
        <v>380</v>
      </c>
      <c r="F20" s="1">
        <v>352</v>
      </c>
      <c r="G20" s="1" t="b">
        <v>0</v>
      </c>
    </row>
    <row r="21" spans="1:7" x14ac:dyDescent="0.3">
      <c r="A21" s="1" t="s">
        <v>1433</v>
      </c>
      <c r="B21" s="1" t="s">
        <v>3687</v>
      </c>
      <c r="C21" s="1" t="s">
        <v>3672</v>
      </c>
      <c r="D21" s="1">
        <v>110</v>
      </c>
      <c r="E21" s="1">
        <v>-60</v>
      </c>
      <c r="F21" s="1">
        <v>256</v>
      </c>
      <c r="G21" s="1" t="b">
        <v>0</v>
      </c>
    </row>
    <row r="22" spans="1:7" x14ac:dyDescent="0.3">
      <c r="A22" s="1" t="s">
        <v>1270</v>
      </c>
      <c r="B22" s="1" t="s">
        <v>3688</v>
      </c>
      <c r="C22" s="1" t="s">
        <v>3676</v>
      </c>
      <c r="D22" s="1">
        <v>3560</v>
      </c>
      <c r="E22" s="1">
        <v>1890</v>
      </c>
      <c r="F22" s="1">
        <v>20</v>
      </c>
      <c r="G22" s="1" t="b">
        <v>0</v>
      </c>
    </row>
    <row r="23" spans="1:7" x14ac:dyDescent="0.3">
      <c r="A23" s="1" t="s">
        <v>1230</v>
      </c>
      <c r="B23" s="1" t="s">
        <v>3689</v>
      </c>
      <c r="C23" s="1" t="s">
        <v>3665</v>
      </c>
      <c r="D23" s="1">
        <v>1530</v>
      </c>
      <c r="E23" s="1">
        <v>890</v>
      </c>
      <c r="F23" s="1">
        <v>46</v>
      </c>
      <c r="G23" s="1" t="b">
        <v>0</v>
      </c>
    </row>
    <row r="24" spans="1:7" x14ac:dyDescent="0.3">
      <c r="A24" s="1" t="s">
        <v>1328</v>
      </c>
      <c r="B24" s="1" t="s">
        <v>3690</v>
      </c>
      <c r="C24" s="1" t="s">
        <v>3678</v>
      </c>
      <c r="D24" s="1">
        <v>1880</v>
      </c>
      <c r="E24" s="1">
        <v>1220</v>
      </c>
      <c r="F24" s="1">
        <v>300</v>
      </c>
      <c r="G24" s="1" t="b">
        <v>0</v>
      </c>
    </row>
    <row r="25" spans="1:7" x14ac:dyDescent="0.3">
      <c r="A25" s="1" t="s">
        <v>1125</v>
      </c>
      <c r="B25" s="1" t="s">
        <v>3691</v>
      </c>
      <c r="C25" s="1" t="s">
        <v>3663</v>
      </c>
      <c r="D25" s="1">
        <v>99</v>
      </c>
      <c r="E25" s="1">
        <v>60</v>
      </c>
      <c r="F25" s="1">
        <v>20</v>
      </c>
      <c r="G25" s="1" t="b">
        <v>0</v>
      </c>
    </row>
    <row r="26" spans="1:7" x14ac:dyDescent="0.3">
      <c r="A26" s="1" t="s">
        <v>1149</v>
      </c>
      <c r="B26" s="1" t="s">
        <v>3692</v>
      </c>
      <c r="C26" s="1" t="s">
        <v>3678</v>
      </c>
      <c r="D26" s="1">
        <v>1150</v>
      </c>
      <c r="E26" s="1">
        <v>640</v>
      </c>
      <c r="F26" s="1">
        <v>469</v>
      </c>
      <c r="G26" s="1" t="b">
        <v>0</v>
      </c>
    </row>
    <row r="27" spans="1:7" x14ac:dyDescent="0.3">
      <c r="A27" s="1" t="s">
        <v>1644</v>
      </c>
      <c r="B27" s="1" t="s">
        <v>3693</v>
      </c>
      <c r="C27" s="1" t="s">
        <v>3672</v>
      </c>
      <c r="D27" s="1">
        <v>1930</v>
      </c>
      <c r="E27" s="1">
        <v>1350</v>
      </c>
      <c r="F27" s="1">
        <v>325</v>
      </c>
      <c r="G27" s="1" t="b">
        <v>0</v>
      </c>
    </row>
    <row r="28" spans="1:7" x14ac:dyDescent="0.3">
      <c r="A28" s="1" t="s">
        <v>1132</v>
      </c>
      <c r="B28" s="1" t="s">
        <v>3694</v>
      </c>
      <c r="C28" s="1" t="s">
        <v>3665</v>
      </c>
      <c r="D28" s="1">
        <v>420</v>
      </c>
      <c r="E28" s="1">
        <v>230</v>
      </c>
      <c r="F28" s="1">
        <v>170</v>
      </c>
      <c r="G28" s="1" t="b">
        <v>0</v>
      </c>
    </row>
    <row r="29" spans="1:7" x14ac:dyDescent="0.3">
      <c r="A29" s="1" t="s">
        <v>1171</v>
      </c>
      <c r="B29" s="1" t="s">
        <v>3695</v>
      </c>
      <c r="C29" s="1" t="s">
        <v>3672</v>
      </c>
      <c r="D29" s="1">
        <v>2250</v>
      </c>
      <c r="E29" s="1">
        <v>970</v>
      </c>
      <c r="F29" s="1">
        <v>168</v>
      </c>
      <c r="G29" s="1" t="b">
        <v>0</v>
      </c>
    </row>
    <row r="30" spans="1:7" x14ac:dyDescent="0.3">
      <c r="A30" s="1" t="s">
        <v>1299</v>
      </c>
      <c r="B30" s="1" t="s">
        <v>3696</v>
      </c>
      <c r="C30" s="1" t="s">
        <v>3665</v>
      </c>
      <c r="D30" s="1">
        <v>1080</v>
      </c>
      <c r="E30" s="1">
        <v>530</v>
      </c>
      <c r="F30" s="1">
        <v>416</v>
      </c>
      <c r="G30" s="1" t="b">
        <v>0</v>
      </c>
    </row>
    <row r="31" spans="1:7" x14ac:dyDescent="0.3">
      <c r="A31" s="1" t="s">
        <v>1168</v>
      </c>
      <c r="B31" s="1" t="s">
        <v>3697</v>
      </c>
      <c r="C31" s="1" t="s">
        <v>3676</v>
      </c>
      <c r="D31" s="1">
        <v>1440</v>
      </c>
      <c r="E31" s="1">
        <v>780</v>
      </c>
      <c r="F31" s="1">
        <v>129</v>
      </c>
      <c r="G31" s="1" t="b">
        <v>1</v>
      </c>
    </row>
    <row r="32" spans="1:7" x14ac:dyDescent="0.3">
      <c r="A32" s="1" t="s">
        <v>1484</v>
      </c>
      <c r="B32" s="1" t="s">
        <v>3698</v>
      </c>
      <c r="C32" s="1" t="s">
        <v>3672</v>
      </c>
      <c r="D32" s="1">
        <v>1080</v>
      </c>
      <c r="E32" s="1">
        <v>750</v>
      </c>
      <c r="F32" s="1">
        <v>442</v>
      </c>
      <c r="G32" s="1" t="b">
        <v>0</v>
      </c>
    </row>
    <row r="33" spans="1:7" x14ac:dyDescent="0.3">
      <c r="A33" s="1" t="s">
        <v>1262</v>
      </c>
      <c r="B33" s="1" t="s">
        <v>3699</v>
      </c>
      <c r="C33" s="1" t="s">
        <v>3676</v>
      </c>
      <c r="D33" s="1">
        <v>4020</v>
      </c>
      <c r="E33" s="1">
        <v>2400</v>
      </c>
      <c r="F33" s="1">
        <v>236</v>
      </c>
      <c r="G33" s="1" t="b">
        <v>0</v>
      </c>
    </row>
    <row r="34" spans="1:7" x14ac:dyDescent="0.3">
      <c r="A34" s="1" t="s">
        <v>1176</v>
      </c>
      <c r="B34" s="1" t="s">
        <v>3700</v>
      </c>
      <c r="C34" s="1" t="s">
        <v>3665</v>
      </c>
      <c r="D34" s="1">
        <v>2670</v>
      </c>
      <c r="E34" s="1">
        <v>12180</v>
      </c>
      <c r="F34" s="1">
        <v>318</v>
      </c>
      <c r="G34" s="1" t="b">
        <v>0</v>
      </c>
    </row>
    <row r="35" spans="1:7" x14ac:dyDescent="0.3">
      <c r="A35" s="1" t="s">
        <v>1202</v>
      </c>
      <c r="B35" s="1" t="s">
        <v>3701</v>
      </c>
      <c r="C35" s="1" t="s">
        <v>3665</v>
      </c>
      <c r="D35" s="1">
        <v>530</v>
      </c>
      <c r="E35" s="1">
        <v>330</v>
      </c>
      <c r="F35" s="1">
        <v>136</v>
      </c>
      <c r="G35" s="1" t="b">
        <v>0</v>
      </c>
    </row>
    <row r="36" spans="1:7" x14ac:dyDescent="0.3">
      <c r="A36" s="1" t="s">
        <v>1719</v>
      </c>
      <c r="B36" s="1" t="s">
        <v>3702</v>
      </c>
      <c r="C36" s="1" t="s">
        <v>3676</v>
      </c>
      <c r="D36" s="1">
        <v>2790</v>
      </c>
      <c r="E36" s="1">
        <v>1890</v>
      </c>
      <c r="F36" s="1">
        <v>450</v>
      </c>
      <c r="G36" s="1" t="b">
        <v>0</v>
      </c>
    </row>
    <row r="37" spans="1:7" x14ac:dyDescent="0.3">
      <c r="A37" s="1" t="s">
        <v>1278</v>
      </c>
      <c r="B37" s="1" t="s">
        <v>3703</v>
      </c>
      <c r="C37" s="1" t="s">
        <v>3670</v>
      </c>
      <c r="D37" s="1">
        <v>330</v>
      </c>
      <c r="E37" s="1">
        <v>140</v>
      </c>
      <c r="F37" s="1">
        <v>409</v>
      </c>
      <c r="G37" s="1" t="b">
        <v>0</v>
      </c>
    </row>
    <row r="38" spans="1:7" x14ac:dyDescent="0.3">
      <c r="A38" s="1" t="s">
        <v>1197</v>
      </c>
      <c r="B38" s="1" t="s">
        <v>3704</v>
      </c>
      <c r="C38" s="1" t="s">
        <v>3678</v>
      </c>
      <c r="D38" s="1">
        <v>2050</v>
      </c>
      <c r="E38" s="1">
        <v>920</v>
      </c>
      <c r="F38" s="1">
        <v>7</v>
      </c>
      <c r="G38" s="1" t="b">
        <v>0</v>
      </c>
    </row>
    <row r="39" spans="1:7" x14ac:dyDescent="0.3">
      <c r="A39" s="1" t="s">
        <v>1307</v>
      </c>
      <c r="B39" s="1" t="s">
        <v>3705</v>
      </c>
      <c r="C39" s="1" t="s">
        <v>3676</v>
      </c>
      <c r="D39" s="1">
        <v>99</v>
      </c>
      <c r="E39" s="1">
        <v>40</v>
      </c>
      <c r="F39" s="1">
        <v>236</v>
      </c>
      <c r="G39" s="1" t="b">
        <v>0</v>
      </c>
    </row>
    <row r="40" spans="1:7" x14ac:dyDescent="0.3">
      <c r="A40" s="1" t="s">
        <v>1294</v>
      </c>
      <c r="B40" s="1" t="s">
        <v>3706</v>
      </c>
      <c r="C40" s="1" t="s">
        <v>3663</v>
      </c>
      <c r="D40" s="1">
        <v>210</v>
      </c>
      <c r="E40" s="1">
        <v>140</v>
      </c>
      <c r="F40" s="1">
        <v>477</v>
      </c>
      <c r="G40" s="1" t="b">
        <v>0</v>
      </c>
    </row>
    <row r="41" spans="1:7" x14ac:dyDescent="0.3">
      <c r="A41" s="1" t="s">
        <v>1468</v>
      </c>
      <c r="B41" s="1" t="s">
        <v>3707</v>
      </c>
      <c r="C41" s="1" t="s">
        <v>3670</v>
      </c>
      <c r="D41" s="1">
        <v>2040</v>
      </c>
      <c r="E41" s="1">
        <v>1130</v>
      </c>
      <c r="F41" s="1">
        <v>212</v>
      </c>
      <c r="G41" s="1" t="b">
        <v>0</v>
      </c>
    </row>
    <row r="42" spans="1:7" x14ac:dyDescent="0.3">
      <c r="A42" s="1" t="s">
        <v>1225</v>
      </c>
      <c r="B42" s="1" t="s">
        <v>3708</v>
      </c>
      <c r="C42" s="1" t="s">
        <v>3665</v>
      </c>
      <c r="D42" s="1">
        <v>2690</v>
      </c>
      <c r="E42" s="1">
        <v>1270</v>
      </c>
      <c r="F42" s="1">
        <v>74</v>
      </c>
      <c r="G42" s="1" t="b">
        <v>0</v>
      </c>
    </row>
    <row r="43" spans="1:7" x14ac:dyDescent="0.3">
      <c r="A43" s="1" t="s">
        <v>1276</v>
      </c>
      <c r="B43" s="1" t="s">
        <v>3709</v>
      </c>
      <c r="C43" s="1" t="s">
        <v>3665</v>
      </c>
      <c r="D43" s="1">
        <v>2010</v>
      </c>
      <c r="E43" s="1">
        <v>1360</v>
      </c>
      <c r="F43" s="1">
        <v>382</v>
      </c>
      <c r="G43" s="1" t="b">
        <v>0</v>
      </c>
    </row>
    <row r="44" spans="1:7" x14ac:dyDescent="0.3">
      <c r="A44" s="1" t="s">
        <v>1127</v>
      </c>
      <c r="B44" s="1" t="s">
        <v>3710</v>
      </c>
      <c r="C44" s="1" t="s">
        <v>3678</v>
      </c>
      <c r="D44" s="1">
        <v>1660</v>
      </c>
      <c r="E44" s="1">
        <v>800</v>
      </c>
      <c r="F44" s="1">
        <v>174</v>
      </c>
      <c r="G44" s="1" t="b">
        <v>0</v>
      </c>
    </row>
    <row r="45" spans="1:7" x14ac:dyDescent="0.3">
      <c r="A45" s="1" t="s">
        <v>1121</v>
      </c>
      <c r="B45" s="1" t="s">
        <v>3711</v>
      </c>
      <c r="C45" s="1" t="s">
        <v>3676</v>
      </c>
      <c r="D45" s="1">
        <v>1440</v>
      </c>
      <c r="E45" s="1">
        <v>930</v>
      </c>
      <c r="F45" s="1">
        <v>371</v>
      </c>
      <c r="G45" s="1" t="b">
        <v>0</v>
      </c>
    </row>
    <row r="46" spans="1:7" x14ac:dyDescent="0.3">
      <c r="A46" s="1" t="s">
        <v>1152</v>
      </c>
      <c r="B46" s="1" t="s">
        <v>3712</v>
      </c>
      <c r="C46" s="1" t="s">
        <v>3672</v>
      </c>
      <c r="D46" s="1">
        <v>2250</v>
      </c>
      <c r="E46" s="1">
        <v>60</v>
      </c>
      <c r="F46" s="1">
        <v>443</v>
      </c>
      <c r="G46" s="1" t="b">
        <v>1</v>
      </c>
    </row>
    <row r="47" spans="1:7" x14ac:dyDescent="0.3">
      <c r="A47" s="1" t="s">
        <v>1204</v>
      </c>
      <c r="B47" s="1" t="s">
        <v>3713</v>
      </c>
      <c r="C47" s="1" t="s">
        <v>3678</v>
      </c>
      <c r="D47" s="1">
        <v>940</v>
      </c>
      <c r="E47" s="1">
        <v>530</v>
      </c>
      <c r="F47" s="1">
        <v>170</v>
      </c>
      <c r="G47" s="1" t="b">
        <v>0</v>
      </c>
    </row>
    <row r="48" spans="1:7" x14ac:dyDescent="0.3">
      <c r="A48" s="1" t="s">
        <v>1174</v>
      </c>
      <c r="B48" s="1" t="s">
        <v>3714</v>
      </c>
      <c r="C48" s="1" t="s">
        <v>3676</v>
      </c>
      <c r="D48" s="1">
        <v>1250</v>
      </c>
      <c r="E48" s="1">
        <v>640</v>
      </c>
      <c r="F48" s="1">
        <v>445</v>
      </c>
      <c r="G48" s="1" t="b">
        <v>0</v>
      </c>
    </row>
    <row r="49" spans="1:7" x14ac:dyDescent="0.3">
      <c r="A49" s="1" t="s">
        <v>1462</v>
      </c>
      <c r="B49" s="1" t="s">
        <v>3715</v>
      </c>
      <c r="C49" s="1" t="s">
        <v>3678</v>
      </c>
      <c r="D49" s="1">
        <v>3070</v>
      </c>
      <c r="E49" s="1">
        <v>1450</v>
      </c>
      <c r="F49" s="1">
        <v>119</v>
      </c>
      <c r="G49" s="1" t="b">
        <v>0</v>
      </c>
    </row>
    <row r="50" spans="1:7" x14ac:dyDescent="0.3">
      <c r="A50" s="1" t="s">
        <v>1247</v>
      </c>
      <c r="B50" s="1" t="s">
        <v>3716</v>
      </c>
      <c r="C50" s="1" t="s">
        <v>3665</v>
      </c>
      <c r="D50" s="1">
        <v>2210</v>
      </c>
      <c r="E50" s="1">
        <v>1090</v>
      </c>
      <c r="F50" s="1">
        <v>361</v>
      </c>
      <c r="G50" s="1" t="b">
        <v>0</v>
      </c>
    </row>
    <row r="51" spans="1:7" x14ac:dyDescent="0.3">
      <c r="A51" s="1" t="s">
        <v>1265</v>
      </c>
      <c r="B51" s="1" t="s">
        <v>3717</v>
      </c>
      <c r="C51" s="1" t="s">
        <v>3665</v>
      </c>
      <c r="D51" s="1">
        <v>99</v>
      </c>
      <c r="E51" s="1">
        <v>70</v>
      </c>
      <c r="F51" s="1">
        <v>253</v>
      </c>
      <c r="G51" s="1" t="b">
        <v>0</v>
      </c>
    </row>
    <row r="52" spans="1:7" x14ac:dyDescent="0.3">
      <c r="A52" s="1" t="s">
        <v>1315</v>
      </c>
      <c r="B52" s="1" t="s">
        <v>3718</v>
      </c>
      <c r="C52" s="1" t="s">
        <v>3663</v>
      </c>
      <c r="D52" s="1">
        <v>2190</v>
      </c>
      <c r="E52" s="1">
        <v>1210</v>
      </c>
      <c r="F52" s="1">
        <v>169</v>
      </c>
      <c r="G52" s="1" t="b">
        <v>0</v>
      </c>
    </row>
    <row r="53" spans="1:7" x14ac:dyDescent="0.3">
      <c r="A53" s="1" t="s">
        <v>1403</v>
      </c>
      <c r="B53" s="1" t="s">
        <v>3719</v>
      </c>
      <c r="C53" s="1" t="s">
        <v>3663</v>
      </c>
      <c r="D53" s="1">
        <v>1340</v>
      </c>
      <c r="E53" s="1">
        <v>580</v>
      </c>
      <c r="F53" s="1">
        <v>7</v>
      </c>
      <c r="G53" s="1" t="b">
        <v>0</v>
      </c>
    </row>
    <row r="54" spans="1:7" x14ac:dyDescent="0.3">
      <c r="A54" s="1" t="s">
        <v>1290</v>
      </c>
      <c r="B54" s="1" t="s">
        <v>3720</v>
      </c>
      <c r="C54" s="1" t="s">
        <v>3670</v>
      </c>
      <c r="D54" s="1">
        <v>990</v>
      </c>
      <c r="E54" s="1">
        <v>520</v>
      </c>
      <c r="F54" s="1">
        <v>38</v>
      </c>
      <c r="G54" s="1" t="b">
        <v>0</v>
      </c>
    </row>
    <row r="55" spans="1:7" x14ac:dyDescent="0.3">
      <c r="A55" s="1" t="s">
        <v>1188</v>
      </c>
      <c r="B55" s="1" t="s">
        <v>3721</v>
      </c>
      <c r="C55" s="1" t="s">
        <v>3665</v>
      </c>
      <c r="D55" s="1">
        <v>2530</v>
      </c>
      <c r="E55" s="1">
        <v>1270</v>
      </c>
      <c r="F55" s="1">
        <v>332</v>
      </c>
      <c r="G55" s="1" t="b">
        <v>0</v>
      </c>
    </row>
    <row r="56" spans="1:7" x14ac:dyDescent="0.3">
      <c r="A56" s="1" t="s">
        <v>1140</v>
      </c>
      <c r="B56" s="1" t="s">
        <v>3722</v>
      </c>
      <c r="C56" s="1" t="s">
        <v>3663</v>
      </c>
      <c r="D56" s="1">
        <v>3040</v>
      </c>
      <c r="E56" s="1">
        <v>1990</v>
      </c>
      <c r="F56" s="1">
        <v>194</v>
      </c>
      <c r="G56" s="1" t="b">
        <v>0</v>
      </c>
    </row>
    <row r="57" spans="1:7" x14ac:dyDescent="0.3">
      <c r="A57" s="1" t="s">
        <v>1431</v>
      </c>
      <c r="B57" s="1" t="s">
        <v>3723</v>
      </c>
      <c r="C57" s="1" t="s">
        <v>3672</v>
      </c>
      <c r="D57" s="1">
        <v>2920</v>
      </c>
      <c r="E57" s="1">
        <v>1800</v>
      </c>
      <c r="F57" s="1">
        <v>446</v>
      </c>
      <c r="G57" s="1" t="b">
        <v>0</v>
      </c>
    </row>
    <row r="58" spans="1:7" x14ac:dyDescent="0.3">
      <c r="A58" s="1" t="s">
        <v>1182</v>
      </c>
      <c r="B58" s="1" t="s">
        <v>3724</v>
      </c>
      <c r="C58" s="1" t="s">
        <v>3676</v>
      </c>
      <c r="D58" s="1">
        <v>790</v>
      </c>
      <c r="E58" s="1">
        <v>460</v>
      </c>
      <c r="F58" s="1">
        <v>323</v>
      </c>
      <c r="G58" s="1" t="b">
        <v>0</v>
      </c>
    </row>
    <row r="59" spans="1:7" x14ac:dyDescent="0.3">
      <c r="A59" s="1" t="s">
        <v>1412</v>
      </c>
      <c r="B59" s="1" t="s">
        <v>3725</v>
      </c>
      <c r="C59" s="1" t="s">
        <v>3670</v>
      </c>
      <c r="D59" s="1">
        <v>1430</v>
      </c>
      <c r="E59" s="1">
        <v>1000</v>
      </c>
      <c r="F59" s="1">
        <v>222</v>
      </c>
      <c r="G59" s="1" t="b">
        <v>0</v>
      </c>
    </row>
    <row r="60" spans="1:7" x14ac:dyDescent="0.3">
      <c r="A60" s="1" t="s">
        <v>1123</v>
      </c>
      <c r="B60" s="1" t="s">
        <v>3726</v>
      </c>
      <c r="C60" s="1" t="s">
        <v>3663</v>
      </c>
      <c r="D60" s="1">
        <v>2200</v>
      </c>
      <c r="E60" s="1">
        <v>1340</v>
      </c>
      <c r="F60" s="1">
        <v>227</v>
      </c>
      <c r="G60" s="1" t="b">
        <v>0</v>
      </c>
    </row>
    <row r="61" spans="1:7" x14ac:dyDescent="0.3">
      <c r="A61" s="1" t="s">
        <v>1498</v>
      </c>
      <c r="B61" s="1" t="s">
        <v>3727</v>
      </c>
      <c r="C61" s="1" t="s">
        <v>3678</v>
      </c>
      <c r="D61" s="1">
        <v>1910</v>
      </c>
      <c r="E61" s="1">
        <v>21820</v>
      </c>
      <c r="F61" s="1">
        <v>23</v>
      </c>
      <c r="G61" s="1" t="b">
        <v>1</v>
      </c>
    </row>
    <row r="62" spans="1:7" x14ac:dyDescent="0.3">
      <c r="A62" s="1" t="s">
        <v>1302</v>
      </c>
      <c r="B62" s="1" t="s">
        <v>3728</v>
      </c>
      <c r="C62" s="1" t="s">
        <v>3672</v>
      </c>
      <c r="D62" s="1">
        <v>1220</v>
      </c>
      <c r="E62" s="1">
        <v>600</v>
      </c>
      <c r="F62" s="1">
        <v>220</v>
      </c>
      <c r="G62" s="1" t="b">
        <v>0</v>
      </c>
    </row>
    <row r="63" spans="1:7" x14ac:dyDescent="0.3">
      <c r="A63" s="1" t="s">
        <v>1209</v>
      </c>
      <c r="B63" s="1" t="s">
        <v>3729</v>
      </c>
      <c r="C63" s="1" t="s">
        <v>3678</v>
      </c>
      <c r="D63" s="1">
        <v>1580</v>
      </c>
      <c r="E63" s="1">
        <v>880</v>
      </c>
      <c r="F63" s="1">
        <v>349</v>
      </c>
      <c r="G63" s="1" t="b">
        <v>0</v>
      </c>
    </row>
    <row r="64" spans="1:7" x14ac:dyDescent="0.3">
      <c r="A64" s="1" t="s">
        <v>1135</v>
      </c>
      <c r="B64" s="1" t="s">
        <v>3730</v>
      </c>
      <c r="C64" s="1" t="s">
        <v>3678</v>
      </c>
      <c r="D64" s="1">
        <v>470</v>
      </c>
      <c r="E64" s="1">
        <v>210</v>
      </c>
      <c r="F64" s="1">
        <v>445</v>
      </c>
      <c r="G64" s="1" t="b">
        <v>0</v>
      </c>
    </row>
    <row r="65" spans="1:7" x14ac:dyDescent="0.3">
      <c r="A65" s="1" t="s">
        <v>1273</v>
      </c>
      <c r="B65" s="1" t="s">
        <v>3731</v>
      </c>
      <c r="C65" s="1" t="s">
        <v>3665</v>
      </c>
      <c r="D65" s="1">
        <v>360</v>
      </c>
      <c r="E65" s="1">
        <v>200</v>
      </c>
      <c r="F65" s="1">
        <v>73</v>
      </c>
      <c r="G65" s="1" t="b">
        <v>0</v>
      </c>
    </row>
    <row r="66" spans="1:7" x14ac:dyDescent="0.3">
      <c r="A66" s="1" t="s">
        <v>1113</v>
      </c>
      <c r="B66" s="1" t="s">
        <v>3732</v>
      </c>
      <c r="C66" s="1" t="s">
        <v>3678</v>
      </c>
      <c r="D66" s="1">
        <v>2780</v>
      </c>
      <c r="E66" s="1">
        <v>1640</v>
      </c>
      <c r="F66" s="1">
        <v>130</v>
      </c>
      <c r="G66" s="1" t="b">
        <v>0</v>
      </c>
    </row>
    <row r="67" spans="1:7" x14ac:dyDescent="0.3">
      <c r="A67" s="1" t="s">
        <v>1195</v>
      </c>
      <c r="B67" s="1" t="s">
        <v>3733</v>
      </c>
      <c r="C67" s="1" t="s">
        <v>3670</v>
      </c>
      <c r="D67" s="1">
        <v>3430</v>
      </c>
      <c r="E67" s="1">
        <v>2300</v>
      </c>
      <c r="F67" s="1">
        <v>461</v>
      </c>
      <c r="G67" s="1" t="b">
        <v>0</v>
      </c>
    </row>
    <row r="68" spans="1:7" x14ac:dyDescent="0.3">
      <c r="A68" s="1" t="s">
        <v>1160</v>
      </c>
      <c r="B68" s="1" t="s">
        <v>3734</v>
      </c>
      <c r="C68" s="1" t="s">
        <v>3672</v>
      </c>
      <c r="D68" s="1">
        <v>1710</v>
      </c>
      <c r="E68" s="1">
        <v>960</v>
      </c>
      <c r="F68" s="1">
        <v>226</v>
      </c>
      <c r="G68" s="1" t="b">
        <v>0</v>
      </c>
    </row>
    <row r="69" spans="1:7" x14ac:dyDescent="0.3">
      <c r="A69" s="1" t="s">
        <v>1116</v>
      </c>
      <c r="B69" s="1" t="s">
        <v>3735</v>
      </c>
      <c r="C69" s="1" t="s">
        <v>3672</v>
      </c>
      <c r="D69" s="1">
        <v>3000</v>
      </c>
      <c r="E69" s="1">
        <v>1470</v>
      </c>
      <c r="F69" s="1">
        <v>353</v>
      </c>
      <c r="G69" s="1" t="b">
        <v>0</v>
      </c>
    </row>
    <row r="70" spans="1:7" x14ac:dyDescent="0.3">
      <c r="A70" s="1" t="s">
        <v>1143</v>
      </c>
      <c r="B70" s="1" t="s">
        <v>3736</v>
      </c>
      <c r="C70" s="1" t="s">
        <v>3672</v>
      </c>
      <c r="D70" s="1">
        <v>2230</v>
      </c>
      <c r="E70" s="1">
        <v>1460</v>
      </c>
      <c r="F70" s="1">
        <v>196</v>
      </c>
      <c r="G70" s="1" t="b">
        <v>0</v>
      </c>
    </row>
    <row r="71" spans="1:7" x14ac:dyDescent="0.3">
      <c r="A71" s="1" t="s">
        <v>1418</v>
      </c>
      <c r="B71" s="1" t="s">
        <v>3737</v>
      </c>
      <c r="C71" s="1" t="s">
        <v>3665</v>
      </c>
      <c r="D71" s="1">
        <v>1030</v>
      </c>
      <c r="E71" s="1">
        <v>490</v>
      </c>
      <c r="F71" s="1">
        <v>183</v>
      </c>
      <c r="G71" s="1" t="b">
        <v>0</v>
      </c>
    </row>
    <row r="72" spans="1:7" x14ac:dyDescent="0.3">
      <c r="A72" s="1" t="s">
        <v>1184</v>
      </c>
      <c r="B72" s="1" t="s">
        <v>3738</v>
      </c>
      <c r="C72" s="1" t="s">
        <v>3676</v>
      </c>
      <c r="D72" s="1">
        <v>2230</v>
      </c>
      <c r="E72" s="1">
        <v>1560</v>
      </c>
      <c r="F72" s="1">
        <v>11</v>
      </c>
      <c r="G72" s="1" t="b">
        <v>0</v>
      </c>
    </row>
    <row r="73" spans="1:7" x14ac:dyDescent="0.3">
      <c r="A73" s="1" t="s">
        <v>1267</v>
      </c>
      <c r="B73" s="1" t="s">
        <v>3739</v>
      </c>
      <c r="C73" s="1" t="s">
        <v>3670</v>
      </c>
      <c r="D73" s="1">
        <v>3650</v>
      </c>
      <c r="E73" s="1">
        <v>1760</v>
      </c>
      <c r="F73" s="1">
        <v>442</v>
      </c>
      <c r="G73" s="1" t="b">
        <v>0</v>
      </c>
    </row>
    <row r="74" spans="1:7" x14ac:dyDescent="0.3">
      <c r="A74" s="1" t="s">
        <v>1257</v>
      </c>
      <c r="B74" s="1" t="s">
        <v>3740</v>
      </c>
      <c r="C74" s="1" t="s">
        <v>3670</v>
      </c>
      <c r="D74" s="1">
        <v>1760</v>
      </c>
      <c r="E74" s="1">
        <v>1180</v>
      </c>
      <c r="F74" s="1">
        <v>426</v>
      </c>
      <c r="G74" s="1" t="b">
        <v>0</v>
      </c>
    </row>
    <row r="75" spans="1:7" x14ac:dyDescent="0.3">
      <c r="A75" s="1" t="s">
        <v>1564</v>
      </c>
      <c r="B75" s="1" t="s">
        <v>3741</v>
      </c>
      <c r="C75" s="1" t="s">
        <v>3672</v>
      </c>
      <c r="D75" s="1">
        <v>3680</v>
      </c>
      <c r="E75" s="1">
        <v>2140</v>
      </c>
      <c r="F75" s="1">
        <v>112</v>
      </c>
      <c r="G75" s="1" t="b">
        <v>0</v>
      </c>
    </row>
    <row r="76" spans="1:7" x14ac:dyDescent="0.3">
      <c r="A76" s="1" t="s">
        <v>1109</v>
      </c>
      <c r="B76" s="1" t="s">
        <v>3742</v>
      </c>
      <c r="C76" s="1" t="s">
        <v>3670</v>
      </c>
      <c r="D76" s="1">
        <v>1475</v>
      </c>
      <c r="E76" s="1">
        <v>60</v>
      </c>
      <c r="F76" s="1">
        <v>321</v>
      </c>
      <c r="G76" s="1" t="b">
        <v>1</v>
      </c>
    </row>
    <row r="77" spans="1:7" x14ac:dyDescent="0.3">
      <c r="A77" s="1" t="s">
        <v>1320</v>
      </c>
      <c r="B77" s="1" t="s">
        <v>3743</v>
      </c>
      <c r="C77" s="1" t="s">
        <v>3663</v>
      </c>
      <c r="D77" s="1">
        <v>2790</v>
      </c>
      <c r="E77" s="1">
        <v>1660</v>
      </c>
      <c r="F77" s="1">
        <v>403</v>
      </c>
      <c r="G77" s="1" t="b">
        <v>0</v>
      </c>
    </row>
    <row r="78" spans="1:7" x14ac:dyDescent="0.3">
      <c r="A78" s="1" t="s">
        <v>1391</v>
      </c>
      <c r="B78" s="1" t="s">
        <v>3744</v>
      </c>
      <c r="C78" s="1" t="s">
        <v>3665</v>
      </c>
      <c r="D78" s="1">
        <v>1900</v>
      </c>
      <c r="E78" s="1">
        <v>1090</v>
      </c>
      <c r="F78" s="1">
        <v>46</v>
      </c>
      <c r="G78" s="1" t="b">
        <v>0</v>
      </c>
    </row>
    <row r="79" spans="1:7" x14ac:dyDescent="0.3">
      <c r="A79" s="1" t="s">
        <v>1333</v>
      </c>
      <c r="B79" s="1" t="s">
        <v>3745</v>
      </c>
      <c r="C79" s="1" t="s">
        <v>3672</v>
      </c>
      <c r="D79" s="1">
        <v>1440</v>
      </c>
      <c r="E79" s="1">
        <v>900</v>
      </c>
      <c r="F79" s="1">
        <v>102</v>
      </c>
      <c r="G79" s="1" t="b">
        <v>0</v>
      </c>
    </row>
    <row r="80" spans="1:7" x14ac:dyDescent="0.3">
      <c r="A80" s="1" t="s">
        <v>1137</v>
      </c>
      <c r="B80" s="1" t="s">
        <v>3746</v>
      </c>
      <c r="C80" s="1" t="s">
        <v>3678</v>
      </c>
      <c r="D80" s="1">
        <v>1910</v>
      </c>
      <c r="E80" s="1">
        <v>1270</v>
      </c>
      <c r="F80" s="1">
        <v>271</v>
      </c>
      <c r="G80" s="1" t="b">
        <v>0</v>
      </c>
    </row>
    <row r="81" spans="1:7" x14ac:dyDescent="0.3">
      <c r="A81" s="1" t="s">
        <v>1191</v>
      </c>
      <c r="B81" s="1" t="s">
        <v>3747</v>
      </c>
      <c r="C81" s="1" t="s">
        <v>3676</v>
      </c>
      <c r="D81" s="1">
        <v>99</v>
      </c>
      <c r="E81" s="1">
        <v>60</v>
      </c>
      <c r="F81" s="1">
        <v>467</v>
      </c>
      <c r="G81" s="1" t="b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0"/>
  <sheetViews>
    <sheetView topLeftCell="A2" workbookViewId="0">
      <selection activeCell="D18" sqref="D18"/>
    </sheetView>
  </sheetViews>
  <sheetFormatPr defaultRowHeight="14.4" x14ac:dyDescent="0.3"/>
  <cols>
    <col min="1" max="1" width="13.6640625" bestFit="1" customWidth="1"/>
    <col min="2" max="2" width="9.77734375" bestFit="1" customWidth="1"/>
    <col min="3" max="3" width="11.77734375" bestFit="1" customWidth="1"/>
    <col min="4" max="4" width="11.44140625" bestFit="1" customWidth="1"/>
    <col min="5" max="5" width="9.77734375" bestFit="1" customWidth="1"/>
    <col min="6" max="6" width="9.5546875" bestFit="1" customWidth="1"/>
    <col min="7" max="7" width="10.44140625" bestFit="1" customWidth="1"/>
    <col min="8" max="8" width="12.44140625" bestFit="1" customWidth="1"/>
    <col min="9" max="9" width="15.88671875" bestFit="1" customWidth="1"/>
  </cols>
  <sheetData>
    <row r="1" spans="1:9" x14ac:dyDescent="0.3">
      <c r="A1" s="1" t="s">
        <v>0</v>
      </c>
      <c r="B1" s="1" t="s">
        <v>3748</v>
      </c>
      <c r="C1" s="1" t="s">
        <v>3749</v>
      </c>
      <c r="D1" s="1" t="s">
        <v>3750</v>
      </c>
      <c r="E1" s="1" t="s">
        <v>3751</v>
      </c>
      <c r="F1" s="1" t="s">
        <v>3752</v>
      </c>
      <c r="G1" s="1" t="s">
        <v>3753</v>
      </c>
      <c r="H1" s="1" t="s">
        <v>3754</v>
      </c>
      <c r="I1" s="1" t="s">
        <v>3</v>
      </c>
    </row>
    <row r="2" spans="1:9" x14ac:dyDescent="0.3">
      <c r="A2" s="1" t="s">
        <v>10</v>
      </c>
      <c r="B2" s="1">
        <v>5</v>
      </c>
      <c r="C2" s="1">
        <v>1</v>
      </c>
      <c r="D2" s="1">
        <v>4020</v>
      </c>
      <c r="E2" s="1">
        <v>5</v>
      </c>
      <c r="F2" s="1">
        <v>1</v>
      </c>
      <c r="G2" s="1">
        <v>1</v>
      </c>
      <c r="H2" s="1">
        <v>511</v>
      </c>
      <c r="I2" s="1" t="s">
        <v>3755</v>
      </c>
    </row>
    <row r="3" spans="1:9" x14ac:dyDescent="0.3">
      <c r="A3" s="1" t="s">
        <v>17</v>
      </c>
      <c r="B3" s="1">
        <v>252</v>
      </c>
      <c r="C3" s="1">
        <v>2</v>
      </c>
      <c r="D3" s="1">
        <v>6898.45</v>
      </c>
      <c r="E3" s="1">
        <v>2</v>
      </c>
      <c r="F3" s="1">
        <v>1</v>
      </c>
      <c r="G3" s="1">
        <v>1</v>
      </c>
      <c r="H3" s="1">
        <v>211</v>
      </c>
      <c r="I3" s="1" t="s">
        <v>3756</v>
      </c>
    </row>
    <row r="4" spans="1:9" x14ac:dyDescent="0.3">
      <c r="A4" s="1" t="s">
        <v>23</v>
      </c>
      <c r="B4" s="1">
        <v>509</v>
      </c>
      <c r="C4" s="1">
        <v>1</v>
      </c>
      <c r="D4" s="1">
        <v>6460</v>
      </c>
      <c r="E4" s="1">
        <v>1</v>
      </c>
      <c r="F4" s="1">
        <v>1</v>
      </c>
      <c r="G4" s="1">
        <v>1</v>
      </c>
      <c r="H4" s="1">
        <v>111</v>
      </c>
      <c r="I4" s="1" t="s">
        <v>3756</v>
      </c>
    </row>
    <row r="5" spans="1:9" x14ac:dyDescent="0.3">
      <c r="A5" s="1" t="s">
        <v>28</v>
      </c>
      <c r="B5" s="1">
        <v>4</v>
      </c>
      <c r="C5" s="1">
        <v>5</v>
      </c>
      <c r="D5" s="1">
        <v>46941.3</v>
      </c>
      <c r="E5" s="1">
        <v>5</v>
      </c>
      <c r="F5" s="1">
        <v>5</v>
      </c>
      <c r="G5" s="1">
        <v>5</v>
      </c>
      <c r="H5" s="1">
        <v>555</v>
      </c>
      <c r="I5" s="1" t="s">
        <v>3757</v>
      </c>
    </row>
    <row r="6" spans="1:9" x14ac:dyDescent="0.3">
      <c r="A6" s="1" t="s">
        <v>33</v>
      </c>
      <c r="B6" s="1">
        <v>83</v>
      </c>
      <c r="C6" s="1">
        <v>8</v>
      </c>
      <c r="D6" s="1">
        <v>59760</v>
      </c>
      <c r="E6" s="1">
        <v>4</v>
      </c>
      <c r="F6" s="1">
        <v>5</v>
      </c>
      <c r="G6" s="1">
        <v>5</v>
      </c>
      <c r="H6" s="1">
        <v>455</v>
      </c>
      <c r="I6" s="1" t="s">
        <v>3757</v>
      </c>
    </row>
    <row r="7" spans="1:9" x14ac:dyDescent="0.3">
      <c r="A7" s="1" t="s">
        <v>39</v>
      </c>
      <c r="B7" s="1">
        <v>375</v>
      </c>
      <c r="C7" s="1">
        <v>2</v>
      </c>
      <c r="D7" s="1">
        <v>19265</v>
      </c>
      <c r="E7" s="1">
        <v>1</v>
      </c>
      <c r="F7" s="1">
        <v>1</v>
      </c>
      <c r="G7" s="1">
        <v>3</v>
      </c>
      <c r="H7" s="1">
        <v>113</v>
      </c>
      <c r="I7" s="1" t="s">
        <v>3756</v>
      </c>
    </row>
    <row r="8" spans="1:9" x14ac:dyDescent="0.3">
      <c r="A8" s="1" t="s">
        <v>42</v>
      </c>
      <c r="B8" s="1">
        <v>384</v>
      </c>
      <c r="C8" s="1">
        <v>1</v>
      </c>
      <c r="D8" s="1">
        <v>3420</v>
      </c>
      <c r="E8" s="1">
        <v>1</v>
      </c>
      <c r="F8" s="1">
        <v>1</v>
      </c>
      <c r="G8" s="1">
        <v>1</v>
      </c>
      <c r="H8" s="1">
        <v>111</v>
      </c>
      <c r="I8" s="1" t="s">
        <v>3756</v>
      </c>
    </row>
    <row r="9" spans="1:9" x14ac:dyDescent="0.3">
      <c r="A9" s="1" t="s">
        <v>46</v>
      </c>
      <c r="B9" s="1">
        <v>149</v>
      </c>
      <c r="C9" s="1">
        <v>1</v>
      </c>
      <c r="D9" s="1">
        <v>6964</v>
      </c>
      <c r="E9" s="1">
        <v>3</v>
      </c>
      <c r="F9" s="1">
        <v>1</v>
      </c>
      <c r="G9" s="1">
        <v>1</v>
      </c>
      <c r="H9" s="1">
        <v>311</v>
      </c>
      <c r="I9" s="1" t="s">
        <v>3758</v>
      </c>
    </row>
    <row r="10" spans="1:9" x14ac:dyDescent="0.3">
      <c r="A10" s="1" t="s">
        <v>50</v>
      </c>
      <c r="B10" s="1">
        <v>2</v>
      </c>
      <c r="C10" s="1">
        <v>8</v>
      </c>
      <c r="D10" s="1">
        <v>103834.3</v>
      </c>
      <c r="E10" s="1">
        <v>5</v>
      </c>
      <c r="F10" s="1">
        <v>5</v>
      </c>
      <c r="G10" s="1">
        <v>5</v>
      </c>
      <c r="H10" s="1">
        <v>555</v>
      </c>
      <c r="I10" s="1" t="s">
        <v>3757</v>
      </c>
    </row>
    <row r="11" spans="1:9" x14ac:dyDescent="0.3">
      <c r="A11" s="1" t="s">
        <v>54</v>
      </c>
      <c r="B11" s="1">
        <v>434</v>
      </c>
      <c r="C11" s="1">
        <v>1</v>
      </c>
      <c r="D11" s="1">
        <v>10120</v>
      </c>
      <c r="E11" s="1">
        <v>1</v>
      </c>
      <c r="F11" s="1">
        <v>1</v>
      </c>
      <c r="G11" s="1">
        <v>1</v>
      </c>
      <c r="H11" s="1">
        <v>111</v>
      </c>
      <c r="I11" s="1" t="s">
        <v>3756</v>
      </c>
    </row>
    <row r="12" spans="1:9" x14ac:dyDescent="0.3">
      <c r="A12" s="1" t="s">
        <v>59</v>
      </c>
      <c r="B12" s="1">
        <v>73</v>
      </c>
      <c r="C12" s="1">
        <v>2</v>
      </c>
      <c r="D12" s="1">
        <v>27557</v>
      </c>
      <c r="E12" s="1">
        <v>4</v>
      </c>
      <c r="F12" s="1">
        <v>2</v>
      </c>
      <c r="G12" s="1">
        <v>4</v>
      </c>
      <c r="H12" s="1">
        <v>424</v>
      </c>
      <c r="I12" s="1" t="s">
        <v>3755</v>
      </c>
    </row>
    <row r="13" spans="1:9" x14ac:dyDescent="0.3">
      <c r="A13" s="1" t="s">
        <v>63</v>
      </c>
      <c r="B13" s="1">
        <v>70</v>
      </c>
      <c r="C13" s="1">
        <v>2</v>
      </c>
      <c r="D13" s="1">
        <v>11724</v>
      </c>
      <c r="E13" s="1">
        <v>4</v>
      </c>
      <c r="F13" s="1">
        <v>2</v>
      </c>
      <c r="G13" s="1">
        <v>2</v>
      </c>
      <c r="H13" s="1">
        <v>422</v>
      </c>
      <c r="I13" s="1" t="s">
        <v>3755</v>
      </c>
    </row>
    <row r="14" spans="1:9" x14ac:dyDescent="0.3">
      <c r="A14" s="1" t="s">
        <v>65</v>
      </c>
      <c r="B14" s="1">
        <v>244</v>
      </c>
      <c r="C14" s="1">
        <v>3</v>
      </c>
      <c r="D14" s="1">
        <v>15170.5</v>
      </c>
      <c r="E14" s="1">
        <v>2</v>
      </c>
      <c r="F14" s="1">
        <v>3</v>
      </c>
      <c r="G14" s="1">
        <v>2</v>
      </c>
      <c r="H14" s="1">
        <v>232</v>
      </c>
      <c r="I14" s="1" t="s">
        <v>3758</v>
      </c>
    </row>
    <row r="15" spans="1:9" x14ac:dyDescent="0.3">
      <c r="A15" s="1" t="s">
        <v>70</v>
      </c>
      <c r="B15" s="1">
        <v>110</v>
      </c>
      <c r="C15" s="1">
        <v>3</v>
      </c>
      <c r="D15" s="1">
        <v>39495.25</v>
      </c>
      <c r="E15" s="1">
        <v>3</v>
      </c>
      <c r="F15" s="1">
        <v>3</v>
      </c>
      <c r="G15" s="1">
        <v>4</v>
      </c>
      <c r="H15" s="1">
        <v>334</v>
      </c>
      <c r="I15" s="1" t="s">
        <v>3758</v>
      </c>
    </row>
    <row r="16" spans="1:9" x14ac:dyDescent="0.3">
      <c r="A16" s="1" t="s">
        <v>74</v>
      </c>
      <c r="B16" s="1">
        <v>472</v>
      </c>
      <c r="C16" s="1">
        <v>1</v>
      </c>
      <c r="D16" s="1">
        <v>14600</v>
      </c>
      <c r="E16" s="1">
        <v>1</v>
      </c>
      <c r="F16" s="1">
        <v>1</v>
      </c>
      <c r="G16" s="1">
        <v>2</v>
      </c>
      <c r="H16" s="1">
        <v>112</v>
      </c>
      <c r="I16" s="1" t="s">
        <v>3756</v>
      </c>
    </row>
    <row r="17" spans="1:9" x14ac:dyDescent="0.3">
      <c r="A17" s="1" t="s">
        <v>78</v>
      </c>
      <c r="B17" s="1">
        <v>148</v>
      </c>
      <c r="C17" s="1">
        <v>5</v>
      </c>
      <c r="D17" s="1">
        <v>48686.9</v>
      </c>
      <c r="E17" s="1">
        <v>3</v>
      </c>
      <c r="F17" s="1">
        <v>5</v>
      </c>
      <c r="G17" s="1">
        <v>5</v>
      </c>
      <c r="H17" s="1">
        <v>355</v>
      </c>
      <c r="I17" s="1" t="s">
        <v>3758</v>
      </c>
    </row>
    <row r="18" spans="1:9" x14ac:dyDescent="0.3">
      <c r="A18" s="1" t="s">
        <v>81</v>
      </c>
      <c r="B18" s="1">
        <v>9</v>
      </c>
      <c r="C18" s="1">
        <v>8</v>
      </c>
      <c r="D18" s="1">
        <v>57425.05</v>
      </c>
      <c r="E18" s="1">
        <v>5</v>
      </c>
      <c r="F18" s="1">
        <v>5</v>
      </c>
      <c r="G18" s="1">
        <v>5</v>
      </c>
      <c r="H18" s="1">
        <v>555</v>
      </c>
      <c r="I18" s="1" t="s">
        <v>3757</v>
      </c>
    </row>
    <row r="19" spans="1:9" x14ac:dyDescent="0.3">
      <c r="A19" s="1" t="s">
        <v>85</v>
      </c>
      <c r="B19" s="1">
        <v>104</v>
      </c>
      <c r="C19" s="1">
        <v>2</v>
      </c>
      <c r="D19" s="1">
        <v>17502</v>
      </c>
      <c r="E19" s="1">
        <v>4</v>
      </c>
      <c r="F19" s="1">
        <v>2</v>
      </c>
      <c r="G19" s="1">
        <v>2</v>
      </c>
      <c r="H19" s="1">
        <v>422</v>
      </c>
      <c r="I19" s="1" t="s">
        <v>3755</v>
      </c>
    </row>
    <row r="20" spans="1:9" x14ac:dyDescent="0.3">
      <c r="A20" s="1" t="s">
        <v>88</v>
      </c>
      <c r="B20" s="1">
        <v>116</v>
      </c>
      <c r="C20" s="1">
        <v>1</v>
      </c>
      <c r="D20" s="1">
        <v>2100</v>
      </c>
      <c r="E20" s="1">
        <v>3</v>
      </c>
      <c r="F20" s="1">
        <v>1</v>
      </c>
      <c r="G20" s="1">
        <v>1</v>
      </c>
      <c r="H20" s="1">
        <v>311</v>
      </c>
      <c r="I20" s="1" t="s">
        <v>3758</v>
      </c>
    </row>
    <row r="21" spans="1:9" x14ac:dyDescent="0.3">
      <c r="A21" s="1" t="s">
        <v>93</v>
      </c>
      <c r="B21" s="1">
        <v>458</v>
      </c>
      <c r="C21" s="1">
        <v>1</v>
      </c>
      <c r="D21" s="1">
        <v>3971</v>
      </c>
      <c r="E21" s="1">
        <v>1</v>
      </c>
      <c r="F21" s="1">
        <v>1</v>
      </c>
      <c r="G21" s="1">
        <v>1</v>
      </c>
      <c r="H21" s="1">
        <v>111</v>
      </c>
      <c r="I21" s="1" t="s">
        <v>3756</v>
      </c>
    </row>
    <row r="22" spans="1:9" x14ac:dyDescent="0.3">
      <c r="A22" s="1" t="s">
        <v>97</v>
      </c>
      <c r="B22" s="1">
        <v>91</v>
      </c>
      <c r="C22" s="1">
        <v>3</v>
      </c>
      <c r="D22" s="1">
        <v>15988.5</v>
      </c>
      <c r="E22" s="1">
        <v>4</v>
      </c>
      <c r="F22" s="1">
        <v>3</v>
      </c>
      <c r="G22" s="1">
        <v>2</v>
      </c>
      <c r="H22" s="1">
        <v>432</v>
      </c>
      <c r="I22" s="1" t="s">
        <v>3758</v>
      </c>
    </row>
    <row r="23" spans="1:9" x14ac:dyDescent="0.3">
      <c r="A23" s="1" t="s">
        <v>101</v>
      </c>
      <c r="B23" s="1">
        <v>135</v>
      </c>
      <c r="C23" s="1">
        <v>3</v>
      </c>
      <c r="D23" s="1">
        <v>24717.5</v>
      </c>
      <c r="E23" s="1">
        <v>3</v>
      </c>
      <c r="F23" s="1">
        <v>3</v>
      </c>
      <c r="G23" s="1">
        <v>3</v>
      </c>
      <c r="H23" s="1">
        <v>333</v>
      </c>
      <c r="I23" s="1" t="s">
        <v>3758</v>
      </c>
    </row>
    <row r="24" spans="1:9" x14ac:dyDescent="0.3">
      <c r="A24" s="1" t="s">
        <v>105</v>
      </c>
      <c r="B24" s="1">
        <v>99</v>
      </c>
      <c r="C24" s="1">
        <v>4</v>
      </c>
      <c r="D24" s="1">
        <v>5480.2</v>
      </c>
      <c r="E24" s="1">
        <v>4</v>
      </c>
      <c r="F24" s="1">
        <v>4</v>
      </c>
      <c r="G24" s="1">
        <v>1</v>
      </c>
      <c r="H24" s="1">
        <v>441</v>
      </c>
      <c r="I24" s="1" t="s">
        <v>3758</v>
      </c>
    </row>
    <row r="25" spans="1:9" x14ac:dyDescent="0.3">
      <c r="A25" s="1" t="s">
        <v>109</v>
      </c>
      <c r="B25" s="1">
        <v>41</v>
      </c>
      <c r="C25" s="1">
        <v>4</v>
      </c>
      <c r="D25" s="1">
        <v>33582.5</v>
      </c>
      <c r="E25" s="1">
        <v>5</v>
      </c>
      <c r="F25" s="1">
        <v>4</v>
      </c>
      <c r="G25" s="1">
        <v>4</v>
      </c>
      <c r="H25" s="1">
        <v>544</v>
      </c>
      <c r="I25" s="1" t="s">
        <v>3757</v>
      </c>
    </row>
    <row r="26" spans="1:9" x14ac:dyDescent="0.3">
      <c r="A26" s="1" t="s">
        <v>111</v>
      </c>
      <c r="B26" s="1">
        <v>280</v>
      </c>
      <c r="C26" s="1">
        <v>2</v>
      </c>
      <c r="D26" s="1">
        <v>12969.5</v>
      </c>
      <c r="E26" s="1">
        <v>2</v>
      </c>
      <c r="F26" s="1">
        <v>2</v>
      </c>
      <c r="G26" s="1">
        <v>2</v>
      </c>
      <c r="H26" s="1">
        <v>222</v>
      </c>
      <c r="I26" s="1" t="s">
        <v>3756</v>
      </c>
    </row>
    <row r="27" spans="1:9" x14ac:dyDescent="0.3">
      <c r="A27" s="1" t="s">
        <v>115</v>
      </c>
      <c r="B27" s="1">
        <v>20</v>
      </c>
      <c r="C27" s="1">
        <v>4</v>
      </c>
      <c r="D27" s="1">
        <v>35977.5</v>
      </c>
      <c r="E27" s="1">
        <v>5</v>
      </c>
      <c r="F27" s="1">
        <v>4</v>
      </c>
      <c r="G27" s="1">
        <v>4</v>
      </c>
      <c r="H27" s="1">
        <v>544</v>
      </c>
      <c r="I27" s="1" t="s">
        <v>3757</v>
      </c>
    </row>
    <row r="28" spans="1:9" x14ac:dyDescent="0.3">
      <c r="A28" s="1" t="s">
        <v>119</v>
      </c>
      <c r="B28" s="1">
        <v>190</v>
      </c>
      <c r="C28" s="1">
        <v>4</v>
      </c>
      <c r="D28" s="1">
        <v>21405</v>
      </c>
      <c r="E28" s="1">
        <v>2</v>
      </c>
      <c r="F28" s="1">
        <v>4</v>
      </c>
      <c r="G28" s="1">
        <v>3</v>
      </c>
      <c r="H28" s="1">
        <v>243</v>
      </c>
      <c r="I28" s="1" t="s">
        <v>3759</v>
      </c>
    </row>
    <row r="29" spans="1:9" x14ac:dyDescent="0.3">
      <c r="A29" s="1" t="s">
        <v>123</v>
      </c>
      <c r="B29" s="1">
        <v>281</v>
      </c>
      <c r="C29" s="1">
        <v>1</v>
      </c>
      <c r="D29" s="1">
        <v>14140</v>
      </c>
      <c r="E29" s="1">
        <v>2</v>
      </c>
      <c r="F29" s="1">
        <v>1</v>
      </c>
      <c r="G29" s="1">
        <v>2</v>
      </c>
      <c r="H29" s="1">
        <v>212</v>
      </c>
      <c r="I29" s="1" t="s">
        <v>3756</v>
      </c>
    </row>
    <row r="30" spans="1:9" x14ac:dyDescent="0.3">
      <c r="A30" s="1" t="s">
        <v>126</v>
      </c>
      <c r="B30" s="1">
        <v>124</v>
      </c>
      <c r="C30" s="1">
        <v>3</v>
      </c>
      <c r="D30" s="1">
        <v>29178</v>
      </c>
      <c r="E30" s="1">
        <v>3</v>
      </c>
      <c r="F30" s="1">
        <v>3</v>
      </c>
      <c r="G30" s="1">
        <v>4</v>
      </c>
      <c r="H30" s="1">
        <v>334</v>
      </c>
      <c r="I30" s="1" t="s">
        <v>3758</v>
      </c>
    </row>
    <row r="31" spans="1:9" x14ac:dyDescent="0.3">
      <c r="A31" s="1" t="s">
        <v>130</v>
      </c>
      <c r="B31" s="1">
        <v>119</v>
      </c>
      <c r="C31" s="1">
        <v>4</v>
      </c>
      <c r="D31" s="1">
        <v>47673.5</v>
      </c>
      <c r="E31" s="1">
        <v>3</v>
      </c>
      <c r="F31" s="1">
        <v>4</v>
      </c>
      <c r="G31" s="1">
        <v>5</v>
      </c>
      <c r="H31" s="1">
        <v>345</v>
      </c>
      <c r="I31" s="1" t="s">
        <v>3758</v>
      </c>
    </row>
    <row r="32" spans="1:9" x14ac:dyDescent="0.3">
      <c r="A32" s="1" t="s">
        <v>133</v>
      </c>
      <c r="B32" s="1">
        <v>107</v>
      </c>
      <c r="C32" s="1">
        <v>4</v>
      </c>
      <c r="D32" s="1">
        <v>25366.5</v>
      </c>
      <c r="E32" s="1">
        <v>3</v>
      </c>
      <c r="F32" s="1">
        <v>4</v>
      </c>
      <c r="G32" s="1">
        <v>3</v>
      </c>
      <c r="H32" s="1">
        <v>343</v>
      </c>
      <c r="I32" s="1" t="s">
        <v>3758</v>
      </c>
    </row>
    <row r="33" spans="1:9" x14ac:dyDescent="0.3">
      <c r="A33" s="1" t="s">
        <v>137</v>
      </c>
      <c r="B33" s="1">
        <v>55</v>
      </c>
      <c r="C33" s="1">
        <v>6</v>
      </c>
      <c r="D33" s="1">
        <v>27241.5</v>
      </c>
      <c r="E33" s="1">
        <v>4</v>
      </c>
      <c r="F33" s="1">
        <v>5</v>
      </c>
      <c r="G33" s="1">
        <v>3</v>
      </c>
      <c r="H33" s="1">
        <v>453</v>
      </c>
      <c r="I33" s="1" t="s">
        <v>3758</v>
      </c>
    </row>
    <row r="34" spans="1:9" x14ac:dyDescent="0.3">
      <c r="A34" s="1" t="s">
        <v>140</v>
      </c>
      <c r="B34" s="1">
        <v>150</v>
      </c>
      <c r="C34" s="1">
        <v>3</v>
      </c>
      <c r="D34" s="1">
        <v>23230</v>
      </c>
      <c r="E34" s="1">
        <v>3</v>
      </c>
      <c r="F34" s="1">
        <v>3</v>
      </c>
      <c r="G34" s="1">
        <v>3</v>
      </c>
      <c r="H34" s="1">
        <v>333</v>
      </c>
      <c r="I34" s="1" t="s">
        <v>3758</v>
      </c>
    </row>
    <row r="35" spans="1:9" x14ac:dyDescent="0.3">
      <c r="A35" s="1" t="s">
        <v>144</v>
      </c>
      <c r="B35" s="1">
        <v>116</v>
      </c>
      <c r="C35" s="1">
        <v>2</v>
      </c>
      <c r="D35" s="1">
        <v>7816</v>
      </c>
      <c r="E35" s="1">
        <v>3</v>
      </c>
      <c r="F35" s="1">
        <v>2</v>
      </c>
      <c r="G35" s="1">
        <v>1</v>
      </c>
      <c r="H35" s="1">
        <v>321</v>
      </c>
      <c r="I35" s="1" t="s">
        <v>3758</v>
      </c>
    </row>
    <row r="36" spans="1:9" x14ac:dyDescent="0.3">
      <c r="A36" s="1" t="s">
        <v>148</v>
      </c>
      <c r="B36" s="1">
        <v>187</v>
      </c>
      <c r="C36" s="1">
        <v>2</v>
      </c>
      <c r="D36" s="1">
        <v>29748</v>
      </c>
      <c r="E36" s="1">
        <v>2</v>
      </c>
      <c r="F36" s="1">
        <v>2</v>
      </c>
      <c r="G36" s="1">
        <v>4</v>
      </c>
      <c r="H36" s="1">
        <v>224</v>
      </c>
      <c r="I36" s="1" t="s">
        <v>3756</v>
      </c>
    </row>
    <row r="37" spans="1:9" x14ac:dyDescent="0.3">
      <c r="A37" s="1" t="s">
        <v>154</v>
      </c>
      <c r="B37" s="1">
        <v>95</v>
      </c>
      <c r="C37" s="1">
        <v>3</v>
      </c>
      <c r="D37" s="1">
        <v>28881.5</v>
      </c>
      <c r="E37" s="1">
        <v>4</v>
      </c>
      <c r="F37" s="1">
        <v>3</v>
      </c>
      <c r="G37" s="1">
        <v>4</v>
      </c>
      <c r="H37" s="1">
        <v>434</v>
      </c>
      <c r="I37" s="1" t="s">
        <v>3758</v>
      </c>
    </row>
    <row r="38" spans="1:9" x14ac:dyDescent="0.3">
      <c r="A38" s="1" t="s">
        <v>158</v>
      </c>
      <c r="B38" s="1">
        <v>545</v>
      </c>
      <c r="C38" s="1">
        <v>1</v>
      </c>
      <c r="D38" s="1">
        <v>5121</v>
      </c>
      <c r="E38" s="1">
        <v>1</v>
      </c>
      <c r="F38" s="1">
        <v>1</v>
      </c>
      <c r="G38" s="1">
        <v>1</v>
      </c>
      <c r="H38" s="1">
        <v>111</v>
      </c>
      <c r="I38" s="1" t="s">
        <v>3756</v>
      </c>
    </row>
    <row r="39" spans="1:9" x14ac:dyDescent="0.3">
      <c r="A39" s="1" t="s">
        <v>162</v>
      </c>
      <c r="B39" s="1">
        <v>95</v>
      </c>
      <c r="C39" s="1">
        <v>4</v>
      </c>
      <c r="D39" s="1">
        <v>47835.5</v>
      </c>
      <c r="E39" s="1">
        <v>4</v>
      </c>
      <c r="F39" s="1">
        <v>4</v>
      </c>
      <c r="G39" s="1">
        <v>5</v>
      </c>
      <c r="H39" s="1">
        <v>445</v>
      </c>
      <c r="I39" s="1" t="s">
        <v>3757</v>
      </c>
    </row>
    <row r="40" spans="1:9" x14ac:dyDescent="0.3">
      <c r="A40" s="1" t="s">
        <v>166</v>
      </c>
      <c r="B40" s="1">
        <v>206</v>
      </c>
      <c r="C40" s="1">
        <v>6</v>
      </c>
      <c r="D40" s="1">
        <v>44489</v>
      </c>
      <c r="E40" s="1">
        <v>2</v>
      </c>
      <c r="F40" s="1">
        <v>5</v>
      </c>
      <c r="G40" s="1">
        <v>5</v>
      </c>
      <c r="H40" s="1">
        <v>255</v>
      </c>
      <c r="I40" s="1" t="s">
        <v>3759</v>
      </c>
    </row>
    <row r="41" spans="1:9" x14ac:dyDescent="0.3">
      <c r="A41" s="1" t="s">
        <v>169</v>
      </c>
      <c r="B41" s="1">
        <v>180</v>
      </c>
      <c r="C41" s="1">
        <v>3</v>
      </c>
      <c r="D41" s="1">
        <v>37089</v>
      </c>
      <c r="E41" s="1">
        <v>3</v>
      </c>
      <c r="F41" s="1">
        <v>3</v>
      </c>
      <c r="G41" s="1">
        <v>4</v>
      </c>
      <c r="H41" s="1">
        <v>334</v>
      </c>
      <c r="I41" s="1" t="s">
        <v>3758</v>
      </c>
    </row>
    <row r="42" spans="1:9" x14ac:dyDescent="0.3">
      <c r="A42" s="1" t="s">
        <v>173</v>
      </c>
      <c r="B42" s="1">
        <v>38</v>
      </c>
      <c r="C42" s="1">
        <v>2</v>
      </c>
      <c r="D42" s="1">
        <v>3253.5</v>
      </c>
      <c r="E42" s="1">
        <v>5</v>
      </c>
      <c r="F42" s="1">
        <v>2</v>
      </c>
      <c r="G42" s="1">
        <v>1</v>
      </c>
      <c r="H42" s="1">
        <v>521</v>
      </c>
      <c r="I42" s="1" t="s">
        <v>3755</v>
      </c>
    </row>
    <row r="43" spans="1:9" x14ac:dyDescent="0.3">
      <c r="A43" s="1" t="s">
        <v>176</v>
      </c>
      <c r="B43" s="1">
        <v>27</v>
      </c>
      <c r="C43" s="1">
        <v>4</v>
      </c>
      <c r="D43" s="1">
        <v>65322.5</v>
      </c>
      <c r="E43" s="1">
        <v>5</v>
      </c>
      <c r="F43" s="1">
        <v>4</v>
      </c>
      <c r="G43" s="1">
        <v>5</v>
      </c>
      <c r="H43" s="1">
        <v>545</v>
      </c>
      <c r="I43" s="1" t="s">
        <v>3757</v>
      </c>
    </row>
    <row r="44" spans="1:9" x14ac:dyDescent="0.3">
      <c r="A44" s="1" t="s">
        <v>180</v>
      </c>
      <c r="B44" s="1">
        <v>94</v>
      </c>
      <c r="C44" s="1">
        <v>4</v>
      </c>
      <c r="D44" s="1">
        <v>54014.9</v>
      </c>
      <c r="E44" s="1">
        <v>4</v>
      </c>
      <c r="F44" s="1">
        <v>4</v>
      </c>
      <c r="G44" s="1">
        <v>5</v>
      </c>
      <c r="H44" s="1">
        <v>445</v>
      </c>
      <c r="I44" s="1" t="s">
        <v>3757</v>
      </c>
    </row>
    <row r="45" spans="1:9" x14ac:dyDescent="0.3">
      <c r="A45" s="1" t="s">
        <v>183</v>
      </c>
      <c r="B45" s="1">
        <v>96</v>
      </c>
      <c r="C45" s="1">
        <v>2</v>
      </c>
      <c r="D45" s="1">
        <v>6426</v>
      </c>
      <c r="E45" s="1">
        <v>4</v>
      </c>
      <c r="F45" s="1">
        <v>2</v>
      </c>
      <c r="G45" s="1">
        <v>1</v>
      </c>
      <c r="H45" s="1">
        <v>421</v>
      </c>
      <c r="I45" s="1" t="s">
        <v>3755</v>
      </c>
    </row>
    <row r="46" spans="1:9" x14ac:dyDescent="0.3">
      <c r="A46" s="1" t="s">
        <v>187</v>
      </c>
      <c r="B46" s="1">
        <v>24</v>
      </c>
      <c r="C46" s="1">
        <v>4</v>
      </c>
      <c r="D46" s="1">
        <v>33344.5</v>
      </c>
      <c r="E46" s="1">
        <v>5</v>
      </c>
      <c r="F46" s="1">
        <v>4</v>
      </c>
      <c r="G46" s="1">
        <v>4</v>
      </c>
      <c r="H46" s="1">
        <v>544</v>
      </c>
      <c r="I46" s="1" t="s">
        <v>3757</v>
      </c>
    </row>
    <row r="47" spans="1:9" x14ac:dyDescent="0.3">
      <c r="A47" s="1" t="s">
        <v>191</v>
      </c>
      <c r="B47" s="1">
        <v>171</v>
      </c>
      <c r="C47" s="1">
        <v>5</v>
      </c>
      <c r="D47" s="1">
        <v>43232</v>
      </c>
      <c r="E47" s="1">
        <v>3</v>
      </c>
      <c r="F47" s="1">
        <v>5</v>
      </c>
      <c r="G47" s="1">
        <v>5</v>
      </c>
      <c r="H47" s="1">
        <v>355</v>
      </c>
      <c r="I47" s="1" t="s">
        <v>3758</v>
      </c>
    </row>
    <row r="48" spans="1:9" x14ac:dyDescent="0.3">
      <c r="A48" s="1" t="s">
        <v>195</v>
      </c>
      <c r="B48" s="1">
        <v>41</v>
      </c>
      <c r="C48" s="1">
        <v>6</v>
      </c>
      <c r="D48" s="1">
        <v>19950.400000000001</v>
      </c>
      <c r="E48" s="1">
        <v>5</v>
      </c>
      <c r="F48" s="1">
        <v>5</v>
      </c>
      <c r="G48" s="1">
        <v>3</v>
      </c>
      <c r="H48" s="1">
        <v>553</v>
      </c>
      <c r="I48" s="1" t="s">
        <v>3758</v>
      </c>
    </row>
    <row r="49" spans="1:9" x14ac:dyDescent="0.3">
      <c r="A49" s="1" t="s">
        <v>197</v>
      </c>
      <c r="B49" s="1">
        <v>399</v>
      </c>
      <c r="C49" s="1">
        <v>3</v>
      </c>
      <c r="D49" s="1">
        <v>19629.5</v>
      </c>
      <c r="E49" s="1">
        <v>1</v>
      </c>
      <c r="F49" s="1">
        <v>3</v>
      </c>
      <c r="G49" s="1">
        <v>3</v>
      </c>
      <c r="H49" s="1">
        <v>133</v>
      </c>
      <c r="I49" s="1" t="s">
        <v>3758</v>
      </c>
    </row>
    <row r="50" spans="1:9" x14ac:dyDescent="0.3">
      <c r="A50" s="1" t="s">
        <v>201</v>
      </c>
      <c r="B50" s="1">
        <v>382</v>
      </c>
      <c r="C50" s="1">
        <v>1</v>
      </c>
      <c r="D50" s="1">
        <v>3932</v>
      </c>
      <c r="E50" s="1">
        <v>1</v>
      </c>
      <c r="F50" s="1">
        <v>1</v>
      </c>
      <c r="G50" s="1">
        <v>1</v>
      </c>
      <c r="H50" s="1">
        <v>111</v>
      </c>
      <c r="I50" s="1" t="s">
        <v>3756</v>
      </c>
    </row>
    <row r="51" spans="1:9" x14ac:dyDescent="0.3">
      <c r="A51" s="1" t="s">
        <v>205</v>
      </c>
      <c r="B51" s="1">
        <v>395</v>
      </c>
      <c r="C51" s="1">
        <v>3</v>
      </c>
      <c r="D51" s="1">
        <v>30291.5</v>
      </c>
      <c r="E51" s="1">
        <v>1</v>
      </c>
      <c r="F51" s="1">
        <v>3</v>
      </c>
      <c r="G51" s="1">
        <v>4</v>
      </c>
      <c r="H51" s="1">
        <v>134</v>
      </c>
      <c r="I51" s="1" t="s">
        <v>3758</v>
      </c>
    </row>
    <row r="52" spans="1:9" x14ac:dyDescent="0.3">
      <c r="A52" s="1" t="s">
        <v>209</v>
      </c>
      <c r="B52" s="1">
        <v>72</v>
      </c>
      <c r="C52" s="1">
        <v>4</v>
      </c>
      <c r="D52" s="1">
        <v>67353</v>
      </c>
      <c r="E52" s="1">
        <v>4</v>
      </c>
      <c r="F52" s="1">
        <v>4</v>
      </c>
      <c r="G52" s="1">
        <v>5</v>
      </c>
      <c r="H52" s="1">
        <v>445</v>
      </c>
      <c r="I52" s="1" t="s">
        <v>3757</v>
      </c>
    </row>
    <row r="53" spans="1:9" x14ac:dyDescent="0.3">
      <c r="A53" s="1" t="s">
        <v>212</v>
      </c>
      <c r="B53" s="1">
        <v>50</v>
      </c>
      <c r="C53" s="1">
        <v>6</v>
      </c>
      <c r="D53" s="1">
        <v>76791.5</v>
      </c>
      <c r="E53" s="1">
        <v>4</v>
      </c>
      <c r="F53" s="1">
        <v>5</v>
      </c>
      <c r="G53" s="1">
        <v>5</v>
      </c>
      <c r="H53" s="1">
        <v>455</v>
      </c>
      <c r="I53" s="1" t="s">
        <v>3757</v>
      </c>
    </row>
    <row r="54" spans="1:9" x14ac:dyDescent="0.3">
      <c r="A54" s="1" t="s">
        <v>216</v>
      </c>
      <c r="B54" s="1">
        <v>93</v>
      </c>
      <c r="C54" s="1">
        <v>1</v>
      </c>
      <c r="D54" s="1">
        <v>342</v>
      </c>
      <c r="E54" s="1">
        <v>4</v>
      </c>
      <c r="F54" s="1">
        <v>1</v>
      </c>
      <c r="G54" s="1">
        <v>1</v>
      </c>
      <c r="H54" s="1">
        <v>411</v>
      </c>
      <c r="I54" s="1" t="s">
        <v>3755</v>
      </c>
    </row>
    <row r="55" spans="1:9" x14ac:dyDescent="0.3">
      <c r="A55" s="1" t="s">
        <v>219</v>
      </c>
      <c r="B55" s="1">
        <v>148</v>
      </c>
      <c r="C55" s="1">
        <v>2</v>
      </c>
      <c r="D55" s="1">
        <v>22437</v>
      </c>
      <c r="E55" s="1">
        <v>3</v>
      </c>
      <c r="F55" s="1">
        <v>2</v>
      </c>
      <c r="G55" s="1">
        <v>3</v>
      </c>
      <c r="H55" s="1">
        <v>323</v>
      </c>
      <c r="I55" s="1" t="s">
        <v>3758</v>
      </c>
    </row>
    <row r="56" spans="1:9" x14ac:dyDescent="0.3">
      <c r="A56" s="1" t="s">
        <v>223</v>
      </c>
      <c r="B56" s="1">
        <v>200</v>
      </c>
      <c r="C56" s="1">
        <v>4</v>
      </c>
      <c r="D56" s="1">
        <v>63462</v>
      </c>
      <c r="E56" s="1">
        <v>2</v>
      </c>
      <c r="F56" s="1">
        <v>4</v>
      </c>
      <c r="G56" s="1">
        <v>5</v>
      </c>
      <c r="H56" s="1">
        <v>245</v>
      </c>
      <c r="I56" s="1" t="s">
        <v>3759</v>
      </c>
    </row>
    <row r="57" spans="1:9" x14ac:dyDescent="0.3">
      <c r="A57" s="1" t="s">
        <v>226</v>
      </c>
      <c r="B57" s="1">
        <v>251</v>
      </c>
      <c r="C57" s="1">
        <v>2</v>
      </c>
      <c r="D57" s="1">
        <v>9022</v>
      </c>
      <c r="E57" s="1">
        <v>2</v>
      </c>
      <c r="F57" s="1">
        <v>2</v>
      </c>
      <c r="G57" s="1">
        <v>1</v>
      </c>
      <c r="H57" s="1">
        <v>221</v>
      </c>
      <c r="I57" s="1" t="s">
        <v>3756</v>
      </c>
    </row>
    <row r="58" spans="1:9" x14ac:dyDescent="0.3">
      <c r="A58" s="1" t="s">
        <v>230</v>
      </c>
      <c r="B58" s="1">
        <v>222</v>
      </c>
      <c r="C58" s="1">
        <v>3</v>
      </c>
      <c r="D58" s="1">
        <v>15827.5</v>
      </c>
      <c r="E58" s="1">
        <v>2</v>
      </c>
      <c r="F58" s="1">
        <v>3</v>
      </c>
      <c r="G58" s="1">
        <v>2</v>
      </c>
      <c r="H58" s="1">
        <v>232</v>
      </c>
      <c r="I58" s="1" t="s">
        <v>3758</v>
      </c>
    </row>
    <row r="59" spans="1:9" x14ac:dyDescent="0.3">
      <c r="A59" s="1" t="s">
        <v>234</v>
      </c>
      <c r="B59" s="1">
        <v>84</v>
      </c>
      <c r="C59" s="1">
        <v>3</v>
      </c>
      <c r="D59" s="1">
        <v>27119.5</v>
      </c>
      <c r="E59" s="1">
        <v>4</v>
      </c>
      <c r="F59" s="1">
        <v>3</v>
      </c>
      <c r="G59" s="1">
        <v>3</v>
      </c>
      <c r="H59" s="1">
        <v>433</v>
      </c>
      <c r="I59" s="1" t="s">
        <v>3758</v>
      </c>
    </row>
    <row r="60" spans="1:9" x14ac:dyDescent="0.3">
      <c r="A60" s="1" t="s">
        <v>238</v>
      </c>
      <c r="B60" s="1">
        <v>288</v>
      </c>
      <c r="C60" s="1">
        <v>3</v>
      </c>
      <c r="D60" s="1">
        <v>14122</v>
      </c>
      <c r="E60" s="1">
        <v>2</v>
      </c>
      <c r="F60" s="1">
        <v>3</v>
      </c>
      <c r="G60" s="1">
        <v>2</v>
      </c>
      <c r="H60" s="1">
        <v>232</v>
      </c>
      <c r="I60" s="1" t="s">
        <v>3758</v>
      </c>
    </row>
    <row r="61" spans="1:9" x14ac:dyDescent="0.3">
      <c r="A61" s="1" t="s">
        <v>240</v>
      </c>
      <c r="B61" s="1">
        <v>92</v>
      </c>
      <c r="C61" s="1">
        <v>6</v>
      </c>
      <c r="D61" s="1">
        <v>32277</v>
      </c>
      <c r="E61" s="1">
        <v>4</v>
      </c>
      <c r="F61" s="1">
        <v>5</v>
      </c>
      <c r="G61" s="1">
        <v>4</v>
      </c>
      <c r="H61" s="1">
        <v>454</v>
      </c>
      <c r="I61" s="1" t="s">
        <v>3757</v>
      </c>
    </row>
    <row r="62" spans="1:9" x14ac:dyDescent="0.3">
      <c r="A62" s="1" t="s">
        <v>248</v>
      </c>
      <c r="B62" s="1">
        <v>262</v>
      </c>
      <c r="C62" s="1">
        <v>3</v>
      </c>
      <c r="D62" s="1">
        <v>17035.25</v>
      </c>
      <c r="E62" s="1">
        <v>2</v>
      </c>
      <c r="F62" s="1">
        <v>3</v>
      </c>
      <c r="G62" s="1">
        <v>2</v>
      </c>
      <c r="H62" s="1">
        <v>232</v>
      </c>
      <c r="I62" s="1" t="s">
        <v>3758</v>
      </c>
    </row>
    <row r="63" spans="1:9" x14ac:dyDescent="0.3">
      <c r="A63" s="1" t="s">
        <v>252</v>
      </c>
      <c r="B63" s="1">
        <v>350</v>
      </c>
      <c r="C63" s="1">
        <v>1</v>
      </c>
      <c r="D63" s="1">
        <v>8040</v>
      </c>
      <c r="E63" s="1">
        <v>1</v>
      </c>
      <c r="F63" s="1">
        <v>1</v>
      </c>
      <c r="G63" s="1">
        <v>1</v>
      </c>
      <c r="H63" s="1">
        <v>111</v>
      </c>
      <c r="I63" s="1" t="s">
        <v>3756</v>
      </c>
    </row>
    <row r="64" spans="1:9" x14ac:dyDescent="0.3">
      <c r="A64" s="1" t="s">
        <v>255</v>
      </c>
      <c r="B64" s="1">
        <v>381</v>
      </c>
      <c r="C64" s="1">
        <v>1</v>
      </c>
      <c r="D64" s="1">
        <v>6525</v>
      </c>
      <c r="E64" s="1">
        <v>1</v>
      </c>
      <c r="F64" s="1">
        <v>1</v>
      </c>
      <c r="G64" s="1">
        <v>1</v>
      </c>
      <c r="H64" s="1">
        <v>111</v>
      </c>
      <c r="I64" s="1" t="s">
        <v>3756</v>
      </c>
    </row>
    <row r="65" spans="1:9" x14ac:dyDescent="0.3">
      <c r="A65" s="1" t="s">
        <v>259</v>
      </c>
      <c r="B65" s="1">
        <v>65</v>
      </c>
      <c r="C65" s="1">
        <v>2</v>
      </c>
      <c r="D65" s="1">
        <v>3150.25</v>
      </c>
      <c r="E65" s="1">
        <v>4</v>
      </c>
      <c r="F65" s="1">
        <v>2</v>
      </c>
      <c r="G65" s="1">
        <v>1</v>
      </c>
      <c r="H65" s="1">
        <v>421</v>
      </c>
      <c r="I65" s="1" t="s">
        <v>3755</v>
      </c>
    </row>
    <row r="66" spans="1:9" x14ac:dyDescent="0.3">
      <c r="A66" s="1" t="s">
        <v>262</v>
      </c>
      <c r="B66" s="1">
        <v>160</v>
      </c>
      <c r="C66" s="1">
        <v>5</v>
      </c>
      <c r="D66" s="1">
        <v>31612.5</v>
      </c>
      <c r="E66" s="1">
        <v>3</v>
      </c>
      <c r="F66" s="1">
        <v>5</v>
      </c>
      <c r="G66" s="1">
        <v>4</v>
      </c>
      <c r="H66" s="1">
        <v>354</v>
      </c>
      <c r="I66" s="1" t="s">
        <v>3758</v>
      </c>
    </row>
    <row r="67" spans="1:9" x14ac:dyDescent="0.3">
      <c r="A67" s="1" t="s">
        <v>266</v>
      </c>
      <c r="B67" s="1">
        <v>275</v>
      </c>
      <c r="C67" s="1">
        <v>4</v>
      </c>
      <c r="D67" s="1">
        <v>46339</v>
      </c>
      <c r="E67" s="1">
        <v>2</v>
      </c>
      <c r="F67" s="1">
        <v>4</v>
      </c>
      <c r="G67" s="1">
        <v>5</v>
      </c>
      <c r="H67" s="1">
        <v>245</v>
      </c>
      <c r="I67" s="1" t="s">
        <v>3759</v>
      </c>
    </row>
    <row r="68" spans="1:9" x14ac:dyDescent="0.3">
      <c r="A68" s="1" t="s">
        <v>269</v>
      </c>
      <c r="B68" s="1">
        <v>152</v>
      </c>
      <c r="C68" s="1">
        <v>4</v>
      </c>
      <c r="D68" s="1">
        <v>54787</v>
      </c>
      <c r="E68" s="1">
        <v>3</v>
      </c>
      <c r="F68" s="1">
        <v>4</v>
      </c>
      <c r="G68" s="1">
        <v>5</v>
      </c>
      <c r="H68" s="1">
        <v>345</v>
      </c>
      <c r="I68" s="1" t="s">
        <v>3758</v>
      </c>
    </row>
    <row r="69" spans="1:9" x14ac:dyDescent="0.3">
      <c r="A69" s="1" t="s">
        <v>273</v>
      </c>
      <c r="B69" s="1">
        <v>33</v>
      </c>
      <c r="C69" s="1">
        <v>2</v>
      </c>
      <c r="D69" s="1">
        <v>28685.5</v>
      </c>
      <c r="E69" s="1">
        <v>5</v>
      </c>
      <c r="F69" s="1">
        <v>2</v>
      </c>
      <c r="G69" s="1">
        <v>4</v>
      </c>
      <c r="H69" s="1">
        <v>524</v>
      </c>
      <c r="I69" s="1" t="s">
        <v>3755</v>
      </c>
    </row>
    <row r="70" spans="1:9" x14ac:dyDescent="0.3">
      <c r="A70" s="1" t="s">
        <v>277</v>
      </c>
      <c r="B70" s="1">
        <v>2</v>
      </c>
      <c r="C70" s="1">
        <v>7</v>
      </c>
      <c r="D70" s="1">
        <v>52056</v>
      </c>
      <c r="E70" s="1">
        <v>5</v>
      </c>
      <c r="F70" s="1">
        <v>5</v>
      </c>
      <c r="G70" s="1">
        <v>5</v>
      </c>
      <c r="H70" s="1">
        <v>555</v>
      </c>
      <c r="I70" s="1" t="s">
        <v>3757</v>
      </c>
    </row>
    <row r="71" spans="1:9" x14ac:dyDescent="0.3">
      <c r="A71" s="1" t="s">
        <v>281</v>
      </c>
      <c r="B71" s="1">
        <v>201</v>
      </c>
      <c r="C71" s="1">
        <v>3</v>
      </c>
      <c r="D71" s="1">
        <v>15593</v>
      </c>
      <c r="E71" s="1">
        <v>2</v>
      </c>
      <c r="F71" s="1">
        <v>3</v>
      </c>
      <c r="G71" s="1">
        <v>2</v>
      </c>
      <c r="H71" s="1">
        <v>232</v>
      </c>
      <c r="I71" s="1" t="s">
        <v>3758</v>
      </c>
    </row>
    <row r="72" spans="1:9" x14ac:dyDescent="0.3">
      <c r="A72" s="1" t="s">
        <v>283</v>
      </c>
      <c r="B72" s="1">
        <v>31</v>
      </c>
      <c r="C72" s="1">
        <v>6</v>
      </c>
      <c r="D72" s="1">
        <v>45426.5</v>
      </c>
      <c r="E72" s="1">
        <v>5</v>
      </c>
      <c r="F72" s="1">
        <v>5</v>
      </c>
      <c r="G72" s="1">
        <v>5</v>
      </c>
      <c r="H72" s="1">
        <v>555</v>
      </c>
      <c r="I72" s="1" t="s">
        <v>3757</v>
      </c>
    </row>
    <row r="73" spans="1:9" x14ac:dyDescent="0.3">
      <c r="A73" s="1" t="s">
        <v>287</v>
      </c>
      <c r="B73" s="1">
        <v>126</v>
      </c>
      <c r="C73" s="1">
        <v>3</v>
      </c>
      <c r="D73" s="1">
        <v>21677</v>
      </c>
      <c r="E73" s="1">
        <v>3</v>
      </c>
      <c r="F73" s="1">
        <v>3</v>
      </c>
      <c r="G73" s="1">
        <v>3</v>
      </c>
      <c r="H73" s="1">
        <v>333</v>
      </c>
      <c r="I73" s="1" t="s">
        <v>3758</v>
      </c>
    </row>
    <row r="74" spans="1:9" x14ac:dyDescent="0.3">
      <c r="A74" s="1" t="s">
        <v>291</v>
      </c>
      <c r="B74" s="1">
        <v>407</v>
      </c>
      <c r="C74" s="1">
        <v>1</v>
      </c>
      <c r="D74" s="1">
        <v>4608</v>
      </c>
      <c r="E74" s="1">
        <v>1</v>
      </c>
      <c r="F74" s="1">
        <v>1</v>
      </c>
      <c r="G74" s="1">
        <v>1</v>
      </c>
      <c r="H74" s="1">
        <v>111</v>
      </c>
      <c r="I74" s="1" t="s">
        <v>3756</v>
      </c>
    </row>
    <row r="75" spans="1:9" x14ac:dyDescent="0.3">
      <c r="A75" s="1" t="s">
        <v>295</v>
      </c>
      <c r="B75" s="1">
        <v>18</v>
      </c>
      <c r="C75" s="1">
        <v>3</v>
      </c>
      <c r="D75" s="1">
        <v>12755</v>
      </c>
      <c r="E75" s="1">
        <v>5</v>
      </c>
      <c r="F75" s="1">
        <v>3</v>
      </c>
      <c r="G75" s="1">
        <v>2</v>
      </c>
      <c r="H75" s="1">
        <v>532</v>
      </c>
      <c r="I75" s="1" t="s">
        <v>3758</v>
      </c>
    </row>
    <row r="76" spans="1:9" x14ac:dyDescent="0.3">
      <c r="A76" s="1" t="s">
        <v>298</v>
      </c>
      <c r="B76" s="1">
        <v>91</v>
      </c>
      <c r="C76" s="1">
        <v>4</v>
      </c>
      <c r="D76" s="1">
        <v>36091.5</v>
      </c>
      <c r="E76" s="1">
        <v>4</v>
      </c>
      <c r="F76" s="1">
        <v>4</v>
      </c>
      <c r="G76" s="1">
        <v>4</v>
      </c>
      <c r="H76" s="1">
        <v>444</v>
      </c>
      <c r="I76" s="1" t="s">
        <v>3757</v>
      </c>
    </row>
    <row r="77" spans="1:9" x14ac:dyDescent="0.3">
      <c r="A77" s="1" t="s">
        <v>302</v>
      </c>
      <c r="B77" s="1">
        <v>346</v>
      </c>
      <c r="C77" s="1">
        <v>3</v>
      </c>
      <c r="D77" s="1">
        <v>36133.5</v>
      </c>
      <c r="E77" s="1">
        <v>1</v>
      </c>
      <c r="F77" s="1">
        <v>3</v>
      </c>
      <c r="G77" s="1">
        <v>4</v>
      </c>
      <c r="H77" s="1">
        <v>134</v>
      </c>
      <c r="I77" s="1" t="s">
        <v>3758</v>
      </c>
    </row>
    <row r="78" spans="1:9" x14ac:dyDescent="0.3">
      <c r="A78" s="1" t="s">
        <v>305</v>
      </c>
      <c r="B78" s="1">
        <v>4</v>
      </c>
      <c r="C78" s="1">
        <v>4</v>
      </c>
      <c r="D78" s="1">
        <v>15255.2</v>
      </c>
      <c r="E78" s="1">
        <v>5</v>
      </c>
      <c r="F78" s="1">
        <v>4</v>
      </c>
      <c r="G78" s="1">
        <v>2</v>
      </c>
      <c r="H78" s="1">
        <v>542</v>
      </c>
      <c r="I78" s="1" t="s">
        <v>3758</v>
      </c>
    </row>
    <row r="79" spans="1:9" x14ac:dyDescent="0.3">
      <c r="A79" s="1" t="s">
        <v>309</v>
      </c>
      <c r="B79" s="1">
        <v>116</v>
      </c>
      <c r="C79" s="1">
        <v>5</v>
      </c>
      <c r="D79" s="1">
        <v>40430.5</v>
      </c>
      <c r="E79" s="1">
        <v>3</v>
      </c>
      <c r="F79" s="1">
        <v>5</v>
      </c>
      <c r="G79" s="1">
        <v>4</v>
      </c>
      <c r="H79" s="1">
        <v>354</v>
      </c>
      <c r="I79" s="1" t="s">
        <v>3758</v>
      </c>
    </row>
    <row r="80" spans="1:9" x14ac:dyDescent="0.3">
      <c r="A80" s="1" t="s">
        <v>312</v>
      </c>
      <c r="B80" s="1">
        <v>253</v>
      </c>
      <c r="C80" s="1">
        <v>4</v>
      </c>
      <c r="D80" s="1">
        <v>40674</v>
      </c>
      <c r="E80" s="1">
        <v>2</v>
      </c>
      <c r="F80" s="1">
        <v>4</v>
      </c>
      <c r="G80" s="1">
        <v>4</v>
      </c>
      <c r="H80" s="1">
        <v>244</v>
      </c>
      <c r="I80" s="1" t="s">
        <v>3759</v>
      </c>
    </row>
    <row r="81" spans="1:9" x14ac:dyDescent="0.3">
      <c r="A81" s="1" t="s">
        <v>316</v>
      </c>
      <c r="B81" s="1">
        <v>124</v>
      </c>
      <c r="C81" s="1">
        <v>4</v>
      </c>
      <c r="D81" s="1">
        <v>11854</v>
      </c>
      <c r="E81" s="1">
        <v>3</v>
      </c>
      <c r="F81" s="1">
        <v>4</v>
      </c>
      <c r="G81" s="1">
        <v>2</v>
      </c>
      <c r="H81" s="1">
        <v>342</v>
      </c>
      <c r="I81" s="1" t="s">
        <v>3758</v>
      </c>
    </row>
    <row r="82" spans="1:9" x14ac:dyDescent="0.3">
      <c r="A82" s="1" t="s">
        <v>320</v>
      </c>
      <c r="B82" s="1">
        <v>129</v>
      </c>
      <c r="C82" s="1">
        <v>2</v>
      </c>
      <c r="D82" s="1">
        <v>28888</v>
      </c>
      <c r="E82" s="1">
        <v>3</v>
      </c>
      <c r="F82" s="1">
        <v>2</v>
      </c>
      <c r="G82" s="1">
        <v>4</v>
      </c>
      <c r="H82" s="1">
        <v>324</v>
      </c>
      <c r="I82" s="1" t="s">
        <v>3758</v>
      </c>
    </row>
    <row r="83" spans="1:9" x14ac:dyDescent="0.3">
      <c r="A83" s="1" t="s">
        <v>324</v>
      </c>
      <c r="B83" s="1">
        <v>196</v>
      </c>
      <c r="C83" s="1">
        <v>1</v>
      </c>
      <c r="D83" s="1">
        <v>14400</v>
      </c>
      <c r="E83" s="1">
        <v>2</v>
      </c>
      <c r="F83" s="1">
        <v>1</v>
      </c>
      <c r="G83" s="1">
        <v>2</v>
      </c>
      <c r="H83" s="1">
        <v>212</v>
      </c>
      <c r="I83" s="1" t="s">
        <v>3756</v>
      </c>
    </row>
    <row r="84" spans="1:9" x14ac:dyDescent="0.3">
      <c r="A84" s="1" t="s">
        <v>326</v>
      </c>
      <c r="B84" s="1">
        <v>22</v>
      </c>
      <c r="C84" s="1">
        <v>4</v>
      </c>
      <c r="D84" s="1">
        <v>13724</v>
      </c>
      <c r="E84" s="1">
        <v>5</v>
      </c>
      <c r="F84" s="1">
        <v>4</v>
      </c>
      <c r="G84" s="1">
        <v>2</v>
      </c>
      <c r="H84" s="1">
        <v>542</v>
      </c>
      <c r="I84" s="1" t="s">
        <v>3758</v>
      </c>
    </row>
    <row r="85" spans="1:9" x14ac:dyDescent="0.3">
      <c r="A85" s="1" t="s">
        <v>330</v>
      </c>
      <c r="B85" s="1">
        <v>1</v>
      </c>
      <c r="C85" s="1">
        <v>5</v>
      </c>
      <c r="D85" s="1">
        <v>25270</v>
      </c>
      <c r="E85" s="1">
        <v>5</v>
      </c>
      <c r="F85" s="1">
        <v>5</v>
      </c>
      <c r="G85" s="1">
        <v>3</v>
      </c>
      <c r="H85" s="1">
        <v>553</v>
      </c>
      <c r="I85" s="1" t="s">
        <v>3758</v>
      </c>
    </row>
    <row r="86" spans="1:9" x14ac:dyDescent="0.3">
      <c r="A86" s="1" t="s">
        <v>334</v>
      </c>
      <c r="B86" s="1">
        <v>23</v>
      </c>
      <c r="C86" s="1">
        <v>2</v>
      </c>
      <c r="D86" s="1">
        <v>15510</v>
      </c>
      <c r="E86" s="1">
        <v>5</v>
      </c>
      <c r="F86" s="1">
        <v>2</v>
      </c>
      <c r="G86" s="1">
        <v>2</v>
      </c>
      <c r="H86" s="1">
        <v>522</v>
      </c>
      <c r="I86" s="1" t="s">
        <v>3755</v>
      </c>
    </row>
    <row r="87" spans="1:9" x14ac:dyDescent="0.3">
      <c r="A87" s="1" t="s">
        <v>341</v>
      </c>
      <c r="B87" s="1">
        <v>126</v>
      </c>
      <c r="C87" s="1">
        <v>4</v>
      </c>
      <c r="D87" s="1">
        <v>14227</v>
      </c>
      <c r="E87" s="1">
        <v>3</v>
      </c>
      <c r="F87" s="1">
        <v>4</v>
      </c>
      <c r="G87" s="1">
        <v>2</v>
      </c>
      <c r="H87" s="1">
        <v>342</v>
      </c>
      <c r="I87" s="1" t="s">
        <v>3758</v>
      </c>
    </row>
    <row r="88" spans="1:9" x14ac:dyDescent="0.3">
      <c r="A88" s="1" t="s">
        <v>345</v>
      </c>
      <c r="B88" s="1">
        <v>103</v>
      </c>
      <c r="C88" s="1">
        <v>6</v>
      </c>
      <c r="D88" s="1">
        <v>55285.599999999999</v>
      </c>
      <c r="E88" s="1">
        <v>4</v>
      </c>
      <c r="F88" s="1">
        <v>5</v>
      </c>
      <c r="G88" s="1">
        <v>5</v>
      </c>
      <c r="H88" s="1">
        <v>455</v>
      </c>
      <c r="I88" s="1" t="s">
        <v>3757</v>
      </c>
    </row>
    <row r="89" spans="1:9" x14ac:dyDescent="0.3">
      <c r="A89" s="1" t="s">
        <v>348</v>
      </c>
      <c r="B89" s="1">
        <v>233</v>
      </c>
      <c r="C89" s="1">
        <v>4</v>
      </c>
      <c r="D89" s="1">
        <v>21814.5</v>
      </c>
      <c r="E89" s="1">
        <v>2</v>
      </c>
      <c r="F89" s="1">
        <v>4</v>
      </c>
      <c r="G89" s="1">
        <v>3</v>
      </c>
      <c r="H89" s="1">
        <v>243</v>
      </c>
      <c r="I89" s="1" t="s">
        <v>3759</v>
      </c>
    </row>
    <row r="90" spans="1:9" x14ac:dyDescent="0.3">
      <c r="A90" s="1" t="s">
        <v>352</v>
      </c>
      <c r="B90" s="1">
        <v>171</v>
      </c>
      <c r="C90" s="1">
        <v>2</v>
      </c>
      <c r="D90" s="1">
        <v>25000</v>
      </c>
      <c r="E90" s="1">
        <v>3</v>
      </c>
      <c r="F90" s="1">
        <v>2</v>
      </c>
      <c r="G90" s="1">
        <v>3</v>
      </c>
      <c r="H90" s="1">
        <v>323</v>
      </c>
      <c r="I90" s="1" t="s">
        <v>3758</v>
      </c>
    </row>
    <row r="91" spans="1:9" x14ac:dyDescent="0.3">
      <c r="A91" s="1" t="s">
        <v>355</v>
      </c>
      <c r="B91" s="1">
        <v>119</v>
      </c>
      <c r="C91" s="1">
        <v>3</v>
      </c>
      <c r="D91" s="1">
        <v>21568.3</v>
      </c>
      <c r="E91" s="1">
        <v>3</v>
      </c>
      <c r="F91" s="1">
        <v>3</v>
      </c>
      <c r="G91" s="1">
        <v>3</v>
      </c>
      <c r="H91" s="1">
        <v>333</v>
      </c>
      <c r="I91" s="1" t="s">
        <v>3758</v>
      </c>
    </row>
    <row r="92" spans="1:9" x14ac:dyDescent="0.3">
      <c r="A92" s="1" t="s">
        <v>359</v>
      </c>
      <c r="B92" s="1">
        <v>43</v>
      </c>
      <c r="C92" s="1">
        <v>2</v>
      </c>
      <c r="D92" s="1">
        <v>1991</v>
      </c>
      <c r="E92" s="1">
        <v>5</v>
      </c>
      <c r="F92" s="1">
        <v>2</v>
      </c>
      <c r="G92" s="1">
        <v>1</v>
      </c>
      <c r="H92" s="1">
        <v>521</v>
      </c>
      <c r="I92" s="1" t="s">
        <v>3755</v>
      </c>
    </row>
    <row r="93" spans="1:9" x14ac:dyDescent="0.3">
      <c r="A93" s="1" t="s">
        <v>363</v>
      </c>
      <c r="B93" s="1">
        <v>379</v>
      </c>
      <c r="C93" s="1">
        <v>2</v>
      </c>
      <c r="D93" s="1">
        <v>5524</v>
      </c>
      <c r="E93" s="1">
        <v>1</v>
      </c>
      <c r="F93" s="1">
        <v>2</v>
      </c>
      <c r="G93" s="1">
        <v>1</v>
      </c>
      <c r="H93" s="1">
        <v>121</v>
      </c>
      <c r="I93" s="1" t="s">
        <v>3756</v>
      </c>
    </row>
    <row r="94" spans="1:9" x14ac:dyDescent="0.3">
      <c r="A94" s="1" t="s">
        <v>367</v>
      </c>
      <c r="B94" s="1">
        <v>340</v>
      </c>
      <c r="C94" s="1">
        <v>4</v>
      </c>
      <c r="D94" s="1">
        <v>47367.6</v>
      </c>
      <c r="E94" s="1">
        <v>1</v>
      </c>
      <c r="F94" s="1">
        <v>4</v>
      </c>
      <c r="G94" s="1">
        <v>5</v>
      </c>
      <c r="H94" s="1">
        <v>145</v>
      </c>
      <c r="I94" s="1" t="s">
        <v>3759</v>
      </c>
    </row>
    <row r="95" spans="1:9" x14ac:dyDescent="0.3">
      <c r="A95" s="1" t="s">
        <v>369</v>
      </c>
      <c r="B95" s="1">
        <v>211</v>
      </c>
      <c r="C95" s="1">
        <v>2</v>
      </c>
      <c r="D95" s="1">
        <v>25433</v>
      </c>
      <c r="E95" s="1">
        <v>2</v>
      </c>
      <c r="F95" s="1">
        <v>2</v>
      </c>
      <c r="G95" s="1">
        <v>3</v>
      </c>
      <c r="H95" s="1">
        <v>223</v>
      </c>
      <c r="I95" s="1" t="s">
        <v>3756</v>
      </c>
    </row>
    <row r="96" spans="1:9" x14ac:dyDescent="0.3">
      <c r="A96" s="1" t="s">
        <v>373</v>
      </c>
      <c r="B96" s="1">
        <v>363</v>
      </c>
      <c r="C96" s="1">
        <v>2</v>
      </c>
      <c r="D96" s="1">
        <v>23085.8</v>
      </c>
      <c r="E96" s="1">
        <v>1</v>
      </c>
      <c r="F96" s="1">
        <v>2</v>
      </c>
      <c r="G96" s="1">
        <v>3</v>
      </c>
      <c r="H96" s="1">
        <v>123</v>
      </c>
      <c r="I96" s="1" t="s">
        <v>3756</v>
      </c>
    </row>
    <row r="97" spans="1:9" x14ac:dyDescent="0.3">
      <c r="A97" s="1" t="s">
        <v>377</v>
      </c>
      <c r="B97" s="1">
        <v>534</v>
      </c>
      <c r="C97" s="1">
        <v>1</v>
      </c>
      <c r="D97" s="1">
        <v>6021</v>
      </c>
      <c r="E97" s="1">
        <v>1</v>
      </c>
      <c r="F97" s="1">
        <v>1</v>
      </c>
      <c r="G97" s="1">
        <v>1</v>
      </c>
      <c r="H97" s="1">
        <v>111</v>
      </c>
      <c r="I97" s="1" t="s">
        <v>3756</v>
      </c>
    </row>
    <row r="98" spans="1:9" x14ac:dyDescent="0.3">
      <c r="A98" s="1" t="s">
        <v>384</v>
      </c>
      <c r="B98" s="1">
        <v>80</v>
      </c>
      <c r="C98" s="1">
        <v>2</v>
      </c>
      <c r="D98" s="1">
        <v>18304</v>
      </c>
      <c r="E98" s="1">
        <v>4</v>
      </c>
      <c r="F98" s="1">
        <v>2</v>
      </c>
      <c r="G98" s="1">
        <v>3</v>
      </c>
      <c r="H98" s="1">
        <v>423</v>
      </c>
      <c r="I98" s="1" t="s">
        <v>3755</v>
      </c>
    </row>
    <row r="99" spans="1:9" x14ac:dyDescent="0.3">
      <c r="A99" s="1" t="s">
        <v>388</v>
      </c>
      <c r="B99" s="1">
        <v>212</v>
      </c>
      <c r="C99" s="1">
        <v>3</v>
      </c>
      <c r="D99" s="1">
        <v>13355</v>
      </c>
      <c r="E99" s="1">
        <v>2</v>
      </c>
      <c r="F99" s="1">
        <v>3</v>
      </c>
      <c r="G99" s="1">
        <v>2</v>
      </c>
      <c r="H99" s="1">
        <v>232</v>
      </c>
      <c r="I99" s="1" t="s">
        <v>3758</v>
      </c>
    </row>
    <row r="100" spans="1:9" x14ac:dyDescent="0.3">
      <c r="A100" s="1" t="s">
        <v>391</v>
      </c>
      <c r="B100" s="1">
        <v>67</v>
      </c>
      <c r="C100" s="1">
        <v>5</v>
      </c>
      <c r="D100" s="1">
        <v>29810.5</v>
      </c>
      <c r="E100" s="1">
        <v>4</v>
      </c>
      <c r="F100" s="1">
        <v>5</v>
      </c>
      <c r="G100" s="1">
        <v>4</v>
      </c>
      <c r="H100" s="1">
        <v>454</v>
      </c>
      <c r="I100" s="1" t="s">
        <v>3757</v>
      </c>
    </row>
    <row r="101" spans="1:9" x14ac:dyDescent="0.3">
      <c r="A101" s="1" t="s">
        <v>395</v>
      </c>
      <c r="B101" s="1">
        <v>114</v>
      </c>
      <c r="C101" s="1">
        <v>3</v>
      </c>
      <c r="D101" s="1">
        <v>39884</v>
      </c>
      <c r="E101" s="1">
        <v>3</v>
      </c>
      <c r="F101" s="1">
        <v>3</v>
      </c>
      <c r="G101" s="1">
        <v>4</v>
      </c>
      <c r="H101" s="1">
        <v>334</v>
      </c>
      <c r="I101" s="1" t="s">
        <v>3758</v>
      </c>
    </row>
    <row r="102" spans="1:9" x14ac:dyDescent="0.3">
      <c r="A102" s="1" t="s">
        <v>398</v>
      </c>
      <c r="B102" s="1">
        <v>275</v>
      </c>
      <c r="C102" s="1">
        <v>1</v>
      </c>
      <c r="D102" s="1">
        <v>11382</v>
      </c>
      <c r="E102" s="1">
        <v>2</v>
      </c>
      <c r="F102" s="1">
        <v>1</v>
      </c>
      <c r="G102" s="1">
        <v>2</v>
      </c>
      <c r="H102" s="1">
        <v>212</v>
      </c>
      <c r="I102" s="1" t="s">
        <v>3756</v>
      </c>
    </row>
    <row r="103" spans="1:9" x14ac:dyDescent="0.3">
      <c r="A103" s="1" t="s">
        <v>402</v>
      </c>
      <c r="B103" s="1">
        <v>81</v>
      </c>
      <c r="C103" s="1">
        <v>7</v>
      </c>
      <c r="D103" s="1">
        <v>37840</v>
      </c>
      <c r="E103" s="1">
        <v>4</v>
      </c>
      <c r="F103" s="1">
        <v>5</v>
      </c>
      <c r="G103" s="1">
        <v>4</v>
      </c>
      <c r="H103" s="1">
        <v>454</v>
      </c>
      <c r="I103" s="1" t="s">
        <v>3757</v>
      </c>
    </row>
    <row r="104" spans="1:9" x14ac:dyDescent="0.3">
      <c r="A104" s="1" t="s">
        <v>406</v>
      </c>
      <c r="B104" s="1">
        <v>38</v>
      </c>
      <c r="C104" s="1">
        <v>2</v>
      </c>
      <c r="D104" s="1">
        <v>12170</v>
      </c>
      <c r="E104" s="1">
        <v>5</v>
      </c>
      <c r="F104" s="1">
        <v>2</v>
      </c>
      <c r="G104" s="1">
        <v>2</v>
      </c>
      <c r="H104" s="1">
        <v>522</v>
      </c>
      <c r="I104" s="1" t="s">
        <v>3755</v>
      </c>
    </row>
    <row r="105" spans="1:9" x14ac:dyDescent="0.3">
      <c r="A105" s="1" t="s">
        <v>410</v>
      </c>
      <c r="B105" s="1">
        <v>331</v>
      </c>
      <c r="C105" s="1">
        <v>2</v>
      </c>
      <c r="D105" s="1">
        <v>18600</v>
      </c>
      <c r="E105" s="1">
        <v>1</v>
      </c>
      <c r="F105" s="1">
        <v>2</v>
      </c>
      <c r="G105" s="1">
        <v>3</v>
      </c>
      <c r="H105" s="1">
        <v>123</v>
      </c>
      <c r="I105" s="1" t="s">
        <v>3756</v>
      </c>
    </row>
    <row r="106" spans="1:9" x14ac:dyDescent="0.3">
      <c r="A106" s="1" t="s">
        <v>412</v>
      </c>
      <c r="B106" s="1">
        <v>146</v>
      </c>
      <c r="C106" s="1">
        <v>4</v>
      </c>
      <c r="D106" s="1">
        <v>37675</v>
      </c>
      <c r="E106" s="1">
        <v>3</v>
      </c>
      <c r="F106" s="1">
        <v>4</v>
      </c>
      <c r="G106" s="1">
        <v>4</v>
      </c>
      <c r="H106" s="1">
        <v>344</v>
      </c>
      <c r="I106" s="1" t="s">
        <v>3758</v>
      </c>
    </row>
    <row r="107" spans="1:9" x14ac:dyDescent="0.3">
      <c r="A107" s="1" t="s">
        <v>416</v>
      </c>
      <c r="B107" s="1">
        <v>390</v>
      </c>
      <c r="C107" s="1">
        <v>1</v>
      </c>
      <c r="D107" s="1">
        <v>41297.5</v>
      </c>
      <c r="E107" s="1">
        <v>1</v>
      </c>
      <c r="F107" s="1">
        <v>1</v>
      </c>
      <c r="G107" s="1">
        <v>4</v>
      </c>
      <c r="H107" s="1">
        <v>114</v>
      </c>
      <c r="I107" s="1" t="s">
        <v>3756</v>
      </c>
    </row>
    <row r="108" spans="1:9" x14ac:dyDescent="0.3">
      <c r="A108" s="1" t="s">
        <v>420</v>
      </c>
      <c r="B108" s="1">
        <v>460</v>
      </c>
      <c r="C108" s="1">
        <v>1</v>
      </c>
      <c r="D108" s="1">
        <v>25430</v>
      </c>
      <c r="E108" s="1">
        <v>1</v>
      </c>
      <c r="F108" s="1">
        <v>1</v>
      </c>
      <c r="G108" s="1">
        <v>3</v>
      </c>
      <c r="H108" s="1">
        <v>113</v>
      </c>
      <c r="I108" s="1" t="s">
        <v>3756</v>
      </c>
    </row>
    <row r="109" spans="1:9" x14ac:dyDescent="0.3">
      <c r="A109" s="1" t="s">
        <v>424</v>
      </c>
      <c r="B109" s="1">
        <v>47</v>
      </c>
      <c r="C109" s="1">
        <v>4</v>
      </c>
      <c r="D109" s="1">
        <v>25443.4</v>
      </c>
      <c r="E109" s="1">
        <v>5</v>
      </c>
      <c r="F109" s="1">
        <v>4</v>
      </c>
      <c r="G109" s="1">
        <v>3</v>
      </c>
      <c r="H109" s="1">
        <v>543</v>
      </c>
      <c r="I109" s="1" t="s">
        <v>3758</v>
      </c>
    </row>
    <row r="110" spans="1:9" x14ac:dyDescent="0.3">
      <c r="A110" s="1" t="s">
        <v>427</v>
      </c>
      <c r="B110" s="1">
        <v>97</v>
      </c>
      <c r="C110" s="1">
        <v>1</v>
      </c>
      <c r="D110" s="1">
        <v>2628</v>
      </c>
      <c r="E110" s="1">
        <v>4</v>
      </c>
      <c r="F110" s="1">
        <v>1</v>
      </c>
      <c r="G110" s="1">
        <v>1</v>
      </c>
      <c r="H110" s="1">
        <v>411</v>
      </c>
      <c r="I110" s="1" t="s">
        <v>3755</v>
      </c>
    </row>
    <row r="111" spans="1:9" x14ac:dyDescent="0.3">
      <c r="A111" s="1" t="s">
        <v>431</v>
      </c>
      <c r="B111" s="1">
        <v>185</v>
      </c>
      <c r="C111" s="1">
        <v>5</v>
      </c>
      <c r="D111" s="1">
        <v>38353.25</v>
      </c>
      <c r="E111" s="1">
        <v>2</v>
      </c>
      <c r="F111" s="1">
        <v>5</v>
      </c>
      <c r="G111" s="1">
        <v>4</v>
      </c>
      <c r="H111" s="1">
        <v>254</v>
      </c>
      <c r="I111" s="1" t="s">
        <v>3759</v>
      </c>
    </row>
    <row r="112" spans="1:9" x14ac:dyDescent="0.3">
      <c r="A112" s="1" t="s">
        <v>434</v>
      </c>
      <c r="B112" s="1">
        <v>134</v>
      </c>
      <c r="C112" s="1">
        <v>2</v>
      </c>
      <c r="D112" s="1">
        <v>21355.85</v>
      </c>
      <c r="E112" s="1">
        <v>3</v>
      </c>
      <c r="F112" s="1">
        <v>2</v>
      </c>
      <c r="G112" s="1">
        <v>3</v>
      </c>
      <c r="H112" s="1">
        <v>323</v>
      </c>
      <c r="I112" s="1" t="s">
        <v>3758</v>
      </c>
    </row>
    <row r="113" spans="1:9" x14ac:dyDescent="0.3">
      <c r="A113" s="1" t="s">
        <v>438</v>
      </c>
      <c r="B113" s="1">
        <v>41</v>
      </c>
      <c r="C113" s="1">
        <v>3</v>
      </c>
      <c r="D113" s="1">
        <v>14273.5</v>
      </c>
      <c r="E113" s="1">
        <v>5</v>
      </c>
      <c r="F113" s="1">
        <v>3</v>
      </c>
      <c r="G113" s="1">
        <v>2</v>
      </c>
      <c r="H113" s="1">
        <v>532</v>
      </c>
      <c r="I113" s="1" t="s">
        <v>3758</v>
      </c>
    </row>
    <row r="114" spans="1:9" x14ac:dyDescent="0.3">
      <c r="A114" s="1" t="s">
        <v>441</v>
      </c>
      <c r="B114" s="1">
        <v>115</v>
      </c>
      <c r="C114" s="1">
        <v>3</v>
      </c>
      <c r="D114" s="1">
        <v>45780</v>
      </c>
      <c r="E114" s="1">
        <v>3</v>
      </c>
      <c r="F114" s="1">
        <v>3</v>
      </c>
      <c r="G114" s="1">
        <v>5</v>
      </c>
      <c r="H114" s="1">
        <v>335</v>
      </c>
      <c r="I114" s="1" t="s">
        <v>3758</v>
      </c>
    </row>
    <row r="115" spans="1:9" x14ac:dyDescent="0.3">
      <c r="A115" s="1" t="s">
        <v>445</v>
      </c>
      <c r="B115" s="1">
        <v>389</v>
      </c>
      <c r="C115" s="1">
        <v>1</v>
      </c>
      <c r="D115" s="1">
        <v>9800</v>
      </c>
      <c r="E115" s="1">
        <v>1</v>
      </c>
      <c r="F115" s="1">
        <v>1</v>
      </c>
      <c r="G115" s="1">
        <v>1</v>
      </c>
      <c r="H115" s="1">
        <v>111</v>
      </c>
      <c r="I115" s="1" t="s">
        <v>3756</v>
      </c>
    </row>
    <row r="116" spans="1:9" x14ac:dyDescent="0.3">
      <c r="A116" s="1" t="s">
        <v>449</v>
      </c>
      <c r="B116" s="1">
        <v>3</v>
      </c>
      <c r="C116" s="1">
        <v>1</v>
      </c>
      <c r="D116" s="1">
        <v>267.3</v>
      </c>
      <c r="E116" s="1">
        <v>5</v>
      </c>
      <c r="F116" s="1">
        <v>1</v>
      </c>
      <c r="G116" s="1">
        <v>1</v>
      </c>
      <c r="H116" s="1">
        <v>511</v>
      </c>
      <c r="I116" s="1" t="s">
        <v>3755</v>
      </c>
    </row>
    <row r="117" spans="1:9" x14ac:dyDescent="0.3">
      <c r="A117" s="1" t="s">
        <v>453</v>
      </c>
      <c r="B117" s="1">
        <v>123</v>
      </c>
      <c r="C117" s="1">
        <v>5</v>
      </c>
      <c r="D117" s="1">
        <v>30597</v>
      </c>
      <c r="E117" s="1">
        <v>3</v>
      </c>
      <c r="F117" s="1">
        <v>5</v>
      </c>
      <c r="G117" s="1">
        <v>4</v>
      </c>
      <c r="H117" s="1">
        <v>354</v>
      </c>
      <c r="I117" s="1" t="s">
        <v>3758</v>
      </c>
    </row>
    <row r="118" spans="1:9" x14ac:dyDescent="0.3">
      <c r="A118" s="1" t="s">
        <v>455</v>
      </c>
      <c r="B118" s="1">
        <v>262</v>
      </c>
      <c r="C118" s="1">
        <v>1</v>
      </c>
      <c r="D118" s="1">
        <v>6100</v>
      </c>
      <c r="E118" s="1">
        <v>2</v>
      </c>
      <c r="F118" s="1">
        <v>1</v>
      </c>
      <c r="G118" s="1">
        <v>1</v>
      </c>
      <c r="H118" s="1">
        <v>211</v>
      </c>
      <c r="I118" s="1" t="s">
        <v>3756</v>
      </c>
    </row>
    <row r="119" spans="1:9" x14ac:dyDescent="0.3">
      <c r="A119" s="1" t="s">
        <v>459</v>
      </c>
      <c r="B119" s="1">
        <v>101</v>
      </c>
      <c r="C119" s="1">
        <v>8</v>
      </c>
      <c r="D119" s="1">
        <v>76273.2</v>
      </c>
      <c r="E119" s="1">
        <v>4</v>
      </c>
      <c r="F119" s="1">
        <v>5</v>
      </c>
      <c r="G119" s="1">
        <v>5</v>
      </c>
      <c r="H119" s="1">
        <v>455</v>
      </c>
      <c r="I119" s="1" t="s">
        <v>3757</v>
      </c>
    </row>
    <row r="120" spans="1:9" x14ac:dyDescent="0.3">
      <c r="A120" s="1" t="s">
        <v>463</v>
      </c>
      <c r="B120" s="1">
        <v>186</v>
      </c>
      <c r="C120" s="1">
        <v>2</v>
      </c>
      <c r="D120" s="1">
        <v>17196</v>
      </c>
      <c r="E120" s="1">
        <v>2</v>
      </c>
      <c r="F120" s="1">
        <v>2</v>
      </c>
      <c r="G120" s="1">
        <v>2</v>
      </c>
      <c r="H120" s="1">
        <v>222</v>
      </c>
      <c r="I120" s="1" t="s">
        <v>3756</v>
      </c>
    </row>
    <row r="121" spans="1:9" x14ac:dyDescent="0.3">
      <c r="A121" s="1" t="s">
        <v>467</v>
      </c>
      <c r="B121" s="1">
        <v>121</v>
      </c>
      <c r="C121" s="1">
        <v>1</v>
      </c>
      <c r="D121" s="1">
        <v>6528</v>
      </c>
      <c r="E121" s="1">
        <v>3</v>
      </c>
      <c r="F121" s="1">
        <v>1</v>
      </c>
      <c r="G121" s="1">
        <v>1</v>
      </c>
      <c r="H121" s="1">
        <v>311</v>
      </c>
      <c r="I121" s="1" t="s">
        <v>3758</v>
      </c>
    </row>
    <row r="122" spans="1:9" x14ac:dyDescent="0.3">
      <c r="A122" s="1" t="s">
        <v>470</v>
      </c>
      <c r="B122" s="1">
        <v>239</v>
      </c>
      <c r="C122" s="1">
        <v>3</v>
      </c>
      <c r="D122" s="1">
        <v>24798</v>
      </c>
      <c r="E122" s="1">
        <v>2</v>
      </c>
      <c r="F122" s="1">
        <v>3</v>
      </c>
      <c r="G122" s="1">
        <v>3</v>
      </c>
      <c r="H122" s="1">
        <v>233</v>
      </c>
      <c r="I122" s="1" t="s">
        <v>3758</v>
      </c>
    </row>
    <row r="123" spans="1:9" x14ac:dyDescent="0.3">
      <c r="A123" s="1" t="s">
        <v>474</v>
      </c>
      <c r="B123" s="1">
        <v>408</v>
      </c>
      <c r="C123" s="1">
        <v>2</v>
      </c>
      <c r="D123" s="1">
        <v>13279.5</v>
      </c>
      <c r="E123" s="1">
        <v>1</v>
      </c>
      <c r="F123" s="1">
        <v>2</v>
      </c>
      <c r="G123" s="1">
        <v>2</v>
      </c>
      <c r="H123" s="1">
        <v>122</v>
      </c>
      <c r="I123" s="1" t="s">
        <v>3756</v>
      </c>
    </row>
    <row r="124" spans="1:9" x14ac:dyDescent="0.3">
      <c r="A124" s="1" t="s">
        <v>477</v>
      </c>
      <c r="B124" s="1">
        <v>106</v>
      </c>
      <c r="C124" s="1">
        <v>5</v>
      </c>
      <c r="D124" s="1">
        <v>26331.5</v>
      </c>
      <c r="E124" s="1">
        <v>3</v>
      </c>
      <c r="F124" s="1">
        <v>5</v>
      </c>
      <c r="G124" s="1">
        <v>3</v>
      </c>
      <c r="H124" s="1">
        <v>353</v>
      </c>
      <c r="I124" s="1" t="s">
        <v>3758</v>
      </c>
    </row>
    <row r="125" spans="1:9" x14ac:dyDescent="0.3">
      <c r="A125" s="1" t="s">
        <v>481</v>
      </c>
      <c r="B125" s="1">
        <v>39</v>
      </c>
      <c r="C125" s="1">
        <v>4</v>
      </c>
      <c r="D125" s="1">
        <v>53150</v>
      </c>
      <c r="E125" s="1">
        <v>5</v>
      </c>
      <c r="F125" s="1">
        <v>4</v>
      </c>
      <c r="G125" s="1">
        <v>5</v>
      </c>
      <c r="H125" s="1">
        <v>545</v>
      </c>
      <c r="I125" s="1" t="s">
        <v>3757</v>
      </c>
    </row>
    <row r="126" spans="1:9" x14ac:dyDescent="0.3">
      <c r="A126" s="1" t="s">
        <v>488</v>
      </c>
      <c r="B126" s="1">
        <v>449</v>
      </c>
      <c r="C126" s="1">
        <v>1</v>
      </c>
      <c r="D126" s="1">
        <v>282.14999999999998</v>
      </c>
      <c r="E126" s="1">
        <v>1</v>
      </c>
      <c r="F126" s="1">
        <v>1</v>
      </c>
      <c r="G126" s="1">
        <v>1</v>
      </c>
      <c r="H126" s="1">
        <v>111</v>
      </c>
      <c r="I126" s="1" t="s">
        <v>3756</v>
      </c>
    </row>
    <row r="127" spans="1:9" x14ac:dyDescent="0.3">
      <c r="A127" s="1" t="s">
        <v>492</v>
      </c>
      <c r="B127" s="1">
        <v>426</v>
      </c>
      <c r="C127" s="1">
        <v>2</v>
      </c>
      <c r="D127" s="1">
        <v>12110</v>
      </c>
      <c r="E127" s="1">
        <v>1</v>
      </c>
      <c r="F127" s="1">
        <v>2</v>
      </c>
      <c r="G127" s="1">
        <v>2</v>
      </c>
      <c r="H127" s="1">
        <v>122</v>
      </c>
      <c r="I127" s="1" t="s">
        <v>3756</v>
      </c>
    </row>
    <row r="128" spans="1:9" x14ac:dyDescent="0.3">
      <c r="A128" s="1" t="s">
        <v>496</v>
      </c>
      <c r="B128" s="1">
        <v>145</v>
      </c>
      <c r="C128" s="1">
        <v>3</v>
      </c>
      <c r="D128" s="1">
        <v>31334</v>
      </c>
      <c r="E128" s="1">
        <v>3</v>
      </c>
      <c r="F128" s="1">
        <v>3</v>
      </c>
      <c r="G128" s="1">
        <v>4</v>
      </c>
      <c r="H128" s="1">
        <v>334</v>
      </c>
      <c r="I128" s="1" t="s">
        <v>3758</v>
      </c>
    </row>
    <row r="129" spans="1:9" x14ac:dyDescent="0.3">
      <c r="A129" s="1" t="s">
        <v>498</v>
      </c>
      <c r="B129" s="1">
        <v>123</v>
      </c>
      <c r="C129" s="1">
        <v>2</v>
      </c>
      <c r="D129" s="1">
        <v>12388.5</v>
      </c>
      <c r="E129" s="1">
        <v>3</v>
      </c>
      <c r="F129" s="1">
        <v>2</v>
      </c>
      <c r="G129" s="1">
        <v>2</v>
      </c>
      <c r="H129" s="1">
        <v>322</v>
      </c>
      <c r="I129" s="1" t="s">
        <v>3758</v>
      </c>
    </row>
    <row r="130" spans="1:9" x14ac:dyDescent="0.3">
      <c r="A130" s="1" t="s">
        <v>502</v>
      </c>
      <c r="B130" s="1">
        <v>213</v>
      </c>
      <c r="C130" s="1">
        <v>4</v>
      </c>
      <c r="D130" s="1">
        <v>64498.6</v>
      </c>
      <c r="E130" s="1">
        <v>2</v>
      </c>
      <c r="F130" s="1">
        <v>4</v>
      </c>
      <c r="G130" s="1">
        <v>5</v>
      </c>
      <c r="H130" s="1">
        <v>245</v>
      </c>
      <c r="I130" s="1" t="s">
        <v>3759</v>
      </c>
    </row>
    <row r="131" spans="1:9" x14ac:dyDescent="0.3">
      <c r="A131" s="1" t="s">
        <v>506</v>
      </c>
      <c r="B131" s="1">
        <v>244</v>
      </c>
      <c r="C131" s="1">
        <v>2</v>
      </c>
      <c r="D131" s="1">
        <v>9795.5</v>
      </c>
      <c r="E131" s="1">
        <v>2</v>
      </c>
      <c r="F131" s="1">
        <v>2</v>
      </c>
      <c r="G131" s="1">
        <v>1</v>
      </c>
      <c r="H131" s="1">
        <v>221</v>
      </c>
      <c r="I131" s="1" t="s">
        <v>3756</v>
      </c>
    </row>
    <row r="132" spans="1:9" x14ac:dyDescent="0.3">
      <c r="A132" s="1" t="s">
        <v>510</v>
      </c>
      <c r="B132" s="1">
        <v>10</v>
      </c>
      <c r="C132" s="1">
        <v>3</v>
      </c>
      <c r="D132" s="1">
        <v>23000</v>
      </c>
      <c r="E132" s="1">
        <v>5</v>
      </c>
      <c r="F132" s="1">
        <v>3</v>
      </c>
      <c r="G132" s="1">
        <v>3</v>
      </c>
      <c r="H132" s="1">
        <v>533</v>
      </c>
      <c r="I132" s="1" t="s">
        <v>3758</v>
      </c>
    </row>
    <row r="133" spans="1:9" x14ac:dyDescent="0.3">
      <c r="A133" s="1" t="s">
        <v>513</v>
      </c>
      <c r="B133" s="1">
        <v>103</v>
      </c>
      <c r="C133" s="1">
        <v>1</v>
      </c>
      <c r="D133" s="1">
        <v>1510.5</v>
      </c>
      <c r="E133" s="1">
        <v>4</v>
      </c>
      <c r="F133" s="1">
        <v>1</v>
      </c>
      <c r="G133" s="1">
        <v>1</v>
      </c>
      <c r="H133" s="1">
        <v>411</v>
      </c>
      <c r="I133" s="1" t="s">
        <v>3755</v>
      </c>
    </row>
    <row r="134" spans="1:9" x14ac:dyDescent="0.3">
      <c r="A134" s="1" t="s">
        <v>517</v>
      </c>
      <c r="B134" s="1">
        <v>76</v>
      </c>
      <c r="C134" s="1">
        <v>2</v>
      </c>
      <c r="D134" s="1">
        <v>23310</v>
      </c>
      <c r="E134" s="1">
        <v>4</v>
      </c>
      <c r="F134" s="1">
        <v>2</v>
      </c>
      <c r="G134" s="1">
        <v>3</v>
      </c>
      <c r="H134" s="1">
        <v>423</v>
      </c>
      <c r="I134" s="1" t="s">
        <v>3755</v>
      </c>
    </row>
    <row r="135" spans="1:9" x14ac:dyDescent="0.3">
      <c r="A135" s="1" t="s">
        <v>520</v>
      </c>
      <c r="B135" s="1">
        <v>442</v>
      </c>
      <c r="C135" s="1">
        <v>1</v>
      </c>
      <c r="D135" s="1">
        <v>4960</v>
      </c>
      <c r="E135" s="1">
        <v>1</v>
      </c>
      <c r="F135" s="1">
        <v>1</v>
      </c>
      <c r="G135" s="1">
        <v>1</v>
      </c>
      <c r="H135" s="1">
        <v>111</v>
      </c>
      <c r="I135" s="1" t="s">
        <v>3756</v>
      </c>
    </row>
    <row r="136" spans="1:9" x14ac:dyDescent="0.3">
      <c r="A136" s="1" t="s">
        <v>527</v>
      </c>
      <c r="B136" s="1">
        <v>260</v>
      </c>
      <c r="C136" s="1">
        <v>2</v>
      </c>
      <c r="D136" s="1">
        <v>11508</v>
      </c>
      <c r="E136" s="1">
        <v>2</v>
      </c>
      <c r="F136" s="1">
        <v>2</v>
      </c>
      <c r="G136" s="1">
        <v>2</v>
      </c>
      <c r="H136" s="1">
        <v>222</v>
      </c>
      <c r="I136" s="1" t="s">
        <v>3756</v>
      </c>
    </row>
    <row r="137" spans="1:9" x14ac:dyDescent="0.3">
      <c r="A137" s="1" t="s">
        <v>531</v>
      </c>
      <c r="B137" s="1">
        <v>191</v>
      </c>
      <c r="C137" s="1">
        <v>2</v>
      </c>
      <c r="D137" s="1">
        <v>33094.5</v>
      </c>
      <c r="E137" s="1">
        <v>2</v>
      </c>
      <c r="F137" s="1">
        <v>2</v>
      </c>
      <c r="G137" s="1">
        <v>4</v>
      </c>
      <c r="H137" s="1">
        <v>224</v>
      </c>
      <c r="I137" s="1" t="s">
        <v>3756</v>
      </c>
    </row>
    <row r="138" spans="1:9" x14ac:dyDescent="0.3">
      <c r="A138" s="1" t="s">
        <v>535</v>
      </c>
      <c r="B138" s="1">
        <v>145</v>
      </c>
      <c r="C138" s="1">
        <v>1</v>
      </c>
      <c r="D138" s="1">
        <v>6992</v>
      </c>
      <c r="E138" s="1">
        <v>3</v>
      </c>
      <c r="F138" s="1">
        <v>1</v>
      </c>
      <c r="G138" s="1">
        <v>1</v>
      </c>
      <c r="H138" s="1">
        <v>311</v>
      </c>
      <c r="I138" s="1" t="s">
        <v>3758</v>
      </c>
    </row>
    <row r="139" spans="1:9" x14ac:dyDescent="0.3">
      <c r="A139" s="1" t="s">
        <v>539</v>
      </c>
      <c r="B139" s="1">
        <v>21</v>
      </c>
      <c r="C139" s="1">
        <v>3</v>
      </c>
      <c r="D139" s="1">
        <v>17922.650000000001</v>
      </c>
      <c r="E139" s="1">
        <v>5</v>
      </c>
      <c r="F139" s="1">
        <v>3</v>
      </c>
      <c r="G139" s="1">
        <v>2</v>
      </c>
      <c r="H139" s="1">
        <v>532</v>
      </c>
      <c r="I139" s="1" t="s">
        <v>3758</v>
      </c>
    </row>
    <row r="140" spans="1:9" x14ac:dyDescent="0.3">
      <c r="A140" s="1" t="s">
        <v>541</v>
      </c>
      <c r="B140" s="1">
        <v>242</v>
      </c>
      <c r="C140" s="1">
        <v>1</v>
      </c>
      <c r="D140" s="1">
        <v>12698</v>
      </c>
      <c r="E140" s="1">
        <v>2</v>
      </c>
      <c r="F140" s="1">
        <v>1</v>
      </c>
      <c r="G140" s="1">
        <v>2</v>
      </c>
      <c r="H140" s="1">
        <v>212</v>
      </c>
      <c r="I140" s="1" t="s">
        <v>3756</v>
      </c>
    </row>
    <row r="141" spans="1:9" x14ac:dyDescent="0.3">
      <c r="A141" s="1" t="s">
        <v>545</v>
      </c>
      <c r="B141" s="1">
        <v>377</v>
      </c>
      <c r="C141" s="1">
        <v>2</v>
      </c>
      <c r="D141" s="1">
        <v>9968</v>
      </c>
      <c r="E141" s="1">
        <v>1</v>
      </c>
      <c r="F141" s="1">
        <v>2</v>
      </c>
      <c r="G141" s="1">
        <v>1</v>
      </c>
      <c r="H141" s="1">
        <v>121</v>
      </c>
      <c r="I141" s="1" t="s">
        <v>3756</v>
      </c>
    </row>
    <row r="142" spans="1:9" x14ac:dyDescent="0.3">
      <c r="A142" s="1" t="s">
        <v>549</v>
      </c>
      <c r="B142" s="1">
        <v>131</v>
      </c>
      <c r="C142" s="1">
        <v>3</v>
      </c>
      <c r="D142" s="1">
        <v>19485</v>
      </c>
      <c r="E142" s="1">
        <v>3</v>
      </c>
      <c r="F142" s="1">
        <v>3</v>
      </c>
      <c r="G142" s="1">
        <v>3</v>
      </c>
      <c r="H142" s="1">
        <v>333</v>
      </c>
      <c r="I142" s="1" t="s">
        <v>3758</v>
      </c>
    </row>
    <row r="143" spans="1:9" x14ac:dyDescent="0.3">
      <c r="A143" s="1" t="s">
        <v>553</v>
      </c>
      <c r="B143" s="1">
        <v>94</v>
      </c>
      <c r="C143" s="1">
        <v>3</v>
      </c>
      <c r="D143" s="1">
        <v>18103</v>
      </c>
      <c r="E143" s="1">
        <v>4</v>
      </c>
      <c r="F143" s="1">
        <v>3</v>
      </c>
      <c r="G143" s="1">
        <v>2</v>
      </c>
      <c r="H143" s="1">
        <v>432</v>
      </c>
      <c r="I143" s="1" t="s">
        <v>3758</v>
      </c>
    </row>
    <row r="144" spans="1:9" x14ac:dyDescent="0.3">
      <c r="A144" s="1" t="s">
        <v>556</v>
      </c>
      <c r="B144" s="1">
        <v>19</v>
      </c>
      <c r="C144" s="1">
        <v>5</v>
      </c>
      <c r="D144" s="1">
        <v>38180.300000000003</v>
      </c>
      <c r="E144" s="1">
        <v>5</v>
      </c>
      <c r="F144" s="1">
        <v>5</v>
      </c>
      <c r="G144" s="1">
        <v>4</v>
      </c>
      <c r="H144" s="1">
        <v>554</v>
      </c>
      <c r="I144" s="1" t="s">
        <v>3757</v>
      </c>
    </row>
    <row r="145" spans="1:9" x14ac:dyDescent="0.3">
      <c r="A145" s="1" t="s">
        <v>560</v>
      </c>
      <c r="B145" s="1">
        <v>4</v>
      </c>
      <c r="C145" s="1">
        <v>5</v>
      </c>
      <c r="D145" s="1">
        <v>42748</v>
      </c>
      <c r="E145" s="1">
        <v>5</v>
      </c>
      <c r="F145" s="1">
        <v>5</v>
      </c>
      <c r="G145" s="1">
        <v>5</v>
      </c>
      <c r="H145" s="1">
        <v>555</v>
      </c>
      <c r="I145" s="1" t="s">
        <v>3757</v>
      </c>
    </row>
    <row r="146" spans="1:9" x14ac:dyDescent="0.3">
      <c r="A146" s="1" t="s">
        <v>567</v>
      </c>
      <c r="B146" s="1">
        <v>525</v>
      </c>
      <c r="C146" s="1">
        <v>1</v>
      </c>
      <c r="D146" s="1">
        <v>7850</v>
      </c>
      <c r="E146" s="1">
        <v>1</v>
      </c>
      <c r="F146" s="1">
        <v>1</v>
      </c>
      <c r="G146" s="1">
        <v>1</v>
      </c>
      <c r="H146" s="1">
        <v>111</v>
      </c>
      <c r="I146" s="1" t="s">
        <v>3756</v>
      </c>
    </row>
    <row r="147" spans="1:9" x14ac:dyDescent="0.3">
      <c r="A147" s="1" t="s">
        <v>570</v>
      </c>
      <c r="B147" s="1">
        <v>106</v>
      </c>
      <c r="C147" s="1">
        <v>4</v>
      </c>
      <c r="D147" s="1">
        <v>23505.7</v>
      </c>
      <c r="E147" s="1">
        <v>3</v>
      </c>
      <c r="F147" s="1">
        <v>4</v>
      </c>
      <c r="G147" s="1">
        <v>3</v>
      </c>
      <c r="H147" s="1">
        <v>343</v>
      </c>
      <c r="I147" s="1" t="s">
        <v>3758</v>
      </c>
    </row>
    <row r="148" spans="1:9" x14ac:dyDescent="0.3">
      <c r="A148" s="1" t="s">
        <v>574</v>
      </c>
      <c r="B148" s="1">
        <v>78</v>
      </c>
      <c r="C148" s="1">
        <v>5</v>
      </c>
      <c r="D148" s="1">
        <v>32037.599999999999</v>
      </c>
      <c r="E148" s="1">
        <v>4</v>
      </c>
      <c r="F148" s="1">
        <v>5</v>
      </c>
      <c r="G148" s="1">
        <v>4</v>
      </c>
      <c r="H148" s="1">
        <v>454</v>
      </c>
      <c r="I148" s="1" t="s">
        <v>3757</v>
      </c>
    </row>
    <row r="149" spans="1:9" x14ac:dyDescent="0.3">
      <c r="A149" s="1" t="s">
        <v>578</v>
      </c>
      <c r="B149" s="1">
        <v>209</v>
      </c>
      <c r="C149" s="1">
        <v>7</v>
      </c>
      <c r="D149" s="1">
        <v>66569</v>
      </c>
      <c r="E149" s="1">
        <v>2</v>
      </c>
      <c r="F149" s="1">
        <v>5</v>
      </c>
      <c r="G149" s="1">
        <v>5</v>
      </c>
      <c r="H149" s="1">
        <v>255</v>
      </c>
      <c r="I149" s="1" t="s">
        <v>3759</v>
      </c>
    </row>
    <row r="150" spans="1:9" x14ac:dyDescent="0.3">
      <c r="A150" s="1" t="s">
        <v>582</v>
      </c>
      <c r="B150" s="1">
        <v>30</v>
      </c>
      <c r="C150" s="1">
        <v>3</v>
      </c>
      <c r="D150" s="1">
        <v>14817</v>
      </c>
      <c r="E150" s="1">
        <v>5</v>
      </c>
      <c r="F150" s="1">
        <v>3</v>
      </c>
      <c r="G150" s="1">
        <v>2</v>
      </c>
      <c r="H150" s="1">
        <v>532</v>
      </c>
      <c r="I150" s="1" t="s">
        <v>3758</v>
      </c>
    </row>
    <row r="151" spans="1:9" x14ac:dyDescent="0.3">
      <c r="A151" s="1" t="s">
        <v>584</v>
      </c>
      <c r="B151" s="1">
        <v>484</v>
      </c>
      <c r="C151" s="1">
        <v>2</v>
      </c>
      <c r="D151" s="1">
        <v>18114</v>
      </c>
      <c r="E151" s="1">
        <v>1</v>
      </c>
      <c r="F151" s="1">
        <v>2</v>
      </c>
      <c r="G151" s="1">
        <v>2</v>
      </c>
      <c r="H151" s="1">
        <v>122</v>
      </c>
      <c r="I151" s="1" t="s">
        <v>3756</v>
      </c>
    </row>
    <row r="152" spans="1:9" x14ac:dyDescent="0.3">
      <c r="A152" s="1" t="s">
        <v>592</v>
      </c>
      <c r="B152" s="1">
        <v>51</v>
      </c>
      <c r="C152" s="1">
        <v>5</v>
      </c>
      <c r="D152" s="1">
        <v>35640.550000000003</v>
      </c>
      <c r="E152" s="1">
        <v>4</v>
      </c>
      <c r="F152" s="1">
        <v>5</v>
      </c>
      <c r="G152" s="1">
        <v>4</v>
      </c>
      <c r="H152" s="1">
        <v>454</v>
      </c>
      <c r="I152" s="1" t="s">
        <v>3757</v>
      </c>
    </row>
    <row r="153" spans="1:9" x14ac:dyDescent="0.3">
      <c r="A153" s="1" t="s">
        <v>596</v>
      </c>
      <c r="B153" s="1">
        <v>72</v>
      </c>
      <c r="C153" s="1">
        <v>2</v>
      </c>
      <c r="D153" s="1">
        <v>24536</v>
      </c>
      <c r="E153" s="1">
        <v>4</v>
      </c>
      <c r="F153" s="1">
        <v>2</v>
      </c>
      <c r="G153" s="1">
        <v>3</v>
      </c>
      <c r="H153" s="1">
        <v>423</v>
      </c>
      <c r="I153" s="1" t="s">
        <v>3755</v>
      </c>
    </row>
    <row r="154" spans="1:9" x14ac:dyDescent="0.3">
      <c r="A154" s="1" t="s">
        <v>599</v>
      </c>
      <c r="B154" s="1">
        <v>331</v>
      </c>
      <c r="C154" s="1">
        <v>3</v>
      </c>
      <c r="D154" s="1">
        <v>23297.5</v>
      </c>
      <c r="E154" s="1">
        <v>1</v>
      </c>
      <c r="F154" s="1">
        <v>3</v>
      </c>
      <c r="G154" s="1">
        <v>3</v>
      </c>
      <c r="H154" s="1">
        <v>133</v>
      </c>
      <c r="I154" s="1" t="s">
        <v>3758</v>
      </c>
    </row>
    <row r="155" spans="1:9" x14ac:dyDescent="0.3">
      <c r="A155" s="1" t="s">
        <v>603</v>
      </c>
      <c r="B155" s="1">
        <v>10</v>
      </c>
      <c r="C155" s="1">
        <v>1</v>
      </c>
      <c r="D155" s="1">
        <v>3690</v>
      </c>
      <c r="E155" s="1">
        <v>5</v>
      </c>
      <c r="F155" s="1">
        <v>1</v>
      </c>
      <c r="G155" s="1">
        <v>1</v>
      </c>
      <c r="H155" s="1">
        <v>511</v>
      </c>
      <c r="I155" s="1" t="s">
        <v>3755</v>
      </c>
    </row>
    <row r="156" spans="1:9" x14ac:dyDescent="0.3">
      <c r="A156" s="1" t="s">
        <v>606</v>
      </c>
      <c r="B156" s="1">
        <v>199</v>
      </c>
      <c r="C156" s="1">
        <v>2</v>
      </c>
      <c r="D156" s="1">
        <v>20728</v>
      </c>
      <c r="E156" s="1">
        <v>2</v>
      </c>
      <c r="F156" s="1">
        <v>2</v>
      </c>
      <c r="G156" s="1">
        <v>3</v>
      </c>
      <c r="H156" s="1">
        <v>223</v>
      </c>
      <c r="I156" s="1" t="s">
        <v>3756</v>
      </c>
    </row>
    <row r="157" spans="1:9" x14ac:dyDescent="0.3">
      <c r="A157" s="1" t="s">
        <v>610</v>
      </c>
      <c r="B157" s="1">
        <v>99</v>
      </c>
      <c r="C157" s="1">
        <v>6</v>
      </c>
      <c r="D157" s="1">
        <v>55408.3</v>
      </c>
      <c r="E157" s="1">
        <v>4</v>
      </c>
      <c r="F157" s="1">
        <v>5</v>
      </c>
      <c r="G157" s="1">
        <v>5</v>
      </c>
      <c r="H157" s="1">
        <v>455</v>
      </c>
      <c r="I157" s="1" t="s">
        <v>3757</v>
      </c>
    </row>
    <row r="158" spans="1:9" x14ac:dyDescent="0.3">
      <c r="A158" s="1" t="s">
        <v>613</v>
      </c>
      <c r="B158" s="1">
        <v>108</v>
      </c>
      <c r="C158" s="1">
        <v>4</v>
      </c>
      <c r="D158" s="1">
        <v>32049</v>
      </c>
      <c r="E158" s="1">
        <v>3</v>
      </c>
      <c r="F158" s="1">
        <v>4</v>
      </c>
      <c r="G158" s="1">
        <v>4</v>
      </c>
      <c r="H158" s="1">
        <v>344</v>
      </c>
      <c r="I158" s="1" t="s">
        <v>3758</v>
      </c>
    </row>
    <row r="159" spans="1:9" x14ac:dyDescent="0.3">
      <c r="A159" s="1" t="s">
        <v>617</v>
      </c>
      <c r="B159" s="1">
        <v>199</v>
      </c>
      <c r="C159" s="1">
        <v>2</v>
      </c>
      <c r="D159" s="1">
        <v>5514</v>
      </c>
      <c r="E159" s="1">
        <v>2</v>
      </c>
      <c r="F159" s="1">
        <v>2</v>
      </c>
      <c r="G159" s="1">
        <v>1</v>
      </c>
      <c r="H159" s="1">
        <v>221</v>
      </c>
      <c r="I159" s="1" t="s">
        <v>3756</v>
      </c>
    </row>
    <row r="160" spans="1:9" x14ac:dyDescent="0.3">
      <c r="A160" s="1" t="s">
        <v>621</v>
      </c>
      <c r="B160" s="1">
        <v>84</v>
      </c>
      <c r="C160" s="1">
        <v>4</v>
      </c>
      <c r="D160" s="1">
        <v>70155.5</v>
      </c>
      <c r="E160" s="1">
        <v>4</v>
      </c>
      <c r="F160" s="1">
        <v>4</v>
      </c>
      <c r="G160" s="1">
        <v>5</v>
      </c>
      <c r="H160" s="1">
        <v>445</v>
      </c>
      <c r="I160" s="1" t="s">
        <v>3757</v>
      </c>
    </row>
    <row r="161" spans="1:9" x14ac:dyDescent="0.3">
      <c r="A161" s="1" t="s">
        <v>625</v>
      </c>
      <c r="B161" s="1">
        <v>56</v>
      </c>
      <c r="C161" s="1">
        <v>4</v>
      </c>
      <c r="D161" s="1">
        <v>52359.5</v>
      </c>
      <c r="E161" s="1">
        <v>4</v>
      </c>
      <c r="F161" s="1">
        <v>4</v>
      </c>
      <c r="G161" s="1">
        <v>5</v>
      </c>
      <c r="H161" s="1">
        <v>445</v>
      </c>
      <c r="I161" s="1" t="s">
        <v>3757</v>
      </c>
    </row>
    <row r="162" spans="1:9" x14ac:dyDescent="0.3">
      <c r="A162" s="1" t="s">
        <v>627</v>
      </c>
      <c r="B162" s="1">
        <v>4</v>
      </c>
      <c r="C162" s="1">
        <v>1</v>
      </c>
      <c r="D162" s="1">
        <v>4590</v>
      </c>
      <c r="E162" s="1">
        <v>5</v>
      </c>
      <c r="F162" s="1">
        <v>1</v>
      </c>
      <c r="G162" s="1">
        <v>1</v>
      </c>
      <c r="H162" s="1">
        <v>511</v>
      </c>
      <c r="I162" s="1" t="s">
        <v>3755</v>
      </c>
    </row>
    <row r="163" spans="1:9" x14ac:dyDescent="0.3">
      <c r="A163" s="1" t="s">
        <v>631</v>
      </c>
      <c r="B163" s="1">
        <v>89</v>
      </c>
      <c r="C163" s="1">
        <v>4</v>
      </c>
      <c r="D163" s="1">
        <v>27380</v>
      </c>
      <c r="E163" s="1">
        <v>4</v>
      </c>
      <c r="F163" s="1">
        <v>4</v>
      </c>
      <c r="G163" s="1">
        <v>3</v>
      </c>
      <c r="H163" s="1">
        <v>443</v>
      </c>
      <c r="I163" s="1" t="s">
        <v>3758</v>
      </c>
    </row>
    <row r="164" spans="1:9" x14ac:dyDescent="0.3">
      <c r="A164" s="1" t="s">
        <v>639</v>
      </c>
      <c r="B164" s="1">
        <v>38</v>
      </c>
      <c r="C164" s="1">
        <v>4</v>
      </c>
      <c r="D164" s="1">
        <v>36133</v>
      </c>
      <c r="E164" s="1">
        <v>5</v>
      </c>
      <c r="F164" s="1">
        <v>4</v>
      </c>
      <c r="G164" s="1">
        <v>4</v>
      </c>
      <c r="H164" s="1">
        <v>544</v>
      </c>
      <c r="I164" s="1" t="s">
        <v>3757</v>
      </c>
    </row>
    <row r="165" spans="1:9" x14ac:dyDescent="0.3">
      <c r="A165" s="1" t="s">
        <v>642</v>
      </c>
      <c r="B165" s="1">
        <v>176</v>
      </c>
      <c r="C165" s="1">
        <v>3</v>
      </c>
      <c r="D165" s="1">
        <v>19080</v>
      </c>
      <c r="E165" s="1">
        <v>3</v>
      </c>
      <c r="F165" s="1">
        <v>3</v>
      </c>
      <c r="G165" s="1">
        <v>3</v>
      </c>
      <c r="H165" s="1">
        <v>333</v>
      </c>
      <c r="I165" s="1" t="s">
        <v>3758</v>
      </c>
    </row>
    <row r="166" spans="1:9" x14ac:dyDescent="0.3">
      <c r="A166" s="1" t="s">
        <v>646</v>
      </c>
      <c r="B166" s="1">
        <v>304</v>
      </c>
      <c r="C166" s="1">
        <v>3</v>
      </c>
      <c r="D166" s="1">
        <v>38751.5</v>
      </c>
      <c r="E166" s="1">
        <v>1</v>
      </c>
      <c r="F166" s="1">
        <v>3</v>
      </c>
      <c r="G166" s="1">
        <v>4</v>
      </c>
      <c r="H166" s="1">
        <v>134</v>
      </c>
      <c r="I166" s="1" t="s">
        <v>3758</v>
      </c>
    </row>
    <row r="167" spans="1:9" x14ac:dyDescent="0.3">
      <c r="A167" s="1" t="s">
        <v>649</v>
      </c>
      <c r="B167" s="1">
        <v>284</v>
      </c>
      <c r="C167" s="1">
        <v>1</v>
      </c>
      <c r="D167" s="1">
        <v>10710.75</v>
      </c>
      <c r="E167" s="1">
        <v>2</v>
      </c>
      <c r="F167" s="1">
        <v>1</v>
      </c>
      <c r="G167" s="1">
        <v>2</v>
      </c>
      <c r="H167" s="1">
        <v>212</v>
      </c>
      <c r="I167" s="1" t="s">
        <v>3756</v>
      </c>
    </row>
    <row r="168" spans="1:9" x14ac:dyDescent="0.3">
      <c r="A168" s="1" t="s">
        <v>653</v>
      </c>
      <c r="B168" s="1">
        <v>378</v>
      </c>
      <c r="C168" s="1">
        <v>2</v>
      </c>
      <c r="D168" s="1">
        <v>37388</v>
      </c>
      <c r="E168" s="1">
        <v>1</v>
      </c>
      <c r="F168" s="1">
        <v>2</v>
      </c>
      <c r="G168" s="1">
        <v>4</v>
      </c>
      <c r="H168" s="1">
        <v>124</v>
      </c>
      <c r="I168" s="1" t="s">
        <v>3756</v>
      </c>
    </row>
    <row r="169" spans="1:9" x14ac:dyDescent="0.3">
      <c r="A169" s="1" t="s">
        <v>656</v>
      </c>
      <c r="B169" s="1">
        <v>61</v>
      </c>
      <c r="C169" s="1">
        <v>5</v>
      </c>
      <c r="D169" s="1">
        <v>35349.4</v>
      </c>
      <c r="E169" s="1">
        <v>4</v>
      </c>
      <c r="F169" s="1">
        <v>5</v>
      </c>
      <c r="G169" s="1">
        <v>4</v>
      </c>
      <c r="H169" s="1">
        <v>454</v>
      </c>
      <c r="I169" s="1" t="s">
        <v>3757</v>
      </c>
    </row>
    <row r="170" spans="1:9" x14ac:dyDescent="0.3">
      <c r="A170" s="1" t="s">
        <v>660</v>
      </c>
      <c r="B170" s="1">
        <v>191</v>
      </c>
      <c r="C170" s="1">
        <v>3</v>
      </c>
      <c r="D170" s="1">
        <v>28258</v>
      </c>
      <c r="E170" s="1">
        <v>2</v>
      </c>
      <c r="F170" s="1">
        <v>3</v>
      </c>
      <c r="G170" s="1">
        <v>4</v>
      </c>
      <c r="H170" s="1">
        <v>234</v>
      </c>
      <c r="I170" s="1" t="s">
        <v>3758</v>
      </c>
    </row>
    <row r="171" spans="1:9" x14ac:dyDescent="0.3">
      <c r="A171" s="1" t="s">
        <v>664</v>
      </c>
      <c r="B171" s="1">
        <v>17</v>
      </c>
      <c r="C171" s="1">
        <v>1</v>
      </c>
      <c r="D171" s="1">
        <v>11530</v>
      </c>
      <c r="E171" s="1">
        <v>5</v>
      </c>
      <c r="F171" s="1">
        <v>1</v>
      </c>
      <c r="G171" s="1">
        <v>2</v>
      </c>
      <c r="H171" s="1">
        <v>512</v>
      </c>
      <c r="I171" s="1" t="s">
        <v>3755</v>
      </c>
    </row>
    <row r="172" spans="1:9" x14ac:dyDescent="0.3">
      <c r="A172" s="1" t="s">
        <v>668</v>
      </c>
      <c r="B172" s="1">
        <v>105</v>
      </c>
      <c r="C172" s="1">
        <v>3</v>
      </c>
      <c r="D172" s="1">
        <v>18757</v>
      </c>
      <c r="E172" s="1">
        <v>4</v>
      </c>
      <c r="F172" s="1">
        <v>3</v>
      </c>
      <c r="G172" s="1">
        <v>3</v>
      </c>
      <c r="H172" s="1">
        <v>433</v>
      </c>
      <c r="I172" s="1" t="s">
        <v>3758</v>
      </c>
    </row>
    <row r="173" spans="1:9" x14ac:dyDescent="0.3">
      <c r="A173" s="1" t="s">
        <v>670</v>
      </c>
      <c r="B173" s="1">
        <v>73</v>
      </c>
      <c r="C173" s="1">
        <v>2</v>
      </c>
      <c r="D173" s="1">
        <v>18167.55</v>
      </c>
      <c r="E173" s="1">
        <v>4</v>
      </c>
      <c r="F173" s="1">
        <v>2</v>
      </c>
      <c r="G173" s="1">
        <v>3</v>
      </c>
      <c r="H173" s="1">
        <v>423</v>
      </c>
      <c r="I173" s="1" t="s">
        <v>3755</v>
      </c>
    </row>
    <row r="174" spans="1:9" x14ac:dyDescent="0.3">
      <c r="A174" s="1" t="s">
        <v>674</v>
      </c>
      <c r="B174" s="1">
        <v>535</v>
      </c>
      <c r="C174" s="1">
        <v>1</v>
      </c>
      <c r="D174" s="1">
        <v>23232</v>
      </c>
      <c r="E174" s="1">
        <v>1</v>
      </c>
      <c r="F174" s="1">
        <v>1</v>
      </c>
      <c r="G174" s="1">
        <v>3</v>
      </c>
      <c r="H174" s="1">
        <v>113</v>
      </c>
      <c r="I174" s="1" t="s">
        <v>3756</v>
      </c>
    </row>
    <row r="175" spans="1:9" x14ac:dyDescent="0.3">
      <c r="A175" s="1" t="s">
        <v>678</v>
      </c>
      <c r="B175" s="1">
        <v>297</v>
      </c>
      <c r="C175" s="1">
        <v>1</v>
      </c>
      <c r="D175" s="1">
        <v>3285</v>
      </c>
      <c r="E175" s="1">
        <v>2</v>
      </c>
      <c r="F175" s="1">
        <v>1</v>
      </c>
      <c r="G175" s="1">
        <v>1</v>
      </c>
      <c r="H175" s="1">
        <v>211</v>
      </c>
      <c r="I175" s="1" t="s">
        <v>3756</v>
      </c>
    </row>
    <row r="176" spans="1:9" x14ac:dyDescent="0.3">
      <c r="A176" s="1" t="s">
        <v>682</v>
      </c>
      <c r="B176" s="1">
        <v>180</v>
      </c>
      <c r="C176" s="1">
        <v>3</v>
      </c>
      <c r="D176" s="1">
        <v>40189</v>
      </c>
      <c r="E176" s="1">
        <v>3</v>
      </c>
      <c r="F176" s="1">
        <v>3</v>
      </c>
      <c r="G176" s="1">
        <v>4</v>
      </c>
      <c r="H176" s="1">
        <v>334</v>
      </c>
      <c r="I176" s="1" t="s">
        <v>3758</v>
      </c>
    </row>
    <row r="177" spans="1:9" x14ac:dyDescent="0.3">
      <c r="A177" s="1" t="s">
        <v>685</v>
      </c>
      <c r="B177" s="1">
        <v>19</v>
      </c>
      <c r="C177" s="1">
        <v>4</v>
      </c>
      <c r="D177" s="1">
        <v>69856.5</v>
      </c>
      <c r="E177" s="1">
        <v>5</v>
      </c>
      <c r="F177" s="1">
        <v>4</v>
      </c>
      <c r="G177" s="1">
        <v>5</v>
      </c>
      <c r="H177" s="1">
        <v>545</v>
      </c>
      <c r="I177" s="1" t="s">
        <v>3757</v>
      </c>
    </row>
    <row r="178" spans="1:9" x14ac:dyDescent="0.3">
      <c r="A178" s="1" t="s">
        <v>689</v>
      </c>
      <c r="B178" s="1">
        <v>287</v>
      </c>
      <c r="C178" s="1">
        <v>4</v>
      </c>
      <c r="D178" s="1">
        <v>30540</v>
      </c>
      <c r="E178" s="1">
        <v>2</v>
      </c>
      <c r="F178" s="1">
        <v>4</v>
      </c>
      <c r="G178" s="1">
        <v>4</v>
      </c>
      <c r="H178" s="1">
        <v>244</v>
      </c>
      <c r="I178" s="1" t="s">
        <v>3759</v>
      </c>
    </row>
    <row r="179" spans="1:9" x14ac:dyDescent="0.3">
      <c r="A179" s="1" t="s">
        <v>692</v>
      </c>
      <c r="B179" s="1">
        <v>57</v>
      </c>
      <c r="C179" s="1">
        <v>3</v>
      </c>
      <c r="D179" s="1">
        <v>13124.5</v>
      </c>
      <c r="E179" s="1">
        <v>4</v>
      </c>
      <c r="F179" s="1">
        <v>3</v>
      </c>
      <c r="G179" s="1">
        <v>2</v>
      </c>
      <c r="H179" s="1">
        <v>432</v>
      </c>
      <c r="I179" s="1" t="s">
        <v>3758</v>
      </c>
    </row>
    <row r="180" spans="1:9" x14ac:dyDescent="0.3">
      <c r="A180" s="1" t="s">
        <v>696</v>
      </c>
      <c r="B180" s="1">
        <v>113</v>
      </c>
      <c r="C180" s="1">
        <v>3</v>
      </c>
      <c r="D180" s="1">
        <v>14084</v>
      </c>
      <c r="E180" s="1">
        <v>3</v>
      </c>
      <c r="F180" s="1">
        <v>3</v>
      </c>
      <c r="G180" s="1">
        <v>2</v>
      </c>
      <c r="H180" s="1">
        <v>332</v>
      </c>
      <c r="I180" s="1" t="s">
        <v>3758</v>
      </c>
    </row>
    <row r="181" spans="1:9" x14ac:dyDescent="0.3">
      <c r="A181" s="1" t="s">
        <v>699</v>
      </c>
      <c r="B181" s="1">
        <v>128</v>
      </c>
      <c r="C181" s="1">
        <v>5</v>
      </c>
      <c r="D181" s="1">
        <v>34188</v>
      </c>
      <c r="E181" s="1">
        <v>3</v>
      </c>
      <c r="F181" s="1">
        <v>5</v>
      </c>
      <c r="G181" s="1">
        <v>4</v>
      </c>
      <c r="H181" s="1">
        <v>354</v>
      </c>
      <c r="I181" s="1" t="s">
        <v>3758</v>
      </c>
    </row>
    <row r="182" spans="1:9" x14ac:dyDescent="0.3">
      <c r="A182" s="1" t="s">
        <v>703</v>
      </c>
      <c r="B182" s="1">
        <v>187</v>
      </c>
      <c r="C182" s="1">
        <v>3</v>
      </c>
      <c r="D182" s="1">
        <v>24774</v>
      </c>
      <c r="E182" s="1">
        <v>2</v>
      </c>
      <c r="F182" s="1">
        <v>3</v>
      </c>
      <c r="G182" s="1">
        <v>3</v>
      </c>
      <c r="H182" s="1">
        <v>233</v>
      </c>
      <c r="I182" s="1" t="s">
        <v>3758</v>
      </c>
    </row>
    <row r="183" spans="1:9" x14ac:dyDescent="0.3">
      <c r="A183" s="1" t="s">
        <v>707</v>
      </c>
      <c r="B183" s="1">
        <v>7</v>
      </c>
      <c r="C183" s="1">
        <v>2</v>
      </c>
      <c r="D183" s="1">
        <v>9968</v>
      </c>
      <c r="E183" s="1">
        <v>5</v>
      </c>
      <c r="F183" s="1">
        <v>2</v>
      </c>
      <c r="G183" s="1">
        <v>1</v>
      </c>
      <c r="H183" s="1">
        <v>521</v>
      </c>
      <c r="I183" s="1" t="s">
        <v>3755</v>
      </c>
    </row>
    <row r="184" spans="1:9" x14ac:dyDescent="0.3">
      <c r="A184" s="1" t="s">
        <v>711</v>
      </c>
      <c r="B184" s="1">
        <v>143</v>
      </c>
      <c r="C184" s="1">
        <v>8</v>
      </c>
      <c r="D184" s="1">
        <v>93445.9</v>
      </c>
      <c r="E184" s="1">
        <v>3</v>
      </c>
      <c r="F184" s="1">
        <v>5</v>
      </c>
      <c r="G184" s="1">
        <v>5</v>
      </c>
      <c r="H184" s="1">
        <v>355</v>
      </c>
      <c r="I184" s="1" t="s">
        <v>3758</v>
      </c>
    </row>
    <row r="185" spans="1:9" x14ac:dyDescent="0.3">
      <c r="A185" s="1" t="s">
        <v>713</v>
      </c>
      <c r="B185" s="1">
        <v>178</v>
      </c>
      <c r="C185" s="1">
        <v>4</v>
      </c>
      <c r="D185" s="1">
        <v>44392</v>
      </c>
      <c r="E185" s="1">
        <v>3</v>
      </c>
      <c r="F185" s="1">
        <v>4</v>
      </c>
      <c r="G185" s="1">
        <v>5</v>
      </c>
      <c r="H185" s="1">
        <v>345</v>
      </c>
      <c r="I185" s="1" t="s">
        <v>3758</v>
      </c>
    </row>
    <row r="186" spans="1:9" x14ac:dyDescent="0.3">
      <c r="A186" s="1" t="s">
        <v>717</v>
      </c>
      <c r="B186" s="1">
        <v>351</v>
      </c>
      <c r="C186" s="1">
        <v>1</v>
      </c>
      <c r="D186" s="1">
        <v>11292</v>
      </c>
      <c r="E186" s="1">
        <v>1</v>
      </c>
      <c r="F186" s="1">
        <v>1</v>
      </c>
      <c r="G186" s="1">
        <v>2</v>
      </c>
      <c r="H186" s="1">
        <v>112</v>
      </c>
      <c r="I186" s="1" t="s">
        <v>3756</v>
      </c>
    </row>
    <row r="187" spans="1:9" x14ac:dyDescent="0.3">
      <c r="A187" s="1" t="s">
        <v>721</v>
      </c>
      <c r="B187" s="1">
        <v>150</v>
      </c>
      <c r="C187" s="1">
        <v>4</v>
      </c>
      <c r="D187" s="1">
        <v>29825.75</v>
      </c>
      <c r="E187" s="1">
        <v>3</v>
      </c>
      <c r="F187" s="1">
        <v>4</v>
      </c>
      <c r="G187" s="1">
        <v>4</v>
      </c>
      <c r="H187" s="1">
        <v>344</v>
      </c>
      <c r="I187" s="1" t="s">
        <v>3758</v>
      </c>
    </row>
    <row r="188" spans="1:9" x14ac:dyDescent="0.3">
      <c r="A188" s="1" t="s">
        <v>725</v>
      </c>
      <c r="B188" s="1">
        <v>154</v>
      </c>
      <c r="C188" s="1">
        <v>3</v>
      </c>
      <c r="D188" s="1">
        <v>36600.5</v>
      </c>
      <c r="E188" s="1">
        <v>3</v>
      </c>
      <c r="F188" s="1">
        <v>3</v>
      </c>
      <c r="G188" s="1">
        <v>4</v>
      </c>
      <c r="H188" s="1">
        <v>334</v>
      </c>
      <c r="I188" s="1" t="s">
        <v>3758</v>
      </c>
    </row>
    <row r="189" spans="1:9" x14ac:dyDescent="0.3">
      <c r="A189" s="1" t="s">
        <v>728</v>
      </c>
      <c r="B189" s="1">
        <v>11</v>
      </c>
      <c r="C189" s="1">
        <v>4</v>
      </c>
      <c r="D189" s="1">
        <v>28890</v>
      </c>
      <c r="E189" s="1">
        <v>5</v>
      </c>
      <c r="F189" s="1">
        <v>4</v>
      </c>
      <c r="G189" s="1">
        <v>4</v>
      </c>
      <c r="H189" s="1">
        <v>544</v>
      </c>
      <c r="I189" s="1" t="s">
        <v>3757</v>
      </c>
    </row>
    <row r="190" spans="1:9" x14ac:dyDescent="0.3">
      <c r="A190" s="1" t="s">
        <v>732</v>
      </c>
      <c r="B190" s="1">
        <v>190</v>
      </c>
      <c r="C190" s="1">
        <v>2</v>
      </c>
      <c r="D190" s="1">
        <v>19414.5</v>
      </c>
      <c r="E190" s="1">
        <v>2</v>
      </c>
      <c r="F190" s="1">
        <v>2</v>
      </c>
      <c r="G190" s="1">
        <v>3</v>
      </c>
      <c r="H190" s="1">
        <v>223</v>
      </c>
      <c r="I190" s="1" t="s">
        <v>3756</v>
      </c>
    </row>
    <row r="191" spans="1:9" x14ac:dyDescent="0.3">
      <c r="A191" s="1" t="s">
        <v>735</v>
      </c>
      <c r="B191" s="1">
        <v>102</v>
      </c>
      <c r="C191" s="1">
        <v>5</v>
      </c>
      <c r="D191" s="1">
        <v>44247</v>
      </c>
      <c r="E191" s="1">
        <v>4</v>
      </c>
      <c r="F191" s="1">
        <v>5</v>
      </c>
      <c r="G191" s="1">
        <v>5</v>
      </c>
      <c r="H191" s="1">
        <v>455</v>
      </c>
      <c r="I191" s="1" t="s">
        <v>3757</v>
      </c>
    </row>
    <row r="192" spans="1:9" x14ac:dyDescent="0.3">
      <c r="A192" s="1" t="s">
        <v>739</v>
      </c>
      <c r="B192" s="1">
        <v>108</v>
      </c>
      <c r="C192" s="1">
        <v>2</v>
      </c>
      <c r="D192" s="1">
        <v>22900.5</v>
      </c>
      <c r="E192" s="1">
        <v>3</v>
      </c>
      <c r="F192" s="1">
        <v>2</v>
      </c>
      <c r="G192" s="1">
        <v>3</v>
      </c>
      <c r="H192" s="1">
        <v>323</v>
      </c>
      <c r="I192" s="1" t="s">
        <v>3758</v>
      </c>
    </row>
    <row r="193" spans="1:9" x14ac:dyDescent="0.3">
      <c r="A193" s="1" t="s">
        <v>742</v>
      </c>
      <c r="B193" s="1">
        <v>342</v>
      </c>
      <c r="C193" s="1">
        <v>1</v>
      </c>
      <c r="D193" s="1">
        <v>3726</v>
      </c>
      <c r="E193" s="1">
        <v>1</v>
      </c>
      <c r="F193" s="1">
        <v>1</v>
      </c>
      <c r="G193" s="1">
        <v>1</v>
      </c>
      <c r="H193" s="1">
        <v>111</v>
      </c>
      <c r="I193" s="1" t="s">
        <v>3756</v>
      </c>
    </row>
    <row r="194" spans="1:9" x14ac:dyDescent="0.3">
      <c r="A194" s="1" t="s">
        <v>746</v>
      </c>
      <c r="B194" s="1">
        <v>130</v>
      </c>
      <c r="C194" s="1">
        <v>4</v>
      </c>
      <c r="D194" s="1">
        <v>41578.5</v>
      </c>
      <c r="E194" s="1">
        <v>3</v>
      </c>
      <c r="F194" s="1">
        <v>4</v>
      </c>
      <c r="G194" s="1">
        <v>5</v>
      </c>
      <c r="H194" s="1">
        <v>345</v>
      </c>
      <c r="I194" s="1" t="s">
        <v>3758</v>
      </c>
    </row>
    <row r="195" spans="1:9" x14ac:dyDescent="0.3">
      <c r="A195" s="1" t="s">
        <v>750</v>
      </c>
      <c r="B195" s="1">
        <v>138</v>
      </c>
      <c r="C195" s="1">
        <v>2</v>
      </c>
      <c r="D195" s="1">
        <v>3078</v>
      </c>
      <c r="E195" s="1">
        <v>3</v>
      </c>
      <c r="F195" s="1">
        <v>2</v>
      </c>
      <c r="G195" s="1">
        <v>1</v>
      </c>
      <c r="H195" s="1">
        <v>321</v>
      </c>
      <c r="I195" s="1" t="s">
        <v>3758</v>
      </c>
    </row>
    <row r="196" spans="1:9" x14ac:dyDescent="0.3">
      <c r="A196" s="1" t="s">
        <v>754</v>
      </c>
      <c r="B196" s="1">
        <v>48</v>
      </c>
      <c r="C196" s="1">
        <v>7</v>
      </c>
      <c r="D196" s="1">
        <v>68005.05</v>
      </c>
      <c r="E196" s="1">
        <v>4</v>
      </c>
      <c r="F196" s="1">
        <v>5</v>
      </c>
      <c r="G196" s="1">
        <v>5</v>
      </c>
      <c r="H196" s="1">
        <v>455</v>
      </c>
      <c r="I196" s="1" t="s">
        <v>3757</v>
      </c>
    </row>
    <row r="197" spans="1:9" x14ac:dyDescent="0.3">
      <c r="A197" s="1" t="s">
        <v>756</v>
      </c>
      <c r="B197" s="1">
        <v>414</v>
      </c>
      <c r="C197" s="1">
        <v>1</v>
      </c>
      <c r="D197" s="1">
        <v>5081</v>
      </c>
      <c r="E197" s="1">
        <v>1</v>
      </c>
      <c r="F197" s="1">
        <v>1</v>
      </c>
      <c r="G197" s="1">
        <v>1</v>
      </c>
      <c r="H197" s="1">
        <v>111</v>
      </c>
      <c r="I197" s="1" t="s">
        <v>3756</v>
      </c>
    </row>
    <row r="198" spans="1:9" x14ac:dyDescent="0.3">
      <c r="A198" s="1" t="s">
        <v>760</v>
      </c>
      <c r="B198" s="1">
        <v>9</v>
      </c>
      <c r="C198" s="1">
        <v>3</v>
      </c>
      <c r="D198" s="1">
        <v>27284.5</v>
      </c>
      <c r="E198" s="1">
        <v>5</v>
      </c>
      <c r="F198" s="1">
        <v>3</v>
      </c>
      <c r="G198" s="1">
        <v>3</v>
      </c>
      <c r="H198" s="1">
        <v>533</v>
      </c>
      <c r="I198" s="1" t="s">
        <v>3758</v>
      </c>
    </row>
    <row r="199" spans="1:9" x14ac:dyDescent="0.3">
      <c r="A199" s="1" t="s">
        <v>764</v>
      </c>
      <c r="B199" s="1">
        <v>414</v>
      </c>
      <c r="C199" s="1">
        <v>2</v>
      </c>
      <c r="D199" s="1">
        <v>7832</v>
      </c>
      <c r="E199" s="1">
        <v>1</v>
      </c>
      <c r="F199" s="1">
        <v>2</v>
      </c>
      <c r="G199" s="1">
        <v>1</v>
      </c>
      <c r="H199" s="1">
        <v>121</v>
      </c>
      <c r="I199" s="1" t="s">
        <v>3756</v>
      </c>
    </row>
    <row r="200" spans="1:9" x14ac:dyDescent="0.3">
      <c r="A200" s="1" t="s">
        <v>768</v>
      </c>
      <c r="B200" s="1">
        <v>273</v>
      </c>
      <c r="C200" s="1">
        <v>2</v>
      </c>
      <c r="D200" s="1">
        <v>16417.95</v>
      </c>
      <c r="E200" s="1">
        <v>2</v>
      </c>
      <c r="F200" s="1">
        <v>2</v>
      </c>
      <c r="G200" s="1">
        <v>2</v>
      </c>
      <c r="H200" s="1">
        <v>222</v>
      </c>
      <c r="I200" s="1" t="s">
        <v>3756</v>
      </c>
    </row>
    <row r="201" spans="1:9" x14ac:dyDescent="0.3">
      <c r="A201" s="1" t="s">
        <v>771</v>
      </c>
      <c r="B201" s="1">
        <v>122</v>
      </c>
      <c r="C201" s="1">
        <v>3</v>
      </c>
      <c r="D201" s="1">
        <v>60622</v>
      </c>
      <c r="E201" s="1">
        <v>3</v>
      </c>
      <c r="F201" s="1">
        <v>3</v>
      </c>
      <c r="G201" s="1">
        <v>5</v>
      </c>
      <c r="H201" s="1">
        <v>335</v>
      </c>
      <c r="I201" s="1" t="s">
        <v>3758</v>
      </c>
    </row>
    <row r="202" spans="1:9" x14ac:dyDescent="0.3">
      <c r="A202" s="1" t="s">
        <v>775</v>
      </c>
      <c r="B202" s="1">
        <v>503</v>
      </c>
      <c r="C202" s="1">
        <v>1</v>
      </c>
      <c r="D202" s="1">
        <v>21171.8</v>
      </c>
      <c r="E202" s="1">
        <v>1</v>
      </c>
      <c r="F202" s="1">
        <v>1</v>
      </c>
      <c r="G202" s="1">
        <v>3</v>
      </c>
      <c r="H202" s="1">
        <v>113</v>
      </c>
      <c r="I202" s="1" t="s">
        <v>3756</v>
      </c>
    </row>
    <row r="203" spans="1:9" x14ac:dyDescent="0.3">
      <c r="A203" s="1" t="s">
        <v>778</v>
      </c>
      <c r="B203" s="1">
        <v>67</v>
      </c>
      <c r="C203" s="1">
        <v>5</v>
      </c>
      <c r="D203" s="1">
        <v>42015</v>
      </c>
      <c r="E203" s="1">
        <v>4</v>
      </c>
      <c r="F203" s="1">
        <v>5</v>
      </c>
      <c r="G203" s="1">
        <v>5</v>
      </c>
      <c r="H203" s="1">
        <v>455</v>
      </c>
      <c r="I203" s="1" t="s">
        <v>3757</v>
      </c>
    </row>
    <row r="204" spans="1:9" x14ac:dyDescent="0.3">
      <c r="A204" s="1" t="s">
        <v>782</v>
      </c>
      <c r="B204" s="1">
        <v>171</v>
      </c>
      <c r="C204" s="1">
        <v>2</v>
      </c>
      <c r="D204" s="1">
        <v>18847.5</v>
      </c>
      <c r="E204" s="1">
        <v>3</v>
      </c>
      <c r="F204" s="1">
        <v>2</v>
      </c>
      <c r="G204" s="1">
        <v>3</v>
      </c>
      <c r="H204" s="1">
        <v>323</v>
      </c>
      <c r="I204" s="1" t="s">
        <v>3758</v>
      </c>
    </row>
    <row r="205" spans="1:9" x14ac:dyDescent="0.3">
      <c r="A205" s="1" t="s">
        <v>785</v>
      </c>
      <c r="B205" s="1">
        <v>204</v>
      </c>
      <c r="C205" s="1">
        <v>4</v>
      </c>
      <c r="D205" s="1">
        <v>17842.5</v>
      </c>
      <c r="E205" s="1">
        <v>2</v>
      </c>
      <c r="F205" s="1">
        <v>4</v>
      </c>
      <c r="G205" s="1">
        <v>2</v>
      </c>
      <c r="H205" s="1">
        <v>242</v>
      </c>
      <c r="I205" s="1" t="s">
        <v>3759</v>
      </c>
    </row>
    <row r="206" spans="1:9" x14ac:dyDescent="0.3">
      <c r="A206" s="1" t="s">
        <v>789</v>
      </c>
      <c r="B206" s="1">
        <v>108</v>
      </c>
      <c r="C206" s="1">
        <v>3</v>
      </c>
      <c r="D206" s="1">
        <v>18939.7</v>
      </c>
      <c r="E206" s="1">
        <v>3</v>
      </c>
      <c r="F206" s="1">
        <v>3</v>
      </c>
      <c r="G206" s="1">
        <v>3</v>
      </c>
      <c r="H206" s="1">
        <v>333</v>
      </c>
      <c r="I206" s="1" t="s">
        <v>3758</v>
      </c>
    </row>
    <row r="207" spans="1:9" x14ac:dyDescent="0.3">
      <c r="A207" s="1" t="s">
        <v>793</v>
      </c>
      <c r="B207" s="1">
        <v>47</v>
      </c>
      <c r="C207" s="1">
        <v>4</v>
      </c>
      <c r="D207" s="1">
        <v>38588.5</v>
      </c>
      <c r="E207" s="1">
        <v>5</v>
      </c>
      <c r="F207" s="1">
        <v>4</v>
      </c>
      <c r="G207" s="1">
        <v>4</v>
      </c>
      <c r="H207" s="1">
        <v>544</v>
      </c>
      <c r="I207" s="1" t="s">
        <v>3757</v>
      </c>
    </row>
    <row r="208" spans="1:9" x14ac:dyDescent="0.3">
      <c r="A208" s="1" t="s">
        <v>797</v>
      </c>
      <c r="B208" s="1">
        <v>62</v>
      </c>
      <c r="C208" s="1">
        <v>4</v>
      </c>
      <c r="D208" s="1">
        <v>64243.5</v>
      </c>
      <c r="E208" s="1">
        <v>4</v>
      </c>
      <c r="F208" s="1">
        <v>4</v>
      </c>
      <c r="G208" s="1">
        <v>5</v>
      </c>
      <c r="H208" s="1">
        <v>445</v>
      </c>
      <c r="I208" s="1" t="s">
        <v>3757</v>
      </c>
    </row>
    <row r="209" spans="1:9" x14ac:dyDescent="0.3">
      <c r="A209" s="1" t="s">
        <v>799</v>
      </c>
      <c r="B209" s="1">
        <v>101</v>
      </c>
      <c r="C209" s="1">
        <v>4</v>
      </c>
      <c r="D209" s="1">
        <v>22357.15</v>
      </c>
      <c r="E209" s="1">
        <v>4</v>
      </c>
      <c r="F209" s="1">
        <v>4</v>
      </c>
      <c r="G209" s="1">
        <v>3</v>
      </c>
      <c r="H209" s="1">
        <v>443</v>
      </c>
      <c r="I209" s="1" t="s">
        <v>3758</v>
      </c>
    </row>
    <row r="210" spans="1:9" x14ac:dyDescent="0.3">
      <c r="A210" s="1" t="s">
        <v>803</v>
      </c>
      <c r="B210" s="1">
        <v>284</v>
      </c>
      <c r="C210" s="1">
        <v>2</v>
      </c>
      <c r="D210" s="1">
        <v>36622</v>
      </c>
      <c r="E210" s="1">
        <v>2</v>
      </c>
      <c r="F210" s="1">
        <v>2</v>
      </c>
      <c r="G210" s="1">
        <v>4</v>
      </c>
      <c r="H210" s="1">
        <v>224</v>
      </c>
      <c r="I210" s="1" t="s">
        <v>3756</v>
      </c>
    </row>
    <row r="211" spans="1:9" x14ac:dyDescent="0.3">
      <c r="A211" s="1" t="s">
        <v>807</v>
      </c>
      <c r="B211" s="1">
        <v>374</v>
      </c>
      <c r="C211" s="1">
        <v>3</v>
      </c>
      <c r="D211" s="1">
        <v>12186</v>
      </c>
      <c r="E211" s="1">
        <v>1</v>
      </c>
      <c r="F211" s="1">
        <v>3</v>
      </c>
      <c r="G211" s="1">
        <v>2</v>
      </c>
      <c r="H211" s="1">
        <v>132</v>
      </c>
      <c r="I211" s="1" t="s">
        <v>3758</v>
      </c>
    </row>
    <row r="212" spans="1:9" x14ac:dyDescent="0.3">
      <c r="A212" s="1" t="s">
        <v>811</v>
      </c>
      <c r="B212" s="1">
        <v>322</v>
      </c>
      <c r="C212" s="1">
        <v>1</v>
      </c>
      <c r="D212" s="1">
        <v>13900</v>
      </c>
      <c r="E212" s="1">
        <v>1</v>
      </c>
      <c r="F212" s="1">
        <v>1</v>
      </c>
      <c r="G212" s="1">
        <v>2</v>
      </c>
      <c r="H212" s="1">
        <v>112</v>
      </c>
      <c r="I212" s="1" t="s">
        <v>3756</v>
      </c>
    </row>
    <row r="213" spans="1:9" x14ac:dyDescent="0.3">
      <c r="A213" s="1" t="s">
        <v>814</v>
      </c>
      <c r="B213" s="1">
        <v>314</v>
      </c>
      <c r="C213" s="1">
        <v>3</v>
      </c>
      <c r="D213" s="1">
        <v>6979</v>
      </c>
      <c r="E213" s="1">
        <v>1</v>
      </c>
      <c r="F213" s="1">
        <v>3</v>
      </c>
      <c r="G213" s="1">
        <v>1</v>
      </c>
      <c r="H213" s="1">
        <v>131</v>
      </c>
      <c r="I213" s="1" t="s">
        <v>3758</v>
      </c>
    </row>
    <row r="214" spans="1:9" x14ac:dyDescent="0.3">
      <c r="A214" s="1" t="s">
        <v>818</v>
      </c>
      <c r="B214" s="1">
        <v>236</v>
      </c>
      <c r="C214" s="1">
        <v>2</v>
      </c>
      <c r="D214" s="1">
        <v>13320.5</v>
      </c>
      <c r="E214" s="1">
        <v>2</v>
      </c>
      <c r="F214" s="1">
        <v>2</v>
      </c>
      <c r="G214" s="1">
        <v>2</v>
      </c>
      <c r="H214" s="1">
        <v>222</v>
      </c>
      <c r="I214" s="1" t="s">
        <v>3756</v>
      </c>
    </row>
    <row r="215" spans="1:9" x14ac:dyDescent="0.3">
      <c r="A215" s="1" t="s">
        <v>821</v>
      </c>
      <c r="B215" s="1">
        <v>218</v>
      </c>
      <c r="C215" s="1">
        <v>1</v>
      </c>
      <c r="D215" s="1">
        <v>6859.5</v>
      </c>
      <c r="E215" s="1">
        <v>2</v>
      </c>
      <c r="F215" s="1">
        <v>1</v>
      </c>
      <c r="G215" s="1">
        <v>1</v>
      </c>
      <c r="H215" s="1">
        <v>211</v>
      </c>
      <c r="I215" s="1" t="s">
        <v>3756</v>
      </c>
    </row>
    <row r="216" spans="1:9" x14ac:dyDescent="0.3">
      <c r="A216" s="1" t="s">
        <v>825</v>
      </c>
      <c r="B216" s="1">
        <v>234</v>
      </c>
      <c r="C216" s="1">
        <v>4</v>
      </c>
      <c r="D216" s="1">
        <v>21886.5</v>
      </c>
      <c r="E216" s="1">
        <v>2</v>
      </c>
      <c r="F216" s="1">
        <v>4</v>
      </c>
      <c r="G216" s="1">
        <v>3</v>
      </c>
      <c r="H216" s="1">
        <v>243</v>
      </c>
      <c r="I216" s="1" t="s">
        <v>3759</v>
      </c>
    </row>
    <row r="217" spans="1:9" x14ac:dyDescent="0.3">
      <c r="A217" s="1" t="s">
        <v>828</v>
      </c>
      <c r="B217" s="1">
        <v>193</v>
      </c>
      <c r="C217" s="1">
        <v>3</v>
      </c>
      <c r="D217" s="1">
        <v>23123.5</v>
      </c>
      <c r="E217" s="1">
        <v>2</v>
      </c>
      <c r="F217" s="1">
        <v>3</v>
      </c>
      <c r="G217" s="1">
        <v>3</v>
      </c>
      <c r="H217" s="1">
        <v>233</v>
      </c>
      <c r="I217" s="1" t="s">
        <v>3758</v>
      </c>
    </row>
    <row r="218" spans="1:9" x14ac:dyDescent="0.3">
      <c r="A218" s="1" t="s">
        <v>832</v>
      </c>
      <c r="B218" s="1">
        <v>104</v>
      </c>
      <c r="C218" s="1">
        <v>5</v>
      </c>
      <c r="D218" s="1">
        <v>33452</v>
      </c>
      <c r="E218" s="1">
        <v>4</v>
      </c>
      <c r="F218" s="1">
        <v>5</v>
      </c>
      <c r="G218" s="1">
        <v>4</v>
      </c>
      <c r="H218" s="1">
        <v>454</v>
      </c>
      <c r="I218" s="1" t="s">
        <v>3757</v>
      </c>
    </row>
    <row r="219" spans="1:9" x14ac:dyDescent="0.3">
      <c r="A219" s="1" t="s">
        <v>836</v>
      </c>
      <c r="B219" s="1">
        <v>29</v>
      </c>
      <c r="C219" s="1">
        <v>5</v>
      </c>
      <c r="D219" s="1">
        <v>34793</v>
      </c>
      <c r="E219" s="1">
        <v>5</v>
      </c>
      <c r="F219" s="1">
        <v>5</v>
      </c>
      <c r="G219" s="1">
        <v>4</v>
      </c>
      <c r="H219" s="1">
        <v>554</v>
      </c>
      <c r="I219" s="1" t="s">
        <v>3757</v>
      </c>
    </row>
    <row r="220" spans="1:9" x14ac:dyDescent="0.3">
      <c r="A220" s="1" t="s">
        <v>840</v>
      </c>
      <c r="B220" s="1">
        <v>83</v>
      </c>
      <c r="C220" s="1">
        <v>5</v>
      </c>
      <c r="D220" s="1">
        <v>46564.5</v>
      </c>
      <c r="E220" s="1">
        <v>4</v>
      </c>
      <c r="F220" s="1">
        <v>5</v>
      </c>
      <c r="G220" s="1">
        <v>5</v>
      </c>
      <c r="H220" s="1">
        <v>455</v>
      </c>
      <c r="I220" s="1" t="s">
        <v>3757</v>
      </c>
    </row>
    <row r="221" spans="1:9" x14ac:dyDescent="0.3">
      <c r="A221" s="1" t="s">
        <v>842</v>
      </c>
      <c r="B221" s="1">
        <v>50</v>
      </c>
      <c r="C221" s="1">
        <v>5</v>
      </c>
      <c r="D221" s="1">
        <v>53442.5</v>
      </c>
      <c r="E221" s="1">
        <v>4</v>
      </c>
      <c r="F221" s="1">
        <v>5</v>
      </c>
      <c r="G221" s="1">
        <v>5</v>
      </c>
      <c r="H221" s="1">
        <v>455</v>
      </c>
      <c r="I221" s="1" t="s">
        <v>3757</v>
      </c>
    </row>
    <row r="222" spans="1:9" x14ac:dyDescent="0.3">
      <c r="A222" s="1" t="s">
        <v>846</v>
      </c>
      <c r="B222" s="1">
        <v>44</v>
      </c>
      <c r="C222" s="1">
        <v>4</v>
      </c>
      <c r="D222" s="1">
        <v>57734.45</v>
      </c>
      <c r="E222" s="1">
        <v>5</v>
      </c>
      <c r="F222" s="1">
        <v>4</v>
      </c>
      <c r="G222" s="1">
        <v>5</v>
      </c>
      <c r="H222" s="1">
        <v>545</v>
      </c>
      <c r="I222" s="1" t="s">
        <v>3757</v>
      </c>
    </row>
    <row r="223" spans="1:9" x14ac:dyDescent="0.3">
      <c r="A223" s="1" t="s">
        <v>850</v>
      </c>
      <c r="B223" s="1">
        <v>11</v>
      </c>
      <c r="C223" s="1">
        <v>7</v>
      </c>
      <c r="D223" s="1">
        <v>57080.5</v>
      </c>
      <c r="E223" s="1">
        <v>5</v>
      </c>
      <c r="F223" s="1">
        <v>5</v>
      </c>
      <c r="G223" s="1">
        <v>5</v>
      </c>
      <c r="H223" s="1">
        <v>555</v>
      </c>
      <c r="I223" s="1" t="s">
        <v>3757</v>
      </c>
    </row>
    <row r="224" spans="1:9" x14ac:dyDescent="0.3">
      <c r="A224" s="1" t="s">
        <v>854</v>
      </c>
      <c r="B224" s="1">
        <v>495</v>
      </c>
      <c r="C224" s="1">
        <v>1</v>
      </c>
      <c r="D224" s="1">
        <v>13870</v>
      </c>
      <c r="E224" s="1">
        <v>1</v>
      </c>
      <c r="F224" s="1">
        <v>1</v>
      </c>
      <c r="G224" s="1">
        <v>2</v>
      </c>
      <c r="H224" s="1">
        <v>112</v>
      </c>
      <c r="I224" s="1" t="s">
        <v>3756</v>
      </c>
    </row>
    <row r="225" spans="1:9" x14ac:dyDescent="0.3">
      <c r="A225" s="1" t="s">
        <v>857</v>
      </c>
      <c r="B225" s="1">
        <v>344</v>
      </c>
      <c r="C225" s="1">
        <v>1</v>
      </c>
      <c r="D225" s="1">
        <v>11552</v>
      </c>
      <c r="E225" s="1">
        <v>1</v>
      </c>
      <c r="F225" s="1">
        <v>1</v>
      </c>
      <c r="G225" s="1">
        <v>2</v>
      </c>
      <c r="H225" s="1">
        <v>112</v>
      </c>
      <c r="I225" s="1" t="s">
        <v>3756</v>
      </c>
    </row>
    <row r="226" spans="1:9" x14ac:dyDescent="0.3">
      <c r="A226" s="1" t="s">
        <v>861</v>
      </c>
      <c r="B226" s="1">
        <v>439</v>
      </c>
      <c r="C226" s="1">
        <v>1</v>
      </c>
      <c r="D226" s="1">
        <v>8840</v>
      </c>
      <c r="E226" s="1">
        <v>1</v>
      </c>
      <c r="F226" s="1">
        <v>1</v>
      </c>
      <c r="G226" s="1">
        <v>1</v>
      </c>
      <c r="H226" s="1">
        <v>111</v>
      </c>
      <c r="I226" s="1" t="s">
        <v>3756</v>
      </c>
    </row>
    <row r="227" spans="1:9" x14ac:dyDescent="0.3">
      <c r="A227" s="1" t="s">
        <v>864</v>
      </c>
      <c r="B227" s="1">
        <v>157</v>
      </c>
      <c r="C227" s="1">
        <v>5</v>
      </c>
      <c r="D227" s="1">
        <v>63741</v>
      </c>
      <c r="E227" s="1">
        <v>3</v>
      </c>
      <c r="F227" s="1">
        <v>5</v>
      </c>
      <c r="G227" s="1">
        <v>5</v>
      </c>
      <c r="H227" s="1">
        <v>355</v>
      </c>
      <c r="I227" s="1" t="s">
        <v>3758</v>
      </c>
    </row>
    <row r="228" spans="1:9" x14ac:dyDescent="0.3">
      <c r="A228" s="1" t="s">
        <v>868</v>
      </c>
      <c r="B228" s="1">
        <v>332</v>
      </c>
      <c r="C228" s="1">
        <v>2</v>
      </c>
      <c r="D228" s="1">
        <v>15630</v>
      </c>
      <c r="E228" s="1">
        <v>1</v>
      </c>
      <c r="F228" s="1">
        <v>2</v>
      </c>
      <c r="G228" s="1">
        <v>2</v>
      </c>
      <c r="H228" s="1">
        <v>122</v>
      </c>
      <c r="I228" s="1" t="s">
        <v>3756</v>
      </c>
    </row>
    <row r="229" spans="1:9" x14ac:dyDescent="0.3">
      <c r="A229" s="1" t="s">
        <v>871</v>
      </c>
      <c r="B229" s="1">
        <v>145</v>
      </c>
      <c r="C229" s="1">
        <v>2</v>
      </c>
      <c r="D229" s="1">
        <v>10935</v>
      </c>
      <c r="E229" s="1">
        <v>3</v>
      </c>
      <c r="F229" s="1">
        <v>2</v>
      </c>
      <c r="G229" s="1">
        <v>2</v>
      </c>
      <c r="H229" s="1">
        <v>322</v>
      </c>
      <c r="I229" s="1" t="s">
        <v>3758</v>
      </c>
    </row>
    <row r="230" spans="1:9" x14ac:dyDescent="0.3">
      <c r="A230" s="1" t="s">
        <v>873</v>
      </c>
      <c r="B230" s="1">
        <v>162</v>
      </c>
      <c r="C230" s="1">
        <v>6</v>
      </c>
      <c r="D230" s="1">
        <v>31799</v>
      </c>
      <c r="E230" s="1">
        <v>3</v>
      </c>
      <c r="F230" s="1">
        <v>5</v>
      </c>
      <c r="G230" s="1">
        <v>4</v>
      </c>
      <c r="H230" s="1">
        <v>354</v>
      </c>
      <c r="I230" s="1" t="s">
        <v>3758</v>
      </c>
    </row>
    <row r="231" spans="1:9" x14ac:dyDescent="0.3">
      <c r="A231" s="1" t="s">
        <v>877</v>
      </c>
      <c r="B231" s="1">
        <v>475</v>
      </c>
      <c r="C231" s="1">
        <v>1</v>
      </c>
      <c r="D231" s="1">
        <v>4320</v>
      </c>
      <c r="E231" s="1">
        <v>1</v>
      </c>
      <c r="F231" s="1">
        <v>1</v>
      </c>
      <c r="G231" s="1">
        <v>1</v>
      </c>
      <c r="H231" s="1">
        <v>111</v>
      </c>
      <c r="I231" s="1" t="s">
        <v>3756</v>
      </c>
    </row>
    <row r="232" spans="1:9" x14ac:dyDescent="0.3">
      <c r="A232" s="1" t="s">
        <v>883</v>
      </c>
      <c r="B232" s="1">
        <v>23</v>
      </c>
      <c r="C232" s="1">
        <v>3</v>
      </c>
      <c r="D232" s="1">
        <v>44225.5</v>
      </c>
      <c r="E232" s="1">
        <v>5</v>
      </c>
      <c r="F232" s="1">
        <v>3</v>
      </c>
      <c r="G232" s="1">
        <v>5</v>
      </c>
      <c r="H232" s="1">
        <v>535</v>
      </c>
      <c r="I232" s="1" t="s">
        <v>3758</v>
      </c>
    </row>
    <row r="233" spans="1:9" x14ac:dyDescent="0.3">
      <c r="A233" s="1" t="s">
        <v>887</v>
      </c>
      <c r="B233" s="1">
        <v>75</v>
      </c>
      <c r="C233" s="1">
        <v>7</v>
      </c>
      <c r="D233" s="1">
        <v>64802</v>
      </c>
      <c r="E233" s="1">
        <v>4</v>
      </c>
      <c r="F233" s="1">
        <v>5</v>
      </c>
      <c r="G233" s="1">
        <v>5</v>
      </c>
      <c r="H233" s="1">
        <v>455</v>
      </c>
      <c r="I233" s="1" t="s">
        <v>3757</v>
      </c>
    </row>
    <row r="234" spans="1:9" x14ac:dyDescent="0.3">
      <c r="A234" s="1" t="s">
        <v>891</v>
      </c>
      <c r="B234" s="1">
        <v>77</v>
      </c>
      <c r="C234" s="1">
        <v>4</v>
      </c>
      <c r="D234" s="1">
        <v>41550.5</v>
      </c>
      <c r="E234" s="1">
        <v>4</v>
      </c>
      <c r="F234" s="1">
        <v>4</v>
      </c>
      <c r="G234" s="1">
        <v>4</v>
      </c>
      <c r="H234" s="1">
        <v>444</v>
      </c>
      <c r="I234" s="1" t="s">
        <v>3757</v>
      </c>
    </row>
    <row r="235" spans="1:9" x14ac:dyDescent="0.3">
      <c r="A235" s="1" t="s">
        <v>895</v>
      </c>
      <c r="B235" s="1">
        <v>73</v>
      </c>
      <c r="C235" s="1">
        <v>6</v>
      </c>
      <c r="D235" s="1">
        <v>46834.55</v>
      </c>
      <c r="E235" s="1">
        <v>4</v>
      </c>
      <c r="F235" s="1">
        <v>5</v>
      </c>
      <c r="G235" s="1">
        <v>5</v>
      </c>
      <c r="H235" s="1">
        <v>455</v>
      </c>
      <c r="I235" s="1" t="s">
        <v>3757</v>
      </c>
    </row>
    <row r="236" spans="1:9" x14ac:dyDescent="0.3">
      <c r="A236" s="1" t="s">
        <v>898</v>
      </c>
      <c r="B236" s="1">
        <v>30</v>
      </c>
      <c r="C236" s="1">
        <v>1</v>
      </c>
      <c r="D236" s="1">
        <v>2200</v>
      </c>
      <c r="E236" s="1">
        <v>5</v>
      </c>
      <c r="F236" s="1">
        <v>1</v>
      </c>
      <c r="G236" s="1">
        <v>1</v>
      </c>
      <c r="H236" s="1">
        <v>511</v>
      </c>
      <c r="I236" s="1" t="s">
        <v>3755</v>
      </c>
    </row>
    <row r="237" spans="1:9" x14ac:dyDescent="0.3">
      <c r="A237" s="1" t="s">
        <v>902</v>
      </c>
      <c r="B237" s="1">
        <v>216</v>
      </c>
      <c r="C237" s="1">
        <v>4</v>
      </c>
      <c r="D237" s="1">
        <v>24291</v>
      </c>
      <c r="E237" s="1">
        <v>2</v>
      </c>
      <c r="F237" s="1">
        <v>4</v>
      </c>
      <c r="G237" s="1">
        <v>3</v>
      </c>
      <c r="H237" s="1">
        <v>243</v>
      </c>
      <c r="I237" s="1" t="s">
        <v>3759</v>
      </c>
    </row>
    <row r="238" spans="1:9" x14ac:dyDescent="0.3">
      <c r="A238" s="1" t="s">
        <v>905</v>
      </c>
      <c r="B238" s="1">
        <v>22</v>
      </c>
      <c r="C238" s="1">
        <v>3</v>
      </c>
      <c r="D238" s="1">
        <v>35979.5</v>
      </c>
      <c r="E238" s="1">
        <v>5</v>
      </c>
      <c r="F238" s="1">
        <v>3</v>
      </c>
      <c r="G238" s="1">
        <v>4</v>
      </c>
      <c r="H238" s="1">
        <v>534</v>
      </c>
      <c r="I238" s="1" t="s">
        <v>3758</v>
      </c>
    </row>
    <row r="239" spans="1:9" x14ac:dyDescent="0.3">
      <c r="A239" s="1" t="s">
        <v>909</v>
      </c>
      <c r="B239" s="1">
        <v>154</v>
      </c>
      <c r="C239" s="1">
        <v>4</v>
      </c>
      <c r="D239" s="1">
        <v>42100</v>
      </c>
      <c r="E239" s="1">
        <v>3</v>
      </c>
      <c r="F239" s="1">
        <v>4</v>
      </c>
      <c r="G239" s="1">
        <v>5</v>
      </c>
      <c r="H239" s="1">
        <v>345</v>
      </c>
      <c r="I239" s="1" t="s">
        <v>3758</v>
      </c>
    </row>
    <row r="240" spans="1:9" x14ac:dyDescent="0.3">
      <c r="A240" s="1" t="s">
        <v>912</v>
      </c>
      <c r="B240" s="1">
        <v>217</v>
      </c>
      <c r="C240" s="1">
        <v>1</v>
      </c>
      <c r="D240" s="1">
        <v>7974</v>
      </c>
      <c r="E240" s="1">
        <v>2</v>
      </c>
      <c r="F240" s="1">
        <v>1</v>
      </c>
      <c r="G240" s="1">
        <v>1</v>
      </c>
      <c r="H240" s="1">
        <v>211</v>
      </c>
      <c r="I240" s="1" t="s">
        <v>3756</v>
      </c>
    </row>
    <row r="241" spans="1:9" x14ac:dyDescent="0.3">
      <c r="A241" s="1" t="s">
        <v>916</v>
      </c>
      <c r="B241" s="1">
        <v>1</v>
      </c>
      <c r="C241" s="1">
        <v>1</v>
      </c>
      <c r="D241" s="1">
        <v>11981</v>
      </c>
      <c r="E241" s="1">
        <v>5</v>
      </c>
      <c r="F241" s="1">
        <v>1</v>
      </c>
      <c r="G241" s="1">
        <v>2</v>
      </c>
      <c r="H241" s="1">
        <v>512</v>
      </c>
      <c r="I241" s="1" t="s">
        <v>3755</v>
      </c>
    </row>
    <row r="242" spans="1:9" x14ac:dyDescent="0.3">
      <c r="A242" s="1" t="s">
        <v>920</v>
      </c>
      <c r="B242" s="1">
        <v>322</v>
      </c>
      <c r="C242" s="1">
        <v>6</v>
      </c>
      <c r="D242" s="1">
        <v>50469</v>
      </c>
      <c r="E242" s="1">
        <v>1</v>
      </c>
      <c r="F242" s="1">
        <v>5</v>
      </c>
      <c r="G242" s="1">
        <v>5</v>
      </c>
      <c r="H242" s="1">
        <v>155</v>
      </c>
      <c r="I242" s="1" t="s">
        <v>3759</v>
      </c>
    </row>
    <row r="243" spans="1:9" x14ac:dyDescent="0.3">
      <c r="A243" s="1" t="s">
        <v>924</v>
      </c>
      <c r="B243" s="1">
        <v>241</v>
      </c>
      <c r="C243" s="1">
        <v>5</v>
      </c>
      <c r="D243" s="1">
        <v>43758.1</v>
      </c>
      <c r="E243" s="1">
        <v>2</v>
      </c>
      <c r="F243" s="1">
        <v>5</v>
      </c>
      <c r="G243" s="1">
        <v>5</v>
      </c>
      <c r="H243" s="1">
        <v>255</v>
      </c>
      <c r="I243" s="1" t="s">
        <v>3759</v>
      </c>
    </row>
    <row r="244" spans="1:9" x14ac:dyDescent="0.3">
      <c r="A244" s="1" t="s">
        <v>926</v>
      </c>
      <c r="B244" s="1">
        <v>22</v>
      </c>
      <c r="C244" s="1">
        <v>4</v>
      </c>
      <c r="D244" s="1">
        <v>3245.5</v>
      </c>
      <c r="E244" s="1">
        <v>5</v>
      </c>
      <c r="F244" s="1">
        <v>4</v>
      </c>
      <c r="G244" s="1">
        <v>1</v>
      </c>
      <c r="H244" s="1">
        <v>541</v>
      </c>
      <c r="I244" s="1" t="s">
        <v>3758</v>
      </c>
    </row>
    <row r="245" spans="1:9" x14ac:dyDescent="0.3">
      <c r="A245" s="1" t="s">
        <v>930</v>
      </c>
      <c r="B245" s="1">
        <v>35</v>
      </c>
      <c r="C245" s="1">
        <v>4</v>
      </c>
      <c r="D245" s="1">
        <v>29055.5</v>
      </c>
      <c r="E245" s="1">
        <v>5</v>
      </c>
      <c r="F245" s="1">
        <v>4</v>
      </c>
      <c r="G245" s="1">
        <v>4</v>
      </c>
      <c r="H245" s="1">
        <v>544</v>
      </c>
      <c r="I245" s="1" t="s">
        <v>3757</v>
      </c>
    </row>
    <row r="246" spans="1:9" x14ac:dyDescent="0.3">
      <c r="A246" s="1" t="s">
        <v>934</v>
      </c>
      <c r="B246" s="1">
        <v>90</v>
      </c>
      <c r="C246" s="1">
        <v>5</v>
      </c>
      <c r="D246" s="1">
        <v>50688</v>
      </c>
      <c r="E246" s="1">
        <v>4</v>
      </c>
      <c r="F246" s="1">
        <v>5</v>
      </c>
      <c r="G246" s="1">
        <v>5</v>
      </c>
      <c r="H246" s="1">
        <v>455</v>
      </c>
      <c r="I246" s="1" t="s">
        <v>3757</v>
      </c>
    </row>
    <row r="247" spans="1:9" x14ac:dyDescent="0.3">
      <c r="A247" s="1" t="s">
        <v>938</v>
      </c>
      <c r="B247" s="1">
        <v>263</v>
      </c>
      <c r="C247" s="1">
        <v>3</v>
      </c>
      <c r="D247" s="1">
        <v>25852</v>
      </c>
      <c r="E247" s="1">
        <v>2</v>
      </c>
      <c r="F247" s="1">
        <v>3</v>
      </c>
      <c r="G247" s="1">
        <v>3</v>
      </c>
      <c r="H247" s="1">
        <v>233</v>
      </c>
      <c r="I247" s="1" t="s">
        <v>3758</v>
      </c>
    </row>
    <row r="248" spans="1:9" x14ac:dyDescent="0.3">
      <c r="A248" s="1" t="s">
        <v>941</v>
      </c>
      <c r="B248" s="1">
        <v>14</v>
      </c>
      <c r="C248" s="1">
        <v>3</v>
      </c>
      <c r="D248" s="1">
        <v>7153</v>
      </c>
      <c r="E248" s="1">
        <v>5</v>
      </c>
      <c r="F248" s="1">
        <v>3</v>
      </c>
      <c r="G248" s="1">
        <v>1</v>
      </c>
      <c r="H248" s="1">
        <v>531</v>
      </c>
      <c r="I248" s="1" t="s">
        <v>3758</v>
      </c>
    </row>
    <row r="249" spans="1:9" x14ac:dyDescent="0.3">
      <c r="A249" s="1" t="s">
        <v>945</v>
      </c>
      <c r="B249" s="1">
        <v>189</v>
      </c>
      <c r="C249" s="1">
        <v>3</v>
      </c>
      <c r="D249" s="1">
        <v>21780</v>
      </c>
      <c r="E249" s="1">
        <v>2</v>
      </c>
      <c r="F249" s="1">
        <v>3</v>
      </c>
      <c r="G249" s="1">
        <v>3</v>
      </c>
      <c r="H249" s="1">
        <v>233</v>
      </c>
      <c r="I249" s="1" t="s">
        <v>3758</v>
      </c>
    </row>
    <row r="250" spans="1:9" x14ac:dyDescent="0.3">
      <c r="A250" s="1" t="s">
        <v>948</v>
      </c>
      <c r="B250" s="1">
        <v>22</v>
      </c>
      <c r="C250" s="1">
        <v>4</v>
      </c>
      <c r="D250" s="1">
        <v>19805</v>
      </c>
      <c r="E250" s="1">
        <v>5</v>
      </c>
      <c r="F250" s="1">
        <v>4</v>
      </c>
      <c r="G250" s="1">
        <v>3</v>
      </c>
      <c r="H250" s="1">
        <v>543</v>
      </c>
      <c r="I250" s="1" t="s">
        <v>3758</v>
      </c>
    </row>
    <row r="251" spans="1:9" x14ac:dyDescent="0.3">
      <c r="A251" s="1" t="s">
        <v>952</v>
      </c>
      <c r="B251" s="1">
        <v>299</v>
      </c>
      <c r="C251" s="1">
        <v>3</v>
      </c>
      <c r="D251" s="1">
        <v>24376</v>
      </c>
      <c r="E251" s="1">
        <v>1</v>
      </c>
      <c r="F251" s="1">
        <v>3</v>
      </c>
      <c r="G251" s="1">
        <v>3</v>
      </c>
      <c r="H251" s="1">
        <v>133</v>
      </c>
      <c r="I251" s="1" t="s">
        <v>3758</v>
      </c>
    </row>
    <row r="252" spans="1:9" x14ac:dyDescent="0.3">
      <c r="A252" s="1" t="s">
        <v>955</v>
      </c>
      <c r="B252" s="1">
        <v>73</v>
      </c>
      <c r="C252" s="1">
        <v>3</v>
      </c>
      <c r="D252" s="1">
        <v>17017</v>
      </c>
      <c r="E252" s="1">
        <v>4</v>
      </c>
      <c r="F252" s="1">
        <v>3</v>
      </c>
      <c r="G252" s="1">
        <v>2</v>
      </c>
      <c r="H252" s="1">
        <v>432</v>
      </c>
      <c r="I252" s="1" t="s">
        <v>3758</v>
      </c>
    </row>
    <row r="253" spans="1:9" x14ac:dyDescent="0.3">
      <c r="A253" s="1" t="s">
        <v>959</v>
      </c>
      <c r="B253" s="1">
        <v>30</v>
      </c>
      <c r="C253" s="1">
        <v>2</v>
      </c>
      <c r="D253" s="1">
        <v>14250</v>
      </c>
      <c r="E253" s="1">
        <v>5</v>
      </c>
      <c r="F253" s="1">
        <v>2</v>
      </c>
      <c r="G253" s="1">
        <v>2</v>
      </c>
      <c r="H253" s="1">
        <v>522</v>
      </c>
      <c r="I253" s="1" t="s">
        <v>3755</v>
      </c>
    </row>
    <row r="254" spans="1:9" x14ac:dyDescent="0.3">
      <c r="A254" s="1" t="s">
        <v>963</v>
      </c>
      <c r="B254" s="1">
        <v>80</v>
      </c>
      <c r="C254" s="1">
        <v>6</v>
      </c>
      <c r="D254" s="1">
        <v>76140.399999999994</v>
      </c>
      <c r="E254" s="1">
        <v>4</v>
      </c>
      <c r="F254" s="1">
        <v>5</v>
      </c>
      <c r="G254" s="1">
        <v>5</v>
      </c>
      <c r="H254" s="1">
        <v>455</v>
      </c>
      <c r="I254" s="1" t="s">
        <v>3757</v>
      </c>
    </row>
    <row r="255" spans="1:9" x14ac:dyDescent="0.3">
      <c r="A255" s="1" t="s">
        <v>967</v>
      </c>
      <c r="B255" s="1">
        <v>30</v>
      </c>
      <c r="C255" s="1">
        <v>4</v>
      </c>
      <c r="D255" s="1">
        <v>17928</v>
      </c>
      <c r="E255" s="1">
        <v>5</v>
      </c>
      <c r="F255" s="1">
        <v>4</v>
      </c>
      <c r="G255" s="1">
        <v>2</v>
      </c>
      <c r="H255" s="1">
        <v>542</v>
      </c>
      <c r="I255" s="1" t="s">
        <v>3758</v>
      </c>
    </row>
    <row r="256" spans="1:9" x14ac:dyDescent="0.3">
      <c r="A256" s="1" t="s">
        <v>969</v>
      </c>
      <c r="B256" s="1">
        <v>92</v>
      </c>
      <c r="C256" s="1">
        <v>1</v>
      </c>
      <c r="D256" s="1">
        <v>10200</v>
      </c>
      <c r="E256" s="1">
        <v>4</v>
      </c>
      <c r="F256" s="1">
        <v>1</v>
      </c>
      <c r="G256" s="1">
        <v>2</v>
      </c>
      <c r="H256" s="1">
        <v>412</v>
      </c>
      <c r="I256" s="1" t="s">
        <v>3755</v>
      </c>
    </row>
    <row r="257" spans="1:9" x14ac:dyDescent="0.3">
      <c r="A257" s="1" t="s">
        <v>973</v>
      </c>
      <c r="B257" s="1">
        <v>212</v>
      </c>
      <c r="C257" s="1">
        <v>3</v>
      </c>
      <c r="D257" s="1">
        <v>40482</v>
      </c>
      <c r="E257" s="1">
        <v>2</v>
      </c>
      <c r="F257" s="1">
        <v>3</v>
      </c>
      <c r="G257" s="1">
        <v>4</v>
      </c>
      <c r="H257" s="1">
        <v>234</v>
      </c>
      <c r="I257" s="1" t="s">
        <v>3758</v>
      </c>
    </row>
    <row r="258" spans="1:9" x14ac:dyDescent="0.3">
      <c r="A258" s="1" t="s">
        <v>977</v>
      </c>
      <c r="B258" s="1">
        <v>111</v>
      </c>
      <c r="C258" s="1">
        <v>3</v>
      </c>
      <c r="D258" s="1">
        <v>25531</v>
      </c>
      <c r="E258" s="1">
        <v>3</v>
      </c>
      <c r="F258" s="1">
        <v>3</v>
      </c>
      <c r="G258" s="1">
        <v>3</v>
      </c>
      <c r="H258" s="1">
        <v>333</v>
      </c>
      <c r="I258" s="1" t="s">
        <v>3758</v>
      </c>
    </row>
    <row r="259" spans="1:9" x14ac:dyDescent="0.3">
      <c r="A259" s="1" t="s">
        <v>981</v>
      </c>
      <c r="B259" s="1">
        <v>347</v>
      </c>
      <c r="C259" s="1">
        <v>2</v>
      </c>
      <c r="D259" s="1">
        <v>18055</v>
      </c>
      <c r="E259" s="1">
        <v>1</v>
      </c>
      <c r="F259" s="1">
        <v>2</v>
      </c>
      <c r="G259" s="1">
        <v>2</v>
      </c>
      <c r="H259" s="1">
        <v>122</v>
      </c>
      <c r="I259" s="1" t="s">
        <v>3756</v>
      </c>
    </row>
    <row r="260" spans="1:9" x14ac:dyDescent="0.3">
      <c r="A260" s="1" t="s">
        <v>984</v>
      </c>
      <c r="B260" s="1">
        <v>2</v>
      </c>
      <c r="C260" s="1">
        <v>6</v>
      </c>
      <c r="D260" s="1">
        <v>54051.5</v>
      </c>
      <c r="E260" s="1">
        <v>5</v>
      </c>
      <c r="F260" s="1">
        <v>5</v>
      </c>
      <c r="G260" s="1">
        <v>5</v>
      </c>
      <c r="H260" s="1">
        <v>555</v>
      </c>
      <c r="I260" s="1" t="s">
        <v>3757</v>
      </c>
    </row>
    <row r="261" spans="1:9" x14ac:dyDescent="0.3">
      <c r="A261" s="1" t="s">
        <v>988</v>
      </c>
      <c r="B261" s="1">
        <v>219</v>
      </c>
      <c r="C261" s="1">
        <v>5</v>
      </c>
      <c r="D261" s="1">
        <v>48288</v>
      </c>
      <c r="E261" s="1">
        <v>2</v>
      </c>
      <c r="F261" s="1">
        <v>5</v>
      </c>
      <c r="G261" s="1">
        <v>5</v>
      </c>
      <c r="H261" s="1">
        <v>255</v>
      </c>
      <c r="I261" s="1" t="s">
        <v>3759</v>
      </c>
    </row>
    <row r="262" spans="1:9" x14ac:dyDescent="0.3">
      <c r="A262" s="1" t="s">
        <v>991</v>
      </c>
      <c r="B262" s="1">
        <v>538</v>
      </c>
      <c r="C262" s="1">
        <v>2</v>
      </c>
      <c r="D262" s="1">
        <v>32307</v>
      </c>
      <c r="E262" s="1">
        <v>1</v>
      </c>
      <c r="F262" s="1">
        <v>2</v>
      </c>
      <c r="G262" s="1">
        <v>4</v>
      </c>
      <c r="H262" s="1">
        <v>124</v>
      </c>
      <c r="I262" s="1" t="s">
        <v>3756</v>
      </c>
    </row>
    <row r="263" spans="1:9" x14ac:dyDescent="0.3">
      <c r="A263" s="1" t="s">
        <v>995</v>
      </c>
      <c r="B263" s="1">
        <v>29</v>
      </c>
      <c r="C263" s="1">
        <v>4</v>
      </c>
      <c r="D263" s="1">
        <v>53274</v>
      </c>
      <c r="E263" s="1">
        <v>5</v>
      </c>
      <c r="F263" s="1">
        <v>4</v>
      </c>
      <c r="G263" s="1">
        <v>5</v>
      </c>
      <c r="H263" s="1">
        <v>545</v>
      </c>
      <c r="I263" s="1" t="s">
        <v>3757</v>
      </c>
    </row>
    <row r="264" spans="1:9" x14ac:dyDescent="0.3">
      <c r="A264" s="1" t="s">
        <v>1002</v>
      </c>
      <c r="B264" s="1">
        <v>68</v>
      </c>
      <c r="C264" s="1">
        <v>3</v>
      </c>
      <c r="D264" s="1">
        <v>29392</v>
      </c>
      <c r="E264" s="1">
        <v>4</v>
      </c>
      <c r="F264" s="1">
        <v>3</v>
      </c>
      <c r="G264" s="1">
        <v>4</v>
      </c>
      <c r="H264" s="1">
        <v>434</v>
      </c>
      <c r="I264" s="1" t="s">
        <v>3758</v>
      </c>
    </row>
    <row r="265" spans="1:9" x14ac:dyDescent="0.3">
      <c r="A265" s="1" t="s">
        <v>1006</v>
      </c>
      <c r="B265" s="1">
        <v>240</v>
      </c>
      <c r="C265" s="1">
        <v>4</v>
      </c>
      <c r="D265" s="1">
        <v>43068</v>
      </c>
      <c r="E265" s="1">
        <v>2</v>
      </c>
      <c r="F265" s="1">
        <v>5</v>
      </c>
      <c r="G265" s="1">
        <v>5</v>
      </c>
      <c r="H265" s="1">
        <v>255</v>
      </c>
      <c r="I265" s="1" t="s">
        <v>3759</v>
      </c>
    </row>
    <row r="266" spans="1:9" x14ac:dyDescent="0.3">
      <c r="A266" s="1" t="s">
        <v>1010</v>
      </c>
      <c r="B266" s="1">
        <v>13</v>
      </c>
      <c r="C266" s="1">
        <v>2</v>
      </c>
      <c r="D266" s="1">
        <v>12024</v>
      </c>
      <c r="E266" s="1">
        <v>5</v>
      </c>
      <c r="F266" s="1">
        <v>2</v>
      </c>
      <c r="G266" s="1">
        <v>2</v>
      </c>
      <c r="H266" s="1">
        <v>522</v>
      </c>
      <c r="I266" s="1" t="s">
        <v>3755</v>
      </c>
    </row>
    <row r="267" spans="1:9" x14ac:dyDescent="0.3">
      <c r="A267" s="1" t="s">
        <v>1012</v>
      </c>
      <c r="B267" s="1">
        <v>53</v>
      </c>
      <c r="C267" s="1">
        <v>2</v>
      </c>
      <c r="D267" s="1">
        <v>11871.5</v>
      </c>
      <c r="E267" s="1">
        <v>4</v>
      </c>
      <c r="F267" s="1">
        <v>2</v>
      </c>
      <c r="G267" s="1">
        <v>2</v>
      </c>
      <c r="H267" s="1">
        <v>422</v>
      </c>
      <c r="I267" s="1" t="s">
        <v>3755</v>
      </c>
    </row>
    <row r="268" spans="1:9" x14ac:dyDescent="0.3">
      <c r="A268" s="1" t="s">
        <v>1016</v>
      </c>
      <c r="B268" s="1">
        <v>412</v>
      </c>
      <c r="C268" s="1">
        <v>2</v>
      </c>
      <c r="D268" s="1">
        <v>16549.5</v>
      </c>
      <c r="E268" s="1">
        <v>1</v>
      </c>
      <c r="F268" s="1">
        <v>2</v>
      </c>
      <c r="G268" s="1">
        <v>2</v>
      </c>
      <c r="H268" s="1">
        <v>122</v>
      </c>
      <c r="I268" s="1" t="s">
        <v>3756</v>
      </c>
    </row>
    <row r="269" spans="1:9" x14ac:dyDescent="0.3">
      <c r="A269" s="1" t="s">
        <v>1020</v>
      </c>
      <c r="B269" s="1">
        <v>47</v>
      </c>
      <c r="C269" s="1">
        <v>2</v>
      </c>
      <c r="D269" s="1">
        <v>19142</v>
      </c>
      <c r="E269" s="1">
        <v>5</v>
      </c>
      <c r="F269" s="1">
        <v>2</v>
      </c>
      <c r="G269" s="1">
        <v>3</v>
      </c>
      <c r="H269" s="1">
        <v>523</v>
      </c>
      <c r="I269" s="1" t="s">
        <v>3755</v>
      </c>
    </row>
    <row r="270" spans="1:9" x14ac:dyDescent="0.3">
      <c r="A270" s="1" t="s">
        <v>1024</v>
      </c>
      <c r="B270" s="1">
        <v>130</v>
      </c>
      <c r="C270" s="1">
        <v>3</v>
      </c>
      <c r="D270" s="1">
        <v>17592</v>
      </c>
      <c r="E270" s="1">
        <v>3</v>
      </c>
      <c r="F270" s="1">
        <v>4</v>
      </c>
      <c r="G270" s="1">
        <v>2</v>
      </c>
      <c r="H270" s="1">
        <v>342</v>
      </c>
      <c r="I270" s="1" t="s">
        <v>3758</v>
      </c>
    </row>
    <row r="271" spans="1:9" x14ac:dyDescent="0.3">
      <c r="A271" s="1" t="s">
        <v>1027</v>
      </c>
      <c r="B271" s="1">
        <v>228</v>
      </c>
      <c r="C271" s="1">
        <v>1</v>
      </c>
      <c r="D271" s="1">
        <v>6600</v>
      </c>
      <c r="E271" s="1">
        <v>2</v>
      </c>
      <c r="F271" s="1">
        <v>1</v>
      </c>
      <c r="G271" s="1">
        <v>1</v>
      </c>
      <c r="H271" s="1">
        <v>211</v>
      </c>
      <c r="I271" s="1" t="s">
        <v>3756</v>
      </c>
    </row>
    <row r="272" spans="1:9" x14ac:dyDescent="0.3">
      <c r="A272" s="1" t="s">
        <v>1031</v>
      </c>
      <c r="B272" s="1">
        <v>404</v>
      </c>
      <c r="C272" s="1">
        <v>1</v>
      </c>
      <c r="D272" s="1">
        <v>1960</v>
      </c>
      <c r="E272" s="1">
        <v>1</v>
      </c>
      <c r="F272" s="1">
        <v>1</v>
      </c>
      <c r="G272" s="1">
        <v>1</v>
      </c>
      <c r="H272" s="1">
        <v>111</v>
      </c>
      <c r="I272" s="1" t="s">
        <v>3756</v>
      </c>
    </row>
    <row r="273" spans="1:9" x14ac:dyDescent="0.3">
      <c r="A273" s="1" t="s">
        <v>1034</v>
      </c>
      <c r="B273" s="1">
        <v>171</v>
      </c>
      <c r="C273" s="1">
        <v>4</v>
      </c>
      <c r="D273" s="1">
        <v>23447.5</v>
      </c>
      <c r="E273" s="1">
        <v>3</v>
      </c>
      <c r="F273" s="1">
        <v>5</v>
      </c>
      <c r="G273" s="1">
        <v>3</v>
      </c>
      <c r="H273" s="1">
        <v>353</v>
      </c>
      <c r="I273" s="1" t="s">
        <v>3758</v>
      </c>
    </row>
    <row r="274" spans="1:9" x14ac:dyDescent="0.3">
      <c r="A274" s="1" t="s">
        <v>1038</v>
      </c>
      <c r="B274" s="1">
        <v>113</v>
      </c>
      <c r="C274" s="1">
        <v>5</v>
      </c>
      <c r="D274" s="1">
        <v>20717.5</v>
      </c>
      <c r="E274" s="1">
        <v>3</v>
      </c>
      <c r="F274" s="1">
        <v>5</v>
      </c>
      <c r="G274" s="1">
        <v>3</v>
      </c>
      <c r="H274" s="1">
        <v>353</v>
      </c>
      <c r="I274" s="1" t="s">
        <v>3758</v>
      </c>
    </row>
    <row r="275" spans="1:9" x14ac:dyDescent="0.3">
      <c r="A275" s="1" t="s">
        <v>1041</v>
      </c>
      <c r="B275" s="1">
        <v>197</v>
      </c>
      <c r="C275" s="1">
        <v>3</v>
      </c>
      <c r="D275" s="1">
        <v>30420</v>
      </c>
      <c r="E275" s="1">
        <v>2</v>
      </c>
      <c r="F275" s="1">
        <v>4</v>
      </c>
      <c r="G275" s="1">
        <v>4</v>
      </c>
      <c r="H275" s="1">
        <v>244</v>
      </c>
      <c r="I275" s="1" t="s">
        <v>3759</v>
      </c>
    </row>
    <row r="276" spans="1:9" x14ac:dyDescent="0.3">
      <c r="A276" s="1" t="s">
        <v>1045</v>
      </c>
      <c r="B276" s="1">
        <v>9</v>
      </c>
      <c r="C276" s="1">
        <v>4</v>
      </c>
      <c r="D276" s="1">
        <v>33536</v>
      </c>
      <c r="E276" s="1">
        <v>5</v>
      </c>
      <c r="F276" s="1">
        <v>5</v>
      </c>
      <c r="G276" s="1">
        <v>4</v>
      </c>
      <c r="H276" s="1">
        <v>554</v>
      </c>
      <c r="I276" s="1" t="s">
        <v>3757</v>
      </c>
    </row>
    <row r="277" spans="1:9" x14ac:dyDescent="0.3">
      <c r="A277" s="1" t="s">
        <v>1049</v>
      </c>
      <c r="B277" s="1">
        <v>195</v>
      </c>
      <c r="C277" s="1">
        <v>3</v>
      </c>
      <c r="D277" s="1">
        <v>20750</v>
      </c>
      <c r="E277" s="1">
        <v>2</v>
      </c>
      <c r="F277" s="1">
        <v>4</v>
      </c>
      <c r="G277" s="1">
        <v>3</v>
      </c>
      <c r="H277" s="1">
        <v>243</v>
      </c>
      <c r="I277" s="1" t="s">
        <v>3759</v>
      </c>
    </row>
    <row r="278" spans="1:9" x14ac:dyDescent="0.3">
      <c r="A278" s="1" t="s">
        <v>1053</v>
      </c>
      <c r="B278" s="1">
        <v>87</v>
      </c>
      <c r="C278" s="1">
        <v>6</v>
      </c>
      <c r="D278" s="1">
        <v>35730.400000000001</v>
      </c>
      <c r="E278" s="1">
        <v>4</v>
      </c>
      <c r="F278" s="1">
        <v>5</v>
      </c>
      <c r="G278" s="1">
        <v>4</v>
      </c>
      <c r="H278" s="1">
        <v>454</v>
      </c>
      <c r="I278" s="1" t="s">
        <v>3757</v>
      </c>
    </row>
    <row r="279" spans="1:9" x14ac:dyDescent="0.3">
      <c r="A279" s="1" t="s">
        <v>1055</v>
      </c>
      <c r="B279" s="1">
        <v>309</v>
      </c>
      <c r="C279" s="1">
        <v>2</v>
      </c>
      <c r="D279" s="1">
        <v>17952</v>
      </c>
      <c r="E279" s="1">
        <v>1</v>
      </c>
      <c r="F279" s="1">
        <v>2</v>
      </c>
      <c r="G279" s="1">
        <v>2</v>
      </c>
      <c r="H279" s="1">
        <v>122</v>
      </c>
      <c r="I279" s="1" t="s">
        <v>3756</v>
      </c>
    </row>
    <row r="280" spans="1:9" x14ac:dyDescent="0.3">
      <c r="A280" s="1" t="s">
        <v>1059</v>
      </c>
      <c r="B280" s="1">
        <v>63</v>
      </c>
      <c r="C280" s="1">
        <v>3</v>
      </c>
      <c r="D280" s="1">
        <v>20920</v>
      </c>
      <c r="E280" s="1">
        <v>4</v>
      </c>
      <c r="F280" s="1">
        <v>4</v>
      </c>
      <c r="G280" s="1">
        <v>3</v>
      </c>
      <c r="H280" s="1">
        <v>443</v>
      </c>
      <c r="I280" s="1" t="s">
        <v>3758</v>
      </c>
    </row>
    <row r="281" spans="1:9" x14ac:dyDescent="0.3">
      <c r="A281" s="1" t="s">
        <v>1063</v>
      </c>
      <c r="B281" s="1">
        <v>384</v>
      </c>
      <c r="C281" s="1">
        <v>2</v>
      </c>
      <c r="D281" s="1">
        <v>12188.5</v>
      </c>
      <c r="E281" s="1">
        <v>1</v>
      </c>
      <c r="F281" s="1">
        <v>2</v>
      </c>
      <c r="G281" s="1">
        <v>2</v>
      </c>
      <c r="H281" s="1">
        <v>122</v>
      </c>
      <c r="I281" s="1" t="s">
        <v>3756</v>
      </c>
    </row>
    <row r="282" spans="1:9" x14ac:dyDescent="0.3">
      <c r="A282" s="1" t="s">
        <v>1067</v>
      </c>
      <c r="B282" s="1">
        <v>253</v>
      </c>
      <c r="C282" s="1">
        <v>1</v>
      </c>
      <c r="D282" s="1">
        <v>8519.1</v>
      </c>
      <c r="E282" s="1">
        <v>2</v>
      </c>
      <c r="F282" s="1">
        <v>1</v>
      </c>
      <c r="G282" s="1">
        <v>1</v>
      </c>
      <c r="H282" s="1">
        <v>211</v>
      </c>
      <c r="I282" s="1" t="s">
        <v>3756</v>
      </c>
    </row>
    <row r="283" spans="1:9" x14ac:dyDescent="0.3">
      <c r="A283" s="1" t="s">
        <v>1070</v>
      </c>
      <c r="B283" s="1">
        <v>42</v>
      </c>
      <c r="C283" s="1">
        <v>5</v>
      </c>
      <c r="D283" s="1">
        <v>58818</v>
      </c>
      <c r="E283" s="1">
        <v>5</v>
      </c>
      <c r="F283" s="1">
        <v>5</v>
      </c>
      <c r="G283" s="1">
        <v>5</v>
      </c>
      <c r="H283" s="1">
        <v>555</v>
      </c>
      <c r="I283" s="1" t="s">
        <v>3757</v>
      </c>
    </row>
    <row r="284" spans="1:9" x14ac:dyDescent="0.3">
      <c r="A284" s="1" t="s">
        <v>1074</v>
      </c>
      <c r="B284" s="1">
        <v>216</v>
      </c>
      <c r="C284" s="1">
        <v>4</v>
      </c>
      <c r="D284" s="1">
        <v>30421.5</v>
      </c>
      <c r="E284" s="1">
        <v>2</v>
      </c>
      <c r="F284" s="1">
        <v>5</v>
      </c>
      <c r="G284" s="1">
        <v>4</v>
      </c>
      <c r="H284" s="1">
        <v>254</v>
      </c>
      <c r="I284" s="1" t="s">
        <v>3759</v>
      </c>
    </row>
    <row r="285" spans="1:9" x14ac:dyDescent="0.3">
      <c r="A285" s="1" t="s">
        <v>1077</v>
      </c>
      <c r="B285" s="1">
        <v>484</v>
      </c>
      <c r="C285" s="1">
        <v>1</v>
      </c>
      <c r="D285" s="1">
        <v>4560</v>
      </c>
      <c r="E285" s="1">
        <v>1</v>
      </c>
      <c r="F285" s="1">
        <v>1</v>
      </c>
      <c r="G285" s="1">
        <v>1</v>
      </c>
      <c r="H285" s="1">
        <v>111</v>
      </c>
      <c r="I285" s="1" t="s">
        <v>3756</v>
      </c>
    </row>
    <row r="286" spans="1:9" x14ac:dyDescent="0.3">
      <c r="A286" s="1" t="s">
        <v>1081</v>
      </c>
      <c r="B286" s="1">
        <v>313</v>
      </c>
      <c r="C286" s="1">
        <v>3</v>
      </c>
      <c r="D286" s="1">
        <v>41622.5</v>
      </c>
      <c r="E286" s="1">
        <v>1</v>
      </c>
      <c r="F286" s="1">
        <v>4</v>
      </c>
      <c r="G286" s="1">
        <v>5</v>
      </c>
      <c r="H286" s="1">
        <v>145</v>
      </c>
      <c r="I286" s="1" t="s">
        <v>3759</v>
      </c>
    </row>
    <row r="287" spans="1:9" x14ac:dyDescent="0.3">
      <c r="A287" s="1" t="s">
        <v>1084</v>
      </c>
      <c r="B287" s="1">
        <v>494</v>
      </c>
      <c r="C287" s="1">
        <v>1</v>
      </c>
      <c r="D287" s="1">
        <v>1152</v>
      </c>
      <c r="E287" s="1">
        <v>1</v>
      </c>
      <c r="F287" s="1">
        <v>1</v>
      </c>
      <c r="G287" s="1">
        <v>1</v>
      </c>
      <c r="H287" s="1">
        <v>111</v>
      </c>
      <c r="I287" s="1" t="s">
        <v>3756</v>
      </c>
    </row>
    <row r="288" spans="1:9" x14ac:dyDescent="0.3">
      <c r="A288" s="1" t="s">
        <v>1088</v>
      </c>
      <c r="B288" s="1">
        <v>397</v>
      </c>
      <c r="C288" s="1">
        <v>3</v>
      </c>
      <c r="D288" s="1">
        <v>63657</v>
      </c>
      <c r="E288" s="1">
        <v>1</v>
      </c>
      <c r="F288" s="1">
        <v>4</v>
      </c>
      <c r="G288" s="1">
        <v>5</v>
      </c>
      <c r="H288" s="1">
        <v>145</v>
      </c>
      <c r="I288" s="1" t="s">
        <v>3759</v>
      </c>
    </row>
    <row r="289" spans="1:9" x14ac:dyDescent="0.3">
      <c r="A289" s="1" t="s">
        <v>1092</v>
      </c>
      <c r="B289" s="1">
        <v>63</v>
      </c>
      <c r="C289" s="1">
        <v>4</v>
      </c>
      <c r="D289" s="1">
        <v>34182.400000000001</v>
      </c>
      <c r="E289" s="1">
        <v>4</v>
      </c>
      <c r="F289" s="1">
        <v>5</v>
      </c>
      <c r="G289" s="1">
        <v>4</v>
      </c>
      <c r="H289" s="1">
        <v>454</v>
      </c>
      <c r="I289" s="1" t="s">
        <v>3757</v>
      </c>
    </row>
    <row r="290" spans="1:9" x14ac:dyDescent="0.3">
      <c r="A290" s="1" t="s">
        <v>1096</v>
      </c>
      <c r="B290" s="1">
        <v>28</v>
      </c>
      <c r="C290" s="1">
        <v>2</v>
      </c>
      <c r="D290" s="1">
        <v>8998</v>
      </c>
      <c r="E290" s="1">
        <v>5</v>
      </c>
      <c r="F290" s="1">
        <v>3</v>
      </c>
      <c r="G290" s="1">
        <v>1</v>
      </c>
      <c r="H290" s="1">
        <v>531</v>
      </c>
      <c r="I290" s="1" t="s">
        <v>3758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tabSelected="1" workbookViewId="0">
      <selection activeCell="D19" sqref="D19"/>
    </sheetView>
  </sheetViews>
  <sheetFormatPr defaultRowHeight="14.4" x14ac:dyDescent="0.3"/>
  <cols>
    <col min="1" max="1" width="14.21875" bestFit="1" customWidth="1"/>
    <col min="2" max="2" width="15.44140625" bestFit="1" customWidth="1"/>
  </cols>
  <sheetData>
    <row r="3" spans="1:2" x14ac:dyDescent="0.3">
      <c r="A3" s="7" t="s">
        <v>3761</v>
      </c>
      <c r="B3" s="7" t="s">
        <v>3763</v>
      </c>
    </row>
    <row r="4" spans="1:2" x14ac:dyDescent="0.3">
      <c r="A4" s="11" t="s">
        <v>3678</v>
      </c>
      <c r="B4" s="10">
        <v>1092678.5</v>
      </c>
    </row>
    <row r="5" spans="1:2" x14ac:dyDescent="0.3">
      <c r="A5" s="11" t="s">
        <v>3665</v>
      </c>
      <c r="B5" s="10">
        <v>1481006.0000000002</v>
      </c>
    </row>
    <row r="6" spans="1:2" x14ac:dyDescent="0.3">
      <c r="A6" s="11" t="s">
        <v>3670</v>
      </c>
      <c r="B6" s="10">
        <v>978156.75</v>
      </c>
    </row>
    <row r="7" spans="1:2" x14ac:dyDescent="0.3">
      <c r="A7" s="11" t="s">
        <v>3663</v>
      </c>
      <c r="B7" s="10">
        <v>1367944.2000000002</v>
      </c>
    </row>
    <row r="8" spans="1:2" x14ac:dyDescent="0.3">
      <c r="A8" s="11" t="s">
        <v>3672</v>
      </c>
      <c r="B8" s="10">
        <v>1693539.5</v>
      </c>
    </row>
    <row r="9" spans="1:2" x14ac:dyDescent="0.3">
      <c r="A9" s="11" t="s">
        <v>3676</v>
      </c>
      <c r="B9" s="10">
        <v>1038613.0499999998</v>
      </c>
    </row>
    <row r="10" spans="1:2" x14ac:dyDescent="0.3">
      <c r="A10" s="12" t="s">
        <v>3762</v>
      </c>
      <c r="B10" s="8">
        <v>7651938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B30" sqref="B30"/>
    </sheetView>
  </sheetViews>
  <sheetFormatPr defaultRowHeight="14.4" x14ac:dyDescent="0.3"/>
  <cols>
    <col min="1" max="1" width="12.5546875" bestFit="1" customWidth="1"/>
    <col min="2" max="2" width="15.44140625" bestFit="1" customWidth="1"/>
  </cols>
  <sheetData>
    <row r="3" spans="1:2" x14ac:dyDescent="0.3">
      <c r="A3" s="7" t="s">
        <v>3761</v>
      </c>
      <c r="B3" s="7" t="s">
        <v>3763</v>
      </c>
    </row>
    <row r="4" spans="1:2" x14ac:dyDescent="0.3">
      <c r="A4" s="11" t="s">
        <v>50</v>
      </c>
      <c r="B4" s="10">
        <v>103834.3</v>
      </c>
    </row>
    <row r="5" spans="1:2" x14ac:dyDescent="0.3">
      <c r="A5" s="11" t="s">
        <v>711</v>
      </c>
      <c r="B5" s="10">
        <v>93445.9</v>
      </c>
    </row>
    <row r="6" spans="1:2" x14ac:dyDescent="0.3">
      <c r="A6" s="11" t="s">
        <v>212</v>
      </c>
      <c r="B6" s="10">
        <v>76791.5</v>
      </c>
    </row>
    <row r="7" spans="1:2" x14ac:dyDescent="0.3">
      <c r="A7" s="11" t="s">
        <v>459</v>
      </c>
      <c r="B7" s="10">
        <v>76273.2</v>
      </c>
    </row>
    <row r="8" spans="1:2" x14ac:dyDescent="0.3">
      <c r="A8" s="11" t="s">
        <v>963</v>
      </c>
      <c r="B8" s="10">
        <v>76140.399999999994</v>
      </c>
    </row>
    <row r="9" spans="1:2" x14ac:dyDescent="0.3">
      <c r="A9" s="11" t="s">
        <v>621</v>
      </c>
      <c r="B9" s="10">
        <v>70155.5</v>
      </c>
    </row>
    <row r="10" spans="1:2" x14ac:dyDescent="0.3">
      <c r="A10" s="11" t="s">
        <v>685</v>
      </c>
      <c r="B10" s="10">
        <v>69856.5</v>
      </c>
    </row>
    <row r="11" spans="1:2" x14ac:dyDescent="0.3">
      <c r="A11" s="11" t="s">
        <v>754</v>
      </c>
      <c r="B11" s="10">
        <v>68005.05</v>
      </c>
    </row>
    <row r="12" spans="1:2" x14ac:dyDescent="0.3">
      <c r="A12" s="11" t="s">
        <v>209</v>
      </c>
      <c r="B12" s="10">
        <v>67353</v>
      </c>
    </row>
    <row r="13" spans="1:2" x14ac:dyDescent="0.3">
      <c r="A13" s="11" t="s">
        <v>578</v>
      </c>
      <c r="B13" s="10">
        <v>66569</v>
      </c>
    </row>
    <row r="14" spans="1:2" x14ac:dyDescent="0.3">
      <c r="A14" s="12" t="s">
        <v>3762</v>
      </c>
      <c r="B14" s="8">
        <v>768424.35000000009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B30" sqref="B30"/>
    </sheetView>
  </sheetViews>
  <sheetFormatPr defaultRowHeight="14.4" x14ac:dyDescent="0.3"/>
  <cols>
    <col min="1" max="1" width="15.88671875" bestFit="1" customWidth="1"/>
    <col min="2" max="2" width="19.44140625" bestFit="1" customWidth="1"/>
  </cols>
  <sheetData>
    <row r="3" spans="1:2" x14ac:dyDescent="0.3">
      <c r="A3" s="7" t="s">
        <v>3761</v>
      </c>
      <c r="B3" s="7" t="s">
        <v>3764</v>
      </c>
    </row>
    <row r="4" spans="1:2" x14ac:dyDescent="0.3">
      <c r="A4" s="11" t="s">
        <v>3759</v>
      </c>
      <c r="B4" s="10">
        <v>23</v>
      </c>
    </row>
    <row r="5" spans="1:2" x14ac:dyDescent="0.3">
      <c r="A5" s="11" t="s">
        <v>3757</v>
      </c>
      <c r="B5" s="10">
        <v>55</v>
      </c>
    </row>
    <row r="6" spans="1:2" x14ac:dyDescent="0.3">
      <c r="A6" s="11" t="s">
        <v>3756</v>
      </c>
      <c r="B6" s="10">
        <v>72</v>
      </c>
    </row>
    <row r="7" spans="1:2" x14ac:dyDescent="0.3">
      <c r="A7" s="11" t="s">
        <v>3755</v>
      </c>
      <c r="B7" s="10">
        <v>30</v>
      </c>
    </row>
    <row r="8" spans="1:2" x14ac:dyDescent="0.3">
      <c r="A8" s="11" t="s">
        <v>3758</v>
      </c>
      <c r="B8" s="10">
        <v>109</v>
      </c>
    </row>
    <row r="9" spans="1:2" x14ac:dyDescent="0.3">
      <c r="A9" s="12" t="s">
        <v>3762</v>
      </c>
      <c r="B9" s="8">
        <v>289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5"/>
  <sheetViews>
    <sheetView workbookViewId="0">
      <selection activeCell="E23" sqref="E23"/>
    </sheetView>
  </sheetViews>
  <sheetFormatPr defaultRowHeight="14.4" x14ac:dyDescent="0.3"/>
  <cols>
    <col min="1" max="1" width="12.5546875" customWidth="1"/>
    <col min="2" max="2" width="15.44140625" bestFit="1" customWidth="1"/>
  </cols>
  <sheetData>
    <row r="3" spans="1:2" x14ac:dyDescent="0.3">
      <c r="A3" s="7" t="s">
        <v>3761</v>
      </c>
      <c r="B3" s="7" t="s">
        <v>3763</v>
      </c>
    </row>
    <row r="4" spans="1:2" x14ac:dyDescent="0.3">
      <c r="A4" s="12" t="s">
        <v>3765</v>
      </c>
      <c r="B4" s="8"/>
    </row>
    <row r="5" spans="1:2" x14ac:dyDescent="0.3">
      <c r="A5" s="9" t="s">
        <v>3766</v>
      </c>
      <c r="B5" s="10">
        <v>203770.5</v>
      </c>
    </row>
    <row r="6" spans="1:2" x14ac:dyDescent="0.3">
      <c r="A6" s="9" t="s">
        <v>3767</v>
      </c>
      <c r="B6" s="10">
        <v>416421</v>
      </c>
    </row>
    <row r="7" spans="1:2" x14ac:dyDescent="0.3">
      <c r="A7" s="9" t="s">
        <v>3768</v>
      </c>
      <c r="B7" s="10">
        <v>402497.6</v>
      </c>
    </row>
    <row r="8" spans="1:2" x14ac:dyDescent="0.3">
      <c r="A8" s="9" t="s">
        <v>3769</v>
      </c>
      <c r="B8" s="10">
        <v>454569.4</v>
      </c>
    </row>
    <row r="9" spans="1:2" x14ac:dyDescent="0.3">
      <c r="A9" s="9" t="s">
        <v>3770</v>
      </c>
      <c r="B9" s="10">
        <v>467131</v>
      </c>
    </row>
    <row r="10" spans="1:2" x14ac:dyDescent="0.3">
      <c r="A10" s="9" t="s">
        <v>3771</v>
      </c>
      <c r="B10" s="10">
        <v>579476.85</v>
      </c>
    </row>
    <row r="11" spans="1:2" x14ac:dyDescent="0.3">
      <c r="A11" s="9" t="s">
        <v>3772</v>
      </c>
      <c r="B11" s="10">
        <v>411700.8</v>
      </c>
    </row>
    <row r="12" spans="1:2" x14ac:dyDescent="0.3">
      <c r="A12" s="9" t="s">
        <v>3773</v>
      </c>
      <c r="B12" s="10">
        <v>517817.7</v>
      </c>
    </row>
    <row r="13" spans="1:2" x14ac:dyDescent="0.3">
      <c r="A13" s="9" t="s">
        <v>3774</v>
      </c>
      <c r="B13" s="10">
        <v>296917.3</v>
      </c>
    </row>
    <row r="14" spans="1:2" x14ac:dyDescent="0.3">
      <c r="A14" s="9" t="s">
        <v>3775</v>
      </c>
      <c r="B14" s="10">
        <v>568416.75</v>
      </c>
    </row>
    <row r="15" spans="1:2" x14ac:dyDescent="0.3">
      <c r="A15" s="12" t="s">
        <v>3776</v>
      </c>
      <c r="B15" s="8"/>
    </row>
    <row r="16" spans="1:2" x14ac:dyDescent="0.3">
      <c r="A16" s="9" t="s">
        <v>3777</v>
      </c>
      <c r="B16" s="10">
        <v>444987.14999999991</v>
      </c>
    </row>
    <row r="17" spans="1:2" x14ac:dyDescent="0.3">
      <c r="A17" s="9" t="s">
        <v>3778</v>
      </c>
      <c r="B17" s="10">
        <v>380897.5</v>
      </c>
    </row>
    <row r="18" spans="1:2" x14ac:dyDescent="0.3">
      <c r="A18" s="9" t="s">
        <v>3766</v>
      </c>
      <c r="B18" s="10">
        <v>518985.54999999993</v>
      </c>
    </row>
    <row r="19" spans="1:2" x14ac:dyDescent="0.3">
      <c r="A19" s="9" t="s">
        <v>3767</v>
      </c>
      <c r="B19" s="10">
        <v>413045.1</v>
      </c>
    </row>
    <row r="20" spans="1:2" x14ac:dyDescent="0.3">
      <c r="A20" s="9" t="s">
        <v>3768</v>
      </c>
      <c r="B20" s="10">
        <v>409956.8</v>
      </c>
    </row>
    <row r="21" spans="1:2" x14ac:dyDescent="0.3">
      <c r="A21" s="9" t="s">
        <v>3769</v>
      </c>
      <c r="B21" s="10">
        <v>383199.9</v>
      </c>
    </row>
    <row r="22" spans="1:2" x14ac:dyDescent="0.3">
      <c r="A22" s="9" t="s">
        <v>3770</v>
      </c>
      <c r="B22" s="10">
        <v>323977.3</v>
      </c>
    </row>
    <row r="23" spans="1:2" x14ac:dyDescent="0.3">
      <c r="A23" s="9" t="s">
        <v>3771</v>
      </c>
      <c r="B23" s="10">
        <v>348412.10000000003</v>
      </c>
    </row>
    <row r="24" spans="1:2" x14ac:dyDescent="0.3">
      <c r="A24" s="9" t="s">
        <v>3772</v>
      </c>
      <c r="B24" s="10">
        <v>109757.7</v>
      </c>
    </row>
    <row r="25" spans="1:2" x14ac:dyDescent="0.3">
      <c r="A25" s="12" t="s">
        <v>3762</v>
      </c>
      <c r="B25" s="8">
        <v>7651938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zoomScale="68" workbookViewId="0">
      <selection activeCell="U21" sqref="U21"/>
    </sheetView>
  </sheetViews>
  <sheetFormatPr defaultRowHeight="14.4" x14ac:dyDescent="0.3"/>
  <sheetData>
    <row r="1" spans="1:19" x14ac:dyDescent="0.3">
      <c r="A1" s="3" t="s">
        <v>3779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6" spans="1:19" x14ac:dyDescent="0.3">
      <c r="A6" s="5" t="s">
        <v>3780</v>
      </c>
      <c r="B6" s="6"/>
      <c r="C6" s="6"/>
      <c r="D6" s="6"/>
      <c r="E6" s="6"/>
      <c r="H6" s="5" t="s">
        <v>3781</v>
      </c>
      <c r="I6" s="6"/>
      <c r="J6" s="6"/>
      <c r="K6" s="6"/>
      <c r="L6" s="6"/>
      <c r="O6" s="5" t="s">
        <v>3782</v>
      </c>
      <c r="P6" s="5"/>
      <c r="Q6" s="5"/>
      <c r="R6" s="5"/>
      <c r="S6" s="5"/>
    </row>
    <row r="7" spans="1:19" x14ac:dyDescent="0.3">
      <c r="A7" s="6"/>
      <c r="B7" s="6"/>
      <c r="C7" s="6"/>
      <c r="D7" s="6"/>
      <c r="E7" s="6"/>
      <c r="H7" s="6"/>
      <c r="I7" s="6"/>
      <c r="J7" s="6"/>
      <c r="K7" s="6"/>
      <c r="L7" s="6"/>
      <c r="O7" s="5"/>
      <c r="P7" s="5"/>
      <c r="Q7" s="5"/>
      <c r="R7" s="5"/>
      <c r="S7" s="5"/>
    </row>
    <row r="8" spans="1:19" x14ac:dyDescent="0.3">
      <c r="A8" s="6"/>
      <c r="B8" s="6"/>
      <c r="C8" s="6"/>
      <c r="D8" s="6"/>
      <c r="E8" s="6"/>
      <c r="H8" s="6"/>
      <c r="I8" s="6"/>
      <c r="J8" s="6"/>
      <c r="K8" s="6"/>
      <c r="L8" s="6"/>
      <c r="O8" s="5"/>
      <c r="P8" s="5"/>
      <c r="Q8" s="5"/>
      <c r="R8" s="5"/>
      <c r="S8" s="5"/>
    </row>
  </sheetData>
  <mergeCells count="4">
    <mergeCell ref="A1:S3"/>
    <mergeCell ref="A6:E8"/>
    <mergeCell ref="H6:L8"/>
    <mergeCell ref="O6:S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00D0DC-80A7-48A1-A46D-A45D0D3DB7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Customers</vt:lpstr>
      <vt:lpstr>Order Items</vt:lpstr>
      <vt:lpstr>Orders</vt:lpstr>
      <vt:lpstr>Products</vt:lpstr>
      <vt:lpstr>RFM</vt:lpstr>
      <vt:lpstr>Pivot_Category</vt:lpstr>
      <vt:lpstr>Pivot_TopCustomers</vt:lpstr>
      <vt:lpstr>Pivot_RFM</vt:lpstr>
      <vt:lpstr>Pivot_MonthlyRevenue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2026-09-20T21:27:32Z</dcterms:modified>
</cp:coreProperties>
</file>